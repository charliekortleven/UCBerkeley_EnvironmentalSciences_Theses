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charliekortleven/Desktop/Berkeley_EnvSci/"/>
    </mc:Choice>
  </mc:AlternateContent>
  <xr:revisionPtr revIDLastSave="0" documentId="13_ncr:1_{56A8E8D6-1533-2D47-A991-3F13759D5C4D}" xr6:coauthVersionLast="47" xr6:coauthVersionMax="47" xr10:uidLastSave="{00000000-0000-0000-0000-000000000000}"/>
  <bookViews>
    <workbookView xWindow="0" yWindow="660" windowWidth="34560" windowHeight="20180" xr2:uid="{6C7D8A9F-37F1-F544-82C3-CCA3314C08A3}"/>
  </bookViews>
  <sheets>
    <sheet name="AllYea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803" i="1" l="1" a="1"/>
  <c r="I803" i="1" s="1"/>
  <c r="J803" i="1" s="1"/>
  <c r="I722" i="1" a="1"/>
  <c r="I722" i="1" s="1"/>
  <c r="J722" i="1" s="1"/>
  <c r="I900" i="1" a="1"/>
  <c r="I900" i="1" s="1"/>
  <c r="J900" i="1" s="1"/>
  <c r="I899" i="1" a="1"/>
  <c r="I899" i="1" s="1"/>
  <c r="J899" i="1" s="1"/>
  <c r="I950" i="1" a="1"/>
  <c r="I950" i="1" s="1"/>
  <c r="J950" i="1" s="1"/>
  <c r="J25" i="1"/>
  <c r="J26" i="1"/>
  <c r="J29" i="1"/>
  <c r="J36" i="1"/>
  <c r="J37" i="1"/>
  <c r="J56" i="1"/>
  <c r="J69" i="1"/>
  <c r="J73" i="1"/>
  <c r="J74" i="1"/>
  <c r="J77" i="1"/>
  <c r="J100" i="1"/>
  <c r="J109" i="1"/>
  <c r="J116" i="1"/>
  <c r="J117" i="1"/>
  <c r="J120" i="1"/>
  <c r="J121" i="1"/>
  <c r="J154" i="1"/>
  <c r="J157" i="1"/>
  <c r="J164" i="1"/>
  <c r="J165" i="1"/>
  <c r="J197" i="1"/>
  <c r="J201" i="1"/>
  <c r="J202" i="1"/>
  <c r="J205" i="1"/>
  <c r="J228" i="1"/>
  <c r="J237" i="1"/>
  <c r="J244" i="1"/>
  <c r="J245" i="1"/>
  <c r="J248" i="1"/>
  <c r="J249" i="1"/>
  <c r="J282" i="1"/>
  <c r="J285" i="1"/>
  <c r="J292" i="1"/>
  <c r="J293" i="1"/>
  <c r="J325" i="1"/>
  <c r="J329" i="1"/>
  <c r="J330" i="1"/>
  <c r="J333" i="1"/>
  <c r="J356" i="1"/>
  <c r="J365" i="1"/>
  <c r="J372" i="1"/>
  <c r="J376" i="1"/>
  <c r="J377" i="1"/>
  <c r="J394" i="1"/>
  <c r="J409" i="1"/>
  <c r="J410" i="1"/>
  <c r="J420" i="1"/>
  <c r="J421" i="1"/>
  <c r="J440" i="1"/>
  <c r="J456" i="1"/>
  <c r="J457" i="1"/>
  <c r="J458" i="1"/>
  <c r="J484" i="1"/>
  <c r="J500" i="1"/>
  <c r="J504" i="1"/>
  <c r="J505" i="1"/>
  <c r="J522" i="1"/>
  <c r="J537" i="1"/>
  <c r="J538" i="1"/>
  <c r="J548" i="1"/>
  <c r="J568" i="1"/>
  <c r="J584" i="1"/>
  <c r="J585" i="1"/>
  <c r="J586" i="1"/>
  <c r="J612" i="1"/>
  <c r="J628" i="1"/>
  <c r="J632" i="1"/>
  <c r="J633" i="1"/>
  <c r="J650" i="1"/>
  <c r="J665" i="1"/>
  <c r="J666" i="1"/>
  <c r="J669" i="1"/>
  <c r="J676" i="1"/>
  <c r="J677" i="1"/>
  <c r="J684" i="1"/>
  <c r="J695" i="1"/>
  <c r="J696" i="1"/>
  <c r="J698" i="1"/>
  <c r="J699" i="1"/>
  <c r="J712" i="1"/>
  <c r="J726" i="1"/>
  <c r="J727" i="1"/>
  <c r="J728" i="1"/>
  <c r="J746" i="1"/>
  <c r="J747" i="1"/>
  <c r="J749" i="1"/>
  <c r="J750" i="1"/>
  <c r="J763" i="1"/>
  <c r="J775" i="1"/>
  <c r="J776" i="1"/>
  <c r="J777" i="1"/>
  <c r="J778" i="1"/>
  <c r="J791" i="1"/>
  <c r="J798" i="1"/>
  <c r="J806" i="1"/>
  <c r="J807" i="1"/>
  <c r="J814" i="1"/>
  <c r="J826" i="1"/>
  <c r="J827" i="1"/>
  <c r="J828" i="1"/>
  <c r="J829" i="1"/>
  <c r="J830" i="1"/>
  <c r="J843" i="1"/>
  <c r="J848" i="1"/>
  <c r="J858" i="1"/>
  <c r="J876" i="1"/>
  <c r="J877" i="1"/>
  <c r="J878" i="1"/>
  <c r="J879" i="1"/>
  <c r="J880" i="1"/>
  <c r="J893" i="1"/>
  <c r="J907" i="1"/>
  <c r="J908" i="1"/>
  <c r="J909" i="1"/>
  <c r="J910" i="1"/>
  <c r="J927" i="1"/>
  <c r="J929" i="1"/>
  <c r="J937" i="1"/>
  <c r="J938" i="1"/>
  <c r="J954" i="1"/>
  <c r="J957" i="1"/>
  <c r="J958" i="1"/>
  <c r="J959" i="1"/>
  <c r="J960" i="1"/>
  <c r="J961" i="1"/>
  <c r="J975" i="1"/>
  <c r="J976" i="1"/>
  <c r="J978" i="1"/>
  <c r="J986" i="1"/>
  <c r="J987" i="1"/>
  <c r="J988" i="1"/>
  <c r="J989" i="1"/>
  <c r="J991" i="1"/>
  <c r="J993" i="1"/>
  <c r="J994" i="1"/>
  <c r="J1002" i="1"/>
  <c r="J1003" i="1"/>
  <c r="J1004" i="1"/>
  <c r="J1005" i="1"/>
  <c r="J1006" i="1"/>
  <c r="J1008" i="1"/>
  <c r="J1009" i="1"/>
  <c r="J1010" i="1"/>
  <c r="J1011" i="1"/>
  <c r="J1018" i="1"/>
  <c r="J1026" i="1"/>
  <c r="J1027" i="1"/>
  <c r="J1038" i="1"/>
  <c r="J1039" i="1"/>
  <c r="J1055" i="1"/>
  <c r="J1056" i="1"/>
  <c r="J1057" i="1"/>
  <c r="J1058" i="1"/>
  <c r="J1059" i="1"/>
  <c r="J1066" i="1"/>
  <c r="J1067" i="1"/>
  <c r="J1072" i="1"/>
  <c r="J1073" i="1"/>
  <c r="J1074" i="1"/>
  <c r="J1075" i="1"/>
  <c r="J1082" i="1"/>
  <c r="J1083" i="1"/>
  <c r="J1084" i="1"/>
  <c r="J1085" i="1"/>
  <c r="J1086" i="1"/>
  <c r="J1087" i="1"/>
  <c r="J1088" i="1"/>
  <c r="J1089" i="1"/>
  <c r="J1098" i="1"/>
  <c r="J1099" i="1"/>
  <c r="J1100" i="1"/>
  <c r="J1101" i="1"/>
  <c r="J1102" i="1"/>
  <c r="J1106" i="1"/>
  <c r="J1116" i="1"/>
  <c r="J1117" i="1"/>
  <c r="J1122" i="1"/>
  <c r="J1131" i="1"/>
  <c r="J1132" i="1"/>
  <c r="J1133" i="1"/>
  <c r="J1134" i="1"/>
  <c r="J1135" i="1"/>
  <c r="J1136" i="1"/>
  <c r="J1137" i="1"/>
  <c r="J1138" i="1"/>
  <c r="J1139" i="1"/>
  <c r="J1147" i="1"/>
  <c r="J1148" i="1"/>
  <c r="J1149" i="1"/>
  <c r="J1153" i="1"/>
  <c r="J1154" i="1"/>
  <c r="J1167" i="1"/>
  <c r="J1169" i="1"/>
  <c r="J1178" i="1"/>
  <c r="J1179" i="1"/>
  <c r="J1180" i="1"/>
  <c r="J1181" i="1"/>
  <c r="J1183" i="1"/>
  <c r="J1184" i="1"/>
  <c r="J1185" i="1"/>
  <c r="J1186" i="1"/>
  <c r="J1187" i="1"/>
  <c r="J1194" i="1"/>
  <c r="J1195" i="1"/>
  <c r="J1201" i="1"/>
  <c r="J1202" i="1"/>
  <c r="J1203" i="1"/>
  <c r="J1213" i="1"/>
  <c r="J1214" i="1"/>
  <c r="J1215" i="1"/>
  <c r="J1216" i="1"/>
  <c r="J1217" i="1"/>
  <c r="J1218" i="1"/>
  <c r="J1219" i="1"/>
  <c r="J1228" i="1"/>
  <c r="J1229" i="1"/>
  <c r="J1230" i="1"/>
  <c r="J1232" i="1"/>
  <c r="J1233" i="1"/>
  <c r="J1234" i="1"/>
  <c r="J1235" i="1"/>
  <c r="J1242" i="1"/>
  <c r="J1243" i="1"/>
  <c r="J1244" i="1"/>
  <c r="J1245" i="1"/>
  <c r="J1247" i="1"/>
  <c r="J1248" i="1"/>
  <c r="J1251" i="1"/>
  <c r="J1258" i="1"/>
  <c r="J1259" i="1"/>
  <c r="J1260" i="1"/>
  <c r="J1261" i="1"/>
  <c r="J1262" i="1"/>
  <c r="J1263" i="1"/>
  <c r="J1264" i="1"/>
  <c r="J1265" i="1"/>
  <c r="J1266" i="1"/>
  <c r="J1267" i="1"/>
  <c r="I1247" i="1" a="1"/>
  <c r="I1247" i="1" s="1"/>
  <c r="I1248" i="1" a="1"/>
  <c r="I1248" i="1" s="1"/>
  <c r="I1249" i="1" a="1"/>
  <c r="I1249" i="1" s="1"/>
  <c r="J1249" i="1" s="1"/>
  <c r="I1250" i="1" a="1"/>
  <c r="I1250" i="1" s="1"/>
  <c r="J1250" i="1" s="1"/>
  <c r="I1251" i="1" a="1"/>
  <c r="I1251" i="1" s="1"/>
  <c r="I1252" i="1" a="1"/>
  <c r="I1252" i="1" s="1"/>
  <c r="J1252" i="1" s="1"/>
  <c r="I1253" i="1" a="1"/>
  <c r="I1253" i="1" s="1"/>
  <c r="J1253" i="1" s="1"/>
  <c r="I1254" i="1" a="1"/>
  <c r="I1254" i="1" s="1"/>
  <c r="J1254" i="1" s="1"/>
  <c r="I1255" i="1" a="1"/>
  <c r="I1255" i="1" s="1"/>
  <c r="J1255" i="1" s="1"/>
  <c r="I1256" i="1" a="1"/>
  <c r="I1256" i="1" s="1"/>
  <c r="J1256" i="1" s="1"/>
  <c r="I1257" i="1" a="1"/>
  <c r="I1257" i="1" s="1"/>
  <c r="J1257" i="1" s="1"/>
  <c r="I1258" i="1" a="1"/>
  <c r="I1258" i="1" s="1"/>
  <c r="I1259" i="1" a="1"/>
  <c r="I1259" i="1" s="1"/>
  <c r="I1260" i="1" a="1"/>
  <c r="I1260" i="1" s="1"/>
  <c r="I1261" i="1" a="1"/>
  <c r="I1261" i="1" s="1"/>
  <c r="I1262" i="1" a="1"/>
  <c r="I1262" i="1"/>
  <c r="I1263" i="1" a="1"/>
  <c r="I1263" i="1" s="1"/>
  <c r="I1264" i="1" a="1"/>
  <c r="I1264" i="1" s="1"/>
  <c r="I1265" i="1" a="1"/>
  <c r="I1265" i="1" s="1"/>
  <c r="I1266" i="1" a="1"/>
  <c r="I1266" i="1" s="1"/>
  <c r="I1267" i="1" a="1"/>
  <c r="I1267" i="1" s="1"/>
  <c r="I1268" i="1" a="1"/>
  <c r="I1268" i="1" s="1"/>
  <c r="J1268" i="1" s="1"/>
  <c r="I1269" i="1" a="1"/>
  <c r="I1269" i="1" s="1"/>
  <c r="J1269" i="1" s="1"/>
  <c r="I1270" i="1" a="1"/>
  <c r="I1270" i="1" s="1"/>
  <c r="J1270" i="1" s="1"/>
  <c r="I1201" i="1" a="1"/>
  <c r="I1201" i="1" s="1"/>
  <c r="I1202" i="1" a="1"/>
  <c r="I1202" i="1" s="1"/>
  <c r="I1203" i="1" a="1"/>
  <c r="I1203" i="1" s="1"/>
  <c r="I1204" i="1" a="1"/>
  <c r="I1204" i="1" s="1"/>
  <c r="J1204" i="1" s="1"/>
  <c r="I1205" i="1" a="1"/>
  <c r="I1205" i="1" s="1"/>
  <c r="J1205" i="1" s="1"/>
  <c r="I1206" i="1" a="1"/>
  <c r="I1206" i="1"/>
  <c r="J1206" i="1" s="1"/>
  <c r="I1207" i="1" a="1"/>
  <c r="I1207" i="1" s="1"/>
  <c r="J1207" i="1" s="1"/>
  <c r="I1208" i="1" a="1"/>
  <c r="I1208" i="1"/>
  <c r="J1208" i="1" s="1"/>
  <c r="I1209" i="1" a="1"/>
  <c r="I1209" i="1" s="1"/>
  <c r="J1209" i="1" s="1"/>
  <c r="I1210" i="1" a="1"/>
  <c r="I1210" i="1" s="1"/>
  <c r="J1210" i="1" s="1"/>
  <c r="I1211" i="1" a="1"/>
  <c r="I1211" i="1" s="1"/>
  <c r="J1211" i="1" s="1"/>
  <c r="I1212" i="1" a="1"/>
  <c r="I1212" i="1" s="1"/>
  <c r="J1212" i="1" s="1"/>
  <c r="I1213" i="1" a="1"/>
  <c r="I1213" i="1" s="1"/>
  <c r="I1214" i="1" a="1"/>
  <c r="I1214" i="1" s="1"/>
  <c r="I1215" i="1" a="1"/>
  <c r="I1215" i="1" s="1"/>
  <c r="I1216" i="1" a="1"/>
  <c r="I1216" i="1" s="1"/>
  <c r="I1217" i="1" a="1"/>
  <c r="I1217" i="1" s="1"/>
  <c r="I1218" i="1" a="1"/>
  <c r="I1218" i="1" s="1"/>
  <c r="I1219" i="1" a="1"/>
  <c r="I1219" i="1" s="1"/>
  <c r="I1220" i="1" a="1"/>
  <c r="I1220" i="1" s="1"/>
  <c r="J1220" i="1" s="1"/>
  <c r="I1221" i="1" a="1"/>
  <c r="I1221" i="1" s="1"/>
  <c r="J1221" i="1" s="1"/>
  <c r="I1222" i="1" a="1"/>
  <c r="I1222" i="1" s="1"/>
  <c r="J1222" i="1" s="1"/>
  <c r="I1223" i="1" a="1"/>
  <c r="I1223" i="1"/>
  <c r="J1223" i="1" s="1"/>
  <c r="I1224" i="1" a="1"/>
  <c r="I1224" i="1" s="1"/>
  <c r="J1224" i="1" s="1"/>
  <c r="I1225" i="1" a="1"/>
  <c r="I1225" i="1" s="1"/>
  <c r="J1225" i="1" s="1"/>
  <c r="I1226" i="1" a="1"/>
  <c r="I1226" i="1" s="1"/>
  <c r="J1226" i="1" s="1"/>
  <c r="I1227" i="1" a="1"/>
  <c r="I1227" i="1" s="1"/>
  <c r="J1227" i="1" s="1"/>
  <c r="I1228" i="1" a="1"/>
  <c r="I1228" i="1" s="1"/>
  <c r="I1229" i="1" a="1"/>
  <c r="I1229" i="1" s="1"/>
  <c r="I1230" i="1" a="1"/>
  <c r="I1230" i="1" s="1"/>
  <c r="I1231" i="1" a="1"/>
  <c r="I1231" i="1" s="1"/>
  <c r="J1231" i="1" s="1"/>
  <c r="I1232" i="1" a="1"/>
  <c r="I1232" i="1"/>
  <c r="I1233" i="1" a="1"/>
  <c r="I1233" i="1" s="1"/>
  <c r="I1234" i="1" a="1"/>
  <c r="I1234" i="1" s="1"/>
  <c r="I1235" i="1" a="1"/>
  <c r="I1235" i="1" s="1"/>
  <c r="I1236" i="1" a="1"/>
  <c r="I1236" i="1" s="1"/>
  <c r="J1236" i="1" s="1"/>
  <c r="I1237" i="1" a="1"/>
  <c r="I1237" i="1" s="1"/>
  <c r="J1237" i="1" s="1"/>
  <c r="I1238" i="1" a="1"/>
  <c r="I1238" i="1" s="1"/>
  <c r="J1238" i="1" s="1"/>
  <c r="I1239" i="1" a="1"/>
  <c r="I1239" i="1" s="1"/>
  <c r="J1239" i="1" s="1"/>
  <c r="I1240" i="1" a="1"/>
  <c r="I1240" i="1" s="1"/>
  <c r="J1240" i="1" s="1"/>
  <c r="I1241" i="1" a="1"/>
  <c r="I1241" i="1" s="1"/>
  <c r="J1241" i="1" s="1"/>
  <c r="I1242" i="1" a="1"/>
  <c r="I1242" i="1" s="1"/>
  <c r="I1243" i="1" a="1"/>
  <c r="I1243" i="1" s="1"/>
  <c r="I1244" i="1" a="1"/>
  <c r="I1244" i="1" s="1"/>
  <c r="I1245" i="1" a="1"/>
  <c r="I1245" i="1" s="1"/>
  <c r="I1246" i="1" a="1"/>
  <c r="I1246" i="1" s="1"/>
  <c r="J1246" i="1" s="1"/>
  <c r="I1170" i="1" a="1"/>
  <c r="I1170" i="1" s="1"/>
  <c r="J1170" i="1" s="1"/>
  <c r="I1171" i="1" a="1"/>
  <c r="I1171" i="1" s="1"/>
  <c r="J1171" i="1" s="1"/>
  <c r="I1172" i="1" a="1"/>
  <c r="I1172" i="1" s="1"/>
  <c r="J1172" i="1" s="1"/>
  <c r="I1173" i="1" a="1"/>
  <c r="I1173" i="1" s="1"/>
  <c r="J1173" i="1" s="1"/>
  <c r="I1174" i="1" a="1"/>
  <c r="I1174" i="1" s="1"/>
  <c r="J1174" i="1" s="1"/>
  <c r="I1175" i="1" a="1"/>
  <c r="I1175" i="1" s="1"/>
  <c r="J1175" i="1" s="1"/>
  <c r="I1176" i="1" a="1"/>
  <c r="I1176" i="1" s="1"/>
  <c r="J1176" i="1" s="1"/>
  <c r="I1177" i="1" a="1"/>
  <c r="I1177" i="1" s="1"/>
  <c r="J1177" i="1" s="1"/>
  <c r="I1178" i="1" a="1"/>
  <c r="I1178" i="1" s="1"/>
  <c r="I1179" i="1" a="1"/>
  <c r="I1179" i="1" s="1"/>
  <c r="I1180" i="1" a="1"/>
  <c r="I1180" i="1" s="1"/>
  <c r="I1181" i="1" a="1"/>
  <c r="I1181" i="1" s="1"/>
  <c r="I1182" i="1" a="1"/>
  <c r="I1182" i="1"/>
  <c r="J1182" i="1" s="1"/>
  <c r="I1183" i="1" a="1"/>
  <c r="I1183" i="1" s="1"/>
  <c r="I1184" i="1" a="1"/>
  <c r="I1184" i="1" s="1"/>
  <c r="I1185" i="1" a="1"/>
  <c r="I1185" i="1" s="1"/>
  <c r="I1186" i="1" a="1"/>
  <c r="I1186" i="1" s="1"/>
  <c r="I1187" i="1" a="1"/>
  <c r="I1187" i="1" s="1"/>
  <c r="I1188" i="1" a="1"/>
  <c r="I1188" i="1" s="1"/>
  <c r="J1188" i="1" s="1"/>
  <c r="I1189" i="1" a="1"/>
  <c r="I1189" i="1" s="1"/>
  <c r="J1189" i="1" s="1"/>
  <c r="I1190" i="1" a="1"/>
  <c r="I1190" i="1" s="1"/>
  <c r="J1190" i="1" s="1"/>
  <c r="I1191" i="1" a="1"/>
  <c r="I1191" i="1"/>
  <c r="J1191" i="1" s="1"/>
  <c r="I1192" i="1" a="1"/>
  <c r="I1192" i="1" s="1"/>
  <c r="J1192" i="1" s="1"/>
  <c r="I1193" i="1" a="1"/>
  <c r="I1193" i="1" s="1"/>
  <c r="J1193" i="1" s="1"/>
  <c r="I1194" i="1" a="1"/>
  <c r="I1194" i="1" s="1"/>
  <c r="I1195" i="1" a="1"/>
  <c r="I1195" i="1" s="1"/>
  <c r="I1196" i="1" a="1"/>
  <c r="I1196" i="1" s="1"/>
  <c r="J1196" i="1" s="1"/>
  <c r="I1197" i="1" a="1"/>
  <c r="I1197" i="1" s="1"/>
  <c r="J1197" i="1" s="1"/>
  <c r="I1198" i="1" a="1"/>
  <c r="I1198" i="1"/>
  <c r="J1198" i="1" s="1"/>
  <c r="I1199" i="1" a="1"/>
  <c r="I1199" i="1" s="1"/>
  <c r="J1199" i="1" s="1"/>
  <c r="I1200" i="1" a="1"/>
  <c r="I1200" i="1" s="1"/>
  <c r="J1200" i="1" s="1"/>
  <c r="I1144" i="1" a="1"/>
  <c r="I1144" i="1" s="1"/>
  <c r="J1144" i="1" s="1"/>
  <c r="I1145" i="1" a="1"/>
  <c r="I1145" i="1" s="1"/>
  <c r="J1145" i="1" s="1"/>
  <c r="I1146" i="1" a="1"/>
  <c r="I1146" i="1" s="1"/>
  <c r="J1146" i="1" s="1"/>
  <c r="I1147" i="1" a="1"/>
  <c r="I1147" i="1" s="1"/>
  <c r="I1148" i="1" a="1"/>
  <c r="I1148" i="1" s="1"/>
  <c r="I1149" i="1" a="1"/>
  <c r="I1149" i="1"/>
  <c r="I1150" i="1" a="1"/>
  <c r="I1150" i="1" s="1"/>
  <c r="J1150" i="1" s="1"/>
  <c r="I1151" i="1" a="1"/>
  <c r="I1151" i="1" s="1"/>
  <c r="J1151" i="1" s="1"/>
  <c r="I1152" i="1" a="1"/>
  <c r="I1152" i="1" s="1"/>
  <c r="J1152" i="1" s="1"/>
  <c r="I1153" i="1" a="1"/>
  <c r="I1153" i="1" s="1"/>
  <c r="I1154" i="1" a="1"/>
  <c r="I1154" i="1"/>
  <c r="I1155" i="1" a="1"/>
  <c r="I1155" i="1" s="1"/>
  <c r="J1155" i="1" s="1"/>
  <c r="I1156" i="1" a="1"/>
  <c r="I1156" i="1"/>
  <c r="J1156" i="1" s="1"/>
  <c r="I1157" i="1" a="1"/>
  <c r="I1157" i="1" s="1"/>
  <c r="J1157" i="1" s="1"/>
  <c r="I1158" i="1" a="1"/>
  <c r="I1158" i="1" s="1"/>
  <c r="J1158" i="1" s="1"/>
  <c r="I1159" i="1" a="1"/>
  <c r="I1159" i="1" s="1"/>
  <c r="J1159" i="1" s="1"/>
  <c r="I1160" i="1" a="1"/>
  <c r="I1160" i="1" s="1"/>
  <c r="J1160" i="1" s="1"/>
  <c r="I1161" i="1" a="1"/>
  <c r="I1161" i="1" s="1"/>
  <c r="J1161" i="1" s="1"/>
  <c r="I1162" i="1" a="1"/>
  <c r="I1162" i="1"/>
  <c r="J1162" i="1" s="1"/>
  <c r="I1163" i="1" a="1"/>
  <c r="I1163" i="1" s="1"/>
  <c r="J1163" i="1" s="1"/>
  <c r="I1164" i="1" a="1"/>
  <c r="I1164" i="1" s="1"/>
  <c r="J1164" i="1" s="1"/>
  <c r="I1165" i="1" a="1"/>
  <c r="I1165" i="1" s="1"/>
  <c r="J1165" i="1" s="1"/>
  <c r="I1166" i="1" a="1"/>
  <c r="I1166" i="1" s="1"/>
  <c r="J1166" i="1" s="1"/>
  <c r="I1167" i="1" a="1"/>
  <c r="I1167" i="1" s="1"/>
  <c r="I1168" i="1" a="1"/>
  <c r="I1168" i="1" s="1"/>
  <c r="J1168" i="1" s="1"/>
  <c r="I1169" i="1" a="1"/>
  <c r="I1169" i="1" s="1"/>
  <c r="I1109" i="1" a="1"/>
  <c r="I1109" i="1" s="1"/>
  <c r="J1109" i="1" s="1"/>
  <c r="I1110" i="1" a="1"/>
  <c r="I1110" i="1" s="1"/>
  <c r="J1110" i="1" s="1"/>
  <c r="I1111" i="1" a="1"/>
  <c r="I1111" i="1" s="1"/>
  <c r="J1111" i="1" s="1"/>
  <c r="I1112" i="1" a="1"/>
  <c r="I1112" i="1" s="1"/>
  <c r="J1112" i="1" s="1"/>
  <c r="I1113" i="1" a="1"/>
  <c r="I1113" i="1" s="1"/>
  <c r="J1113" i="1" s="1"/>
  <c r="I1114" i="1" a="1"/>
  <c r="I1114" i="1" s="1"/>
  <c r="J1114" i="1" s="1"/>
  <c r="I1115" i="1" a="1"/>
  <c r="I1115" i="1"/>
  <c r="J1115" i="1" s="1"/>
  <c r="I1116" i="1" a="1"/>
  <c r="I1116" i="1"/>
  <c r="I1117" i="1" a="1"/>
  <c r="I1117" i="1" s="1"/>
  <c r="I1118" i="1" a="1"/>
  <c r="I1118" i="1" s="1"/>
  <c r="J1118" i="1" s="1"/>
  <c r="I1119" i="1" a="1"/>
  <c r="I1119" i="1" s="1"/>
  <c r="J1119" i="1" s="1"/>
  <c r="I1120" i="1" a="1"/>
  <c r="I1120" i="1" s="1"/>
  <c r="J1120" i="1" s="1"/>
  <c r="I1121" i="1" a="1"/>
  <c r="I1121" i="1" s="1"/>
  <c r="J1121" i="1" s="1"/>
  <c r="I1122" i="1" a="1"/>
  <c r="I1122" i="1" s="1"/>
  <c r="I1123" i="1" a="1"/>
  <c r="I1123" i="1" s="1"/>
  <c r="J1123" i="1" s="1"/>
  <c r="I1124" i="1" a="1"/>
  <c r="I1124" i="1" s="1"/>
  <c r="J1124" i="1" s="1"/>
  <c r="I1125" i="1" a="1"/>
  <c r="I1125" i="1" s="1"/>
  <c r="J1125" i="1" s="1"/>
  <c r="I1126" i="1" a="1"/>
  <c r="I1126" i="1" s="1"/>
  <c r="J1126" i="1" s="1"/>
  <c r="I1127" i="1" a="1"/>
  <c r="I1127" i="1" s="1"/>
  <c r="J1127" i="1" s="1"/>
  <c r="I1128" i="1" a="1"/>
  <c r="I1128" i="1" s="1"/>
  <c r="J1128" i="1" s="1"/>
  <c r="I1129" i="1" a="1"/>
  <c r="I1129" i="1" s="1"/>
  <c r="J1129" i="1" s="1"/>
  <c r="I1130" i="1" a="1"/>
  <c r="I1130" i="1" s="1"/>
  <c r="J1130" i="1" s="1"/>
  <c r="I1131" i="1" a="1"/>
  <c r="I1131" i="1"/>
  <c r="I1132" i="1" a="1"/>
  <c r="I1132" i="1" s="1"/>
  <c r="I1133" i="1" a="1"/>
  <c r="I1133" i="1" s="1"/>
  <c r="I1134" i="1" a="1"/>
  <c r="I1134" i="1" s="1"/>
  <c r="I1135" i="1" a="1"/>
  <c r="I1135" i="1" s="1"/>
  <c r="I1136" i="1" a="1"/>
  <c r="I1136" i="1" s="1"/>
  <c r="I1137" i="1" a="1"/>
  <c r="I1137" i="1" s="1"/>
  <c r="I1138" i="1" a="1"/>
  <c r="I1138" i="1" s="1"/>
  <c r="I1139" i="1" a="1"/>
  <c r="I1139" i="1" s="1"/>
  <c r="I1140" i="1" a="1"/>
  <c r="I1140" i="1"/>
  <c r="J1140" i="1" s="1"/>
  <c r="I1141" i="1" a="1"/>
  <c r="I1141" i="1" s="1"/>
  <c r="J1141" i="1" s="1"/>
  <c r="I1142" i="1" a="1"/>
  <c r="I1142" i="1" s="1"/>
  <c r="J1142" i="1" s="1"/>
  <c r="I1143" i="1" a="1"/>
  <c r="I1143" i="1" s="1"/>
  <c r="J1143" i="1" s="1"/>
  <c r="I1108" i="1" a="1"/>
  <c r="I1108" i="1" s="1"/>
  <c r="J1108" i="1" s="1"/>
  <c r="I1106" i="1"/>
  <c r="I1076" i="1"/>
  <c r="J1076" i="1" s="1"/>
  <c r="I1077" i="1"/>
  <c r="J1077" i="1" s="1"/>
  <c r="I1078" i="1"/>
  <c r="J1078" i="1" s="1"/>
  <c r="I1079" i="1"/>
  <c r="J1079" i="1" s="1"/>
  <c r="I1080" i="1"/>
  <c r="J1080" i="1" s="1"/>
  <c r="I1081" i="1"/>
  <c r="J1081" i="1" s="1"/>
  <c r="I1082" i="1"/>
  <c r="I1083" i="1"/>
  <c r="I1084" i="1"/>
  <c r="I1085" i="1"/>
  <c r="I1086" i="1"/>
  <c r="I1087" i="1"/>
  <c r="I1088" i="1"/>
  <c r="I1089" i="1"/>
  <c r="I1090" i="1"/>
  <c r="J1090" i="1" s="1"/>
  <c r="I1091" i="1"/>
  <c r="J1091" i="1" s="1"/>
  <c r="I1092" i="1"/>
  <c r="J1092" i="1" s="1"/>
  <c r="I1093" i="1"/>
  <c r="J1093" i="1" s="1"/>
  <c r="I1094" i="1"/>
  <c r="J1094" i="1" s="1"/>
  <c r="I1095" i="1"/>
  <c r="J1095" i="1" s="1"/>
  <c r="I1096" i="1"/>
  <c r="J1096" i="1" s="1"/>
  <c r="I1097" i="1"/>
  <c r="J1097" i="1" s="1"/>
  <c r="I1098" i="1"/>
  <c r="I1099" i="1"/>
  <c r="I1100" i="1"/>
  <c r="I1101" i="1"/>
  <c r="I1102" i="1"/>
  <c r="I1103" i="1"/>
  <c r="J1103" i="1" s="1"/>
  <c r="I1104" i="1"/>
  <c r="J1104" i="1" s="1"/>
  <c r="I1105" i="1"/>
  <c r="J1105" i="1" s="1"/>
  <c r="I1107" i="1"/>
  <c r="J1107" i="1" s="1"/>
  <c r="I1075" i="1"/>
  <c r="I1040" i="1" a="1"/>
  <c r="I1040" i="1" s="1"/>
  <c r="J1040" i="1" s="1"/>
  <c r="I1041" i="1" a="1"/>
  <c r="I1041" i="1" s="1"/>
  <c r="J1041" i="1" s="1"/>
  <c r="I1042" i="1" a="1"/>
  <c r="I1042" i="1" s="1"/>
  <c r="J1042" i="1" s="1"/>
  <c r="I1043" i="1" a="1"/>
  <c r="I1043" i="1" s="1"/>
  <c r="J1043" i="1" s="1"/>
  <c r="I1044" i="1" a="1"/>
  <c r="I1044" i="1" s="1"/>
  <c r="J1044" i="1" s="1"/>
  <c r="I1045" i="1" a="1"/>
  <c r="I1045" i="1" s="1"/>
  <c r="J1045" i="1" s="1"/>
  <c r="I1046" i="1" a="1"/>
  <c r="I1046" i="1" s="1"/>
  <c r="J1046" i="1" s="1"/>
  <c r="I1047" i="1" a="1"/>
  <c r="I1047" i="1" s="1"/>
  <c r="J1047" i="1" s="1"/>
  <c r="I1048" i="1" a="1"/>
  <c r="I1048" i="1" s="1"/>
  <c r="J1048" i="1" s="1"/>
  <c r="I1049" i="1" a="1"/>
  <c r="I1049" i="1" s="1"/>
  <c r="J1049" i="1" s="1"/>
  <c r="I1050" i="1" a="1"/>
  <c r="I1050" i="1" s="1"/>
  <c r="J1050" i="1" s="1"/>
  <c r="I1051" i="1" a="1"/>
  <c r="I1051" i="1" s="1"/>
  <c r="J1051" i="1" s="1"/>
  <c r="I1052" i="1" a="1"/>
  <c r="I1052" i="1" s="1"/>
  <c r="J1052" i="1" s="1"/>
  <c r="I1053" i="1" a="1"/>
  <c r="I1053" i="1" s="1"/>
  <c r="J1053" i="1" s="1"/>
  <c r="I1054" i="1" a="1"/>
  <c r="I1054" i="1" s="1"/>
  <c r="J1054" i="1" s="1"/>
  <c r="I1055" i="1" a="1"/>
  <c r="I1055" i="1" s="1"/>
  <c r="I1056" i="1" a="1"/>
  <c r="I1056" i="1" s="1"/>
  <c r="I1057" i="1" a="1"/>
  <c r="I1057" i="1" s="1"/>
  <c r="I1058" i="1" a="1"/>
  <c r="I1058" i="1" s="1"/>
  <c r="I1059" i="1" a="1"/>
  <c r="I1059" i="1" s="1"/>
  <c r="I1060" i="1" a="1"/>
  <c r="I1060" i="1"/>
  <c r="J1060" i="1" s="1"/>
  <c r="I1061" i="1" a="1"/>
  <c r="I1061" i="1" s="1"/>
  <c r="J1061" i="1" s="1"/>
  <c r="I1062" i="1" a="1"/>
  <c r="I1062" i="1" s="1"/>
  <c r="J1062" i="1" s="1"/>
  <c r="I1063" i="1" a="1"/>
  <c r="I1063" i="1" s="1"/>
  <c r="J1063" i="1" s="1"/>
  <c r="I1064" i="1" a="1"/>
  <c r="I1064" i="1" s="1"/>
  <c r="J1064" i="1" s="1"/>
  <c r="I1065" i="1" a="1"/>
  <c r="I1065" i="1" s="1"/>
  <c r="J1065" i="1" s="1"/>
  <c r="I1066" i="1" a="1"/>
  <c r="I1066" i="1" s="1"/>
  <c r="I1067" i="1" a="1"/>
  <c r="I1067" i="1" s="1"/>
  <c r="I1068" i="1" a="1"/>
  <c r="I1068" i="1"/>
  <c r="J1068" i="1" s="1"/>
  <c r="I1069" i="1" a="1"/>
  <c r="I1069" i="1" s="1"/>
  <c r="J1069" i="1" s="1"/>
  <c r="I1070" i="1" a="1"/>
  <c r="I1070" i="1" s="1"/>
  <c r="J1070" i="1" s="1"/>
  <c r="I1071" i="1" a="1"/>
  <c r="I1071" i="1" s="1"/>
  <c r="J1071" i="1" s="1"/>
  <c r="I1072" i="1" a="1"/>
  <c r="I1072" i="1" s="1"/>
  <c r="I1073" i="1" a="1"/>
  <c r="I1073" i="1" s="1"/>
  <c r="I1074" i="1" a="1"/>
  <c r="I1074" i="1" s="1"/>
  <c r="I993" i="1" a="1"/>
  <c r="I993" i="1" s="1"/>
  <c r="I994" i="1" a="1"/>
  <c r="I994" i="1" s="1"/>
  <c r="I995" i="1" a="1"/>
  <c r="I995" i="1" s="1"/>
  <c r="J995" i="1" s="1"/>
  <c r="I996" i="1" a="1"/>
  <c r="I996" i="1" s="1"/>
  <c r="J996" i="1" s="1"/>
  <c r="I997" i="1" a="1"/>
  <c r="I997" i="1" s="1"/>
  <c r="J997" i="1" s="1"/>
  <c r="I998" i="1" a="1"/>
  <c r="I998" i="1"/>
  <c r="J998" i="1" s="1"/>
  <c r="I999" i="1" a="1"/>
  <c r="I999" i="1"/>
  <c r="J999" i="1" s="1"/>
  <c r="I1000" i="1" a="1"/>
  <c r="I1000" i="1" s="1"/>
  <c r="J1000" i="1" s="1"/>
  <c r="I1001" i="1" a="1"/>
  <c r="I1001" i="1" s="1"/>
  <c r="J1001" i="1" s="1"/>
  <c r="I1002" i="1" a="1"/>
  <c r="I1002" i="1" s="1"/>
  <c r="I1003" i="1" a="1"/>
  <c r="I1003" i="1" s="1"/>
  <c r="I1004" i="1" a="1"/>
  <c r="I1004" i="1" s="1"/>
  <c r="I1005" i="1" a="1"/>
  <c r="I1005" i="1" s="1"/>
  <c r="I1006" i="1" a="1"/>
  <c r="I1006" i="1"/>
  <c r="I1007" i="1" a="1"/>
  <c r="I1007" i="1" s="1"/>
  <c r="J1007" i="1" s="1"/>
  <c r="I1008" i="1" a="1"/>
  <c r="I1008" i="1" s="1"/>
  <c r="I1009" i="1" a="1"/>
  <c r="I1009" i="1" s="1"/>
  <c r="I1010" i="1" a="1"/>
  <c r="I1010" i="1" s="1"/>
  <c r="I1011" i="1" a="1"/>
  <c r="I1011" i="1" s="1"/>
  <c r="I1012" i="1" a="1"/>
  <c r="I1012" i="1"/>
  <c r="J1012" i="1" s="1"/>
  <c r="I1013" i="1" a="1"/>
  <c r="I1013" i="1" s="1"/>
  <c r="J1013" i="1" s="1"/>
  <c r="I1014" i="1" a="1"/>
  <c r="I1014" i="1" s="1"/>
  <c r="J1014" i="1" s="1"/>
  <c r="I1015" i="1" a="1"/>
  <c r="I1015" i="1" s="1"/>
  <c r="J1015" i="1" s="1"/>
  <c r="I1016" i="1" a="1"/>
  <c r="I1016" i="1" s="1"/>
  <c r="J1016" i="1" s="1"/>
  <c r="I1017" i="1" a="1"/>
  <c r="I1017" i="1" s="1"/>
  <c r="J1017" i="1" s="1"/>
  <c r="I1018" i="1" a="1"/>
  <c r="I1018" i="1" s="1"/>
  <c r="I1019" i="1" a="1"/>
  <c r="I1019" i="1" s="1"/>
  <c r="J1019" i="1" s="1"/>
  <c r="I1020" i="1" a="1"/>
  <c r="I1020" i="1"/>
  <c r="J1020" i="1" s="1"/>
  <c r="I1021" i="1" a="1"/>
  <c r="I1021" i="1"/>
  <c r="J1021" i="1" s="1"/>
  <c r="I1022" i="1" a="1"/>
  <c r="I1022" i="1"/>
  <c r="J1022" i="1" s="1"/>
  <c r="I1023" i="1" a="1"/>
  <c r="I1023" i="1" s="1"/>
  <c r="J1023" i="1" s="1"/>
  <c r="I1024" i="1" a="1"/>
  <c r="I1024" i="1" s="1"/>
  <c r="J1024" i="1" s="1"/>
  <c r="I1025" i="1" a="1"/>
  <c r="I1025" i="1" s="1"/>
  <c r="J1025" i="1" s="1"/>
  <c r="I1026" i="1" a="1"/>
  <c r="I1026" i="1" s="1"/>
  <c r="I1027" i="1" a="1"/>
  <c r="I1027" i="1" s="1"/>
  <c r="I1028" i="1" a="1"/>
  <c r="I1028" i="1" s="1"/>
  <c r="J1028" i="1" s="1"/>
  <c r="I1029" i="1" a="1"/>
  <c r="I1029" i="1" s="1"/>
  <c r="J1029" i="1" s="1"/>
  <c r="I1030" i="1" a="1"/>
  <c r="I1030" i="1"/>
  <c r="J1030" i="1" s="1"/>
  <c r="I1031" i="1" a="1"/>
  <c r="I1031" i="1" s="1"/>
  <c r="J1031" i="1" s="1"/>
  <c r="I1032" i="1" a="1"/>
  <c r="I1032" i="1" s="1"/>
  <c r="J1032" i="1" s="1"/>
  <c r="I1033" i="1" a="1"/>
  <c r="I1033" i="1" s="1"/>
  <c r="J1033" i="1" s="1"/>
  <c r="I1034" i="1" a="1"/>
  <c r="I1034" i="1" s="1"/>
  <c r="J1034" i="1" s="1"/>
  <c r="I1035" i="1" a="1"/>
  <c r="I1035" i="1" s="1"/>
  <c r="J1035" i="1" s="1"/>
  <c r="I1036" i="1" a="1"/>
  <c r="I1036" i="1"/>
  <c r="J1036" i="1" s="1"/>
  <c r="I1037" i="1" a="1"/>
  <c r="I1037" i="1" s="1"/>
  <c r="J1037" i="1" s="1"/>
  <c r="I1038" i="1" a="1"/>
  <c r="I1038" i="1" s="1"/>
  <c r="I1039" i="1" a="1"/>
  <c r="I1039" i="1" s="1"/>
  <c r="I951" i="1" a="1"/>
  <c r="I951" i="1" s="1"/>
  <c r="J951" i="1" s="1"/>
  <c r="I952" i="1" a="1"/>
  <c r="I952" i="1" s="1"/>
  <c r="J952" i="1" s="1"/>
  <c r="I953" i="1" a="1"/>
  <c r="I953" i="1" s="1"/>
  <c r="J953" i="1" s="1"/>
  <c r="I954" i="1" a="1"/>
  <c r="I954" i="1" s="1"/>
  <c r="I955" i="1" a="1"/>
  <c r="I955" i="1" s="1"/>
  <c r="J955" i="1" s="1"/>
  <c r="I956" i="1" a="1"/>
  <c r="I956" i="1" s="1"/>
  <c r="J956" i="1" s="1"/>
  <c r="I957" i="1" a="1"/>
  <c r="I957" i="1"/>
  <c r="I958" i="1" a="1"/>
  <c r="I958" i="1" s="1"/>
  <c r="I959" i="1" a="1"/>
  <c r="I959" i="1" s="1"/>
  <c r="I960" i="1" a="1"/>
  <c r="I960" i="1" s="1"/>
  <c r="I961" i="1" a="1"/>
  <c r="I961" i="1" s="1"/>
  <c r="I962" i="1" a="1"/>
  <c r="I962" i="1" s="1"/>
  <c r="J962" i="1" s="1"/>
  <c r="I963" i="1" a="1"/>
  <c r="I963" i="1" s="1"/>
  <c r="J963" i="1" s="1"/>
  <c r="I964" i="1" a="1"/>
  <c r="I964" i="1"/>
  <c r="J964" i="1" s="1"/>
  <c r="I965" i="1" a="1"/>
  <c r="I965" i="1" s="1"/>
  <c r="J965" i="1" s="1"/>
  <c r="I966" i="1" a="1"/>
  <c r="I966" i="1" s="1"/>
  <c r="J966" i="1" s="1"/>
  <c r="I967" i="1" a="1"/>
  <c r="I967" i="1" s="1"/>
  <c r="J967" i="1" s="1"/>
  <c r="I968" i="1" a="1"/>
  <c r="I968" i="1" s="1"/>
  <c r="J968" i="1" s="1"/>
  <c r="I969" i="1" a="1"/>
  <c r="I969" i="1" s="1"/>
  <c r="J969" i="1" s="1"/>
  <c r="I970" i="1" a="1"/>
  <c r="I970" i="1" s="1"/>
  <c r="J970" i="1" s="1"/>
  <c r="I971" i="1" a="1"/>
  <c r="I971" i="1" s="1"/>
  <c r="J971" i="1" s="1"/>
  <c r="I972" i="1" a="1"/>
  <c r="I972" i="1"/>
  <c r="J972" i="1" s="1"/>
  <c r="I973" i="1" a="1"/>
  <c r="I973" i="1"/>
  <c r="J973" i="1" s="1"/>
  <c r="I974" i="1" a="1"/>
  <c r="I974" i="1" s="1"/>
  <c r="J974" i="1" s="1"/>
  <c r="I975" i="1" a="1"/>
  <c r="I975" i="1" s="1"/>
  <c r="I976" i="1" a="1"/>
  <c r="I976" i="1" s="1"/>
  <c r="I977" i="1" a="1"/>
  <c r="I977" i="1" s="1"/>
  <c r="J977" i="1" s="1"/>
  <c r="I978" i="1" a="1"/>
  <c r="I978" i="1" s="1"/>
  <c r="I979" i="1" a="1"/>
  <c r="I979" i="1" s="1"/>
  <c r="J979" i="1" s="1"/>
  <c r="I980" i="1" a="1"/>
  <c r="I980" i="1" s="1"/>
  <c r="J980" i="1" s="1"/>
  <c r="I981" i="1" a="1"/>
  <c r="I981" i="1" s="1"/>
  <c r="J981" i="1" s="1"/>
  <c r="I982" i="1" a="1"/>
  <c r="I982" i="1"/>
  <c r="J982" i="1" s="1"/>
  <c r="I983" i="1" a="1"/>
  <c r="I983" i="1" s="1"/>
  <c r="J983" i="1" s="1"/>
  <c r="I984" i="1" a="1"/>
  <c r="I984" i="1" s="1"/>
  <c r="J984" i="1" s="1"/>
  <c r="I985" i="1" a="1"/>
  <c r="I985" i="1" s="1"/>
  <c r="J985" i="1" s="1"/>
  <c r="I986" i="1" a="1"/>
  <c r="I986" i="1" s="1"/>
  <c r="I987" i="1" a="1"/>
  <c r="I987" i="1" s="1"/>
  <c r="I988" i="1" a="1"/>
  <c r="I988" i="1" s="1"/>
  <c r="I989" i="1" a="1"/>
  <c r="I989" i="1" s="1"/>
  <c r="I990" i="1" a="1"/>
  <c r="I990" i="1" s="1"/>
  <c r="J990" i="1" s="1"/>
  <c r="I991" i="1" a="1"/>
  <c r="I991" i="1" s="1"/>
  <c r="I992" i="1" a="1"/>
  <c r="I992" i="1" s="1"/>
  <c r="J992" i="1" s="1"/>
  <c r="I917" i="1" a="1"/>
  <c r="I917" i="1" s="1"/>
  <c r="J917" i="1" s="1"/>
  <c r="I918" i="1" a="1"/>
  <c r="I918" i="1" s="1"/>
  <c r="J918" i="1" s="1"/>
  <c r="I919" i="1" a="1"/>
  <c r="I919" i="1" s="1"/>
  <c r="J919" i="1" s="1"/>
  <c r="I920" i="1" a="1"/>
  <c r="I920" i="1" s="1"/>
  <c r="J920" i="1" s="1"/>
  <c r="I921" i="1" a="1"/>
  <c r="I921" i="1" s="1"/>
  <c r="J921" i="1" s="1"/>
  <c r="I922" i="1" a="1"/>
  <c r="I922" i="1" s="1"/>
  <c r="J922" i="1" s="1"/>
  <c r="I923" i="1" a="1"/>
  <c r="I923" i="1" s="1"/>
  <c r="J923" i="1" s="1"/>
  <c r="I924" i="1" a="1"/>
  <c r="I924" i="1" s="1"/>
  <c r="J924" i="1" s="1"/>
  <c r="I925" i="1" a="1"/>
  <c r="I925" i="1" s="1"/>
  <c r="J925" i="1" s="1"/>
  <c r="I926" i="1" a="1"/>
  <c r="I926" i="1" s="1"/>
  <c r="J926" i="1" s="1"/>
  <c r="I927" i="1" a="1"/>
  <c r="I927" i="1" s="1"/>
  <c r="I928" i="1" a="1"/>
  <c r="I928" i="1" s="1"/>
  <c r="J928" i="1" s="1"/>
  <c r="I929" i="1" a="1"/>
  <c r="I929" i="1"/>
  <c r="I930" i="1" a="1"/>
  <c r="I930" i="1" s="1"/>
  <c r="J930" i="1" s="1"/>
  <c r="I931" i="1" a="1"/>
  <c r="I931" i="1" s="1"/>
  <c r="J931" i="1" s="1"/>
  <c r="I932" i="1" a="1"/>
  <c r="I932" i="1" s="1"/>
  <c r="J932" i="1" s="1"/>
  <c r="I933" i="1" a="1"/>
  <c r="I933" i="1" s="1"/>
  <c r="J933" i="1" s="1"/>
  <c r="I934" i="1" a="1"/>
  <c r="I934" i="1" s="1"/>
  <c r="J934" i="1" s="1"/>
  <c r="I935" i="1" a="1"/>
  <c r="I935" i="1" s="1"/>
  <c r="J935" i="1" s="1"/>
  <c r="I936" i="1" a="1"/>
  <c r="I936" i="1" s="1"/>
  <c r="J936" i="1" s="1"/>
  <c r="I937" i="1" a="1"/>
  <c r="I937" i="1" s="1"/>
  <c r="I938" i="1" a="1"/>
  <c r="I938" i="1" s="1"/>
  <c r="I939" i="1" a="1"/>
  <c r="I939" i="1" s="1"/>
  <c r="J939" i="1" s="1"/>
  <c r="I940" i="1" a="1"/>
  <c r="I940" i="1"/>
  <c r="J940" i="1" s="1"/>
  <c r="I941" i="1" a="1"/>
  <c r="I941" i="1" s="1"/>
  <c r="J941" i="1" s="1"/>
  <c r="I942" i="1" a="1"/>
  <c r="I942" i="1" s="1"/>
  <c r="J942" i="1" s="1"/>
  <c r="I943" i="1" a="1"/>
  <c r="I943" i="1" s="1"/>
  <c r="J943" i="1" s="1"/>
  <c r="I944" i="1" a="1"/>
  <c r="I944" i="1" s="1"/>
  <c r="J944" i="1" s="1"/>
  <c r="I945" i="1" a="1"/>
  <c r="I945" i="1" s="1"/>
  <c r="J945" i="1" s="1"/>
  <c r="I946" i="1" a="1"/>
  <c r="I946" i="1"/>
  <c r="J946" i="1" s="1"/>
  <c r="I947" i="1" a="1"/>
  <c r="I947" i="1" s="1"/>
  <c r="J947" i="1" s="1"/>
  <c r="I948" i="1" a="1"/>
  <c r="I948" i="1" s="1"/>
  <c r="J948" i="1" s="1"/>
  <c r="I949" i="1" a="1"/>
  <c r="I949" i="1" s="1"/>
  <c r="J949" i="1" s="1"/>
  <c r="I916" i="1" a="1"/>
  <c r="I916" i="1" s="1"/>
  <c r="J916" i="1" s="1"/>
  <c r="I883" i="1" a="1"/>
  <c r="I883" i="1" s="1"/>
  <c r="J883" i="1" s="1"/>
  <c r="I884" i="1" a="1"/>
  <c r="I884" i="1" s="1"/>
  <c r="J884" i="1" s="1"/>
  <c r="I885" i="1" a="1"/>
  <c r="I885" i="1" s="1"/>
  <c r="J885" i="1" s="1"/>
  <c r="I886" i="1" a="1"/>
  <c r="I886" i="1" s="1"/>
  <c r="J886" i="1" s="1"/>
  <c r="I887" i="1" a="1"/>
  <c r="I887" i="1" s="1"/>
  <c r="J887" i="1" s="1"/>
  <c r="I888" i="1" a="1"/>
  <c r="I888" i="1" s="1"/>
  <c r="J888" i="1" s="1"/>
  <c r="I889" i="1" a="1"/>
  <c r="I889" i="1" s="1"/>
  <c r="J889" i="1" s="1"/>
  <c r="I890" i="1" a="1"/>
  <c r="I890" i="1" s="1"/>
  <c r="J890" i="1" s="1"/>
  <c r="I891" i="1" a="1"/>
  <c r="I891" i="1" s="1"/>
  <c r="J891" i="1" s="1"/>
  <c r="I892" i="1" a="1"/>
  <c r="I892" i="1" s="1"/>
  <c r="J892" i="1" s="1"/>
  <c r="I893" i="1" a="1"/>
  <c r="I893" i="1" s="1"/>
  <c r="I894" i="1" a="1"/>
  <c r="I894" i="1" s="1"/>
  <c r="J894" i="1" s="1"/>
  <c r="I895" i="1" a="1"/>
  <c r="I895" i="1" s="1"/>
  <c r="J895" i="1" s="1"/>
  <c r="I896" i="1" a="1"/>
  <c r="I896" i="1" s="1"/>
  <c r="J896" i="1" s="1"/>
  <c r="I897" i="1" a="1"/>
  <c r="I897" i="1"/>
  <c r="J897" i="1" s="1"/>
  <c r="I898" i="1" a="1"/>
  <c r="I898" i="1" s="1"/>
  <c r="J898" i="1" s="1"/>
  <c r="I901" i="1" a="1"/>
  <c r="I901" i="1" s="1"/>
  <c r="J901" i="1" s="1"/>
  <c r="I902" i="1" a="1"/>
  <c r="I902" i="1" s="1"/>
  <c r="J902" i="1" s="1"/>
  <c r="I903" i="1" a="1"/>
  <c r="I903" i="1" s="1"/>
  <c r="J903" i="1" s="1"/>
  <c r="I904" i="1" a="1"/>
  <c r="I904" i="1" s="1"/>
  <c r="J904" i="1" s="1"/>
  <c r="I905" i="1" a="1"/>
  <c r="I905" i="1" s="1"/>
  <c r="J905" i="1" s="1"/>
  <c r="I906" i="1" a="1"/>
  <c r="I906" i="1" s="1"/>
  <c r="J906" i="1" s="1"/>
  <c r="I907" i="1" a="1"/>
  <c r="I907" i="1" s="1"/>
  <c r="I908" i="1" a="1"/>
  <c r="I908" i="1" s="1"/>
  <c r="I909" i="1" a="1"/>
  <c r="I909" i="1" s="1"/>
  <c r="I910" i="1" a="1"/>
  <c r="I910" i="1" s="1"/>
  <c r="I911" i="1" a="1"/>
  <c r="I911" i="1" s="1"/>
  <c r="J911" i="1" s="1"/>
  <c r="I912" i="1" a="1"/>
  <c r="I912" i="1" s="1"/>
  <c r="J912" i="1" s="1"/>
  <c r="I913" i="1" a="1"/>
  <c r="I913" i="1" s="1"/>
  <c r="J913" i="1" s="1"/>
  <c r="I914" i="1" a="1"/>
  <c r="I914" i="1" s="1"/>
  <c r="J914" i="1" s="1"/>
  <c r="I915" i="1" a="1"/>
  <c r="I915" i="1" s="1"/>
  <c r="J915" i="1" s="1"/>
  <c r="I882" i="1" a="1"/>
  <c r="I882" i="1" s="1"/>
  <c r="J882" i="1" s="1"/>
  <c r="I842" i="1" a="1"/>
  <c r="I842" i="1" s="1"/>
  <c r="J842" i="1" s="1"/>
  <c r="I843" i="1" a="1"/>
  <c r="I843" i="1" s="1"/>
  <c r="I844" i="1" a="1"/>
  <c r="I844" i="1" s="1"/>
  <c r="J844" i="1" s="1"/>
  <c r="I845" i="1" a="1"/>
  <c r="I845" i="1" s="1"/>
  <c r="J845" i="1" s="1"/>
  <c r="I846" i="1" a="1"/>
  <c r="I846" i="1" s="1"/>
  <c r="J846" i="1" s="1"/>
  <c r="I847" i="1" a="1"/>
  <c r="I847" i="1" s="1"/>
  <c r="J847" i="1" s="1"/>
  <c r="I848" i="1" a="1"/>
  <c r="I848" i="1" s="1"/>
  <c r="I849" i="1" a="1"/>
  <c r="I849" i="1" s="1"/>
  <c r="J849" i="1" s="1"/>
  <c r="I850" i="1" a="1"/>
  <c r="I850" i="1" s="1"/>
  <c r="J850" i="1" s="1"/>
  <c r="I851" i="1" a="1"/>
  <c r="I851" i="1" s="1"/>
  <c r="J851" i="1" s="1"/>
  <c r="I852" i="1" a="1"/>
  <c r="I852" i="1" s="1"/>
  <c r="J852" i="1" s="1"/>
  <c r="I853" i="1" a="1"/>
  <c r="I853" i="1" s="1"/>
  <c r="J853" i="1" s="1"/>
  <c r="I854" i="1" a="1"/>
  <c r="I854" i="1" s="1"/>
  <c r="J854" i="1" s="1"/>
  <c r="I855" i="1" a="1"/>
  <c r="I855" i="1" s="1"/>
  <c r="J855" i="1" s="1"/>
  <c r="I856" i="1" a="1"/>
  <c r="I856" i="1" s="1"/>
  <c r="J856" i="1" s="1"/>
  <c r="I857" i="1" a="1"/>
  <c r="I857" i="1" s="1"/>
  <c r="J857" i="1" s="1"/>
  <c r="I858" i="1" a="1"/>
  <c r="I858" i="1" s="1"/>
  <c r="I859" i="1" a="1"/>
  <c r="I859" i="1" s="1"/>
  <c r="J859" i="1" s="1"/>
  <c r="I860" i="1" a="1"/>
  <c r="I860" i="1" s="1"/>
  <c r="J860" i="1" s="1"/>
  <c r="I861" i="1" a="1"/>
  <c r="I861" i="1" s="1"/>
  <c r="J861" i="1" s="1"/>
  <c r="I862" i="1" a="1"/>
  <c r="I862" i="1" s="1"/>
  <c r="J862" i="1" s="1"/>
  <c r="I863" i="1" a="1"/>
  <c r="I863" i="1" s="1"/>
  <c r="J863" i="1" s="1"/>
  <c r="I864" i="1" a="1"/>
  <c r="I864" i="1" s="1"/>
  <c r="J864" i="1" s="1"/>
  <c r="I865" i="1" a="1"/>
  <c r="I865" i="1" s="1"/>
  <c r="J865" i="1" s="1"/>
  <c r="I866" i="1" a="1"/>
  <c r="I866" i="1" s="1"/>
  <c r="J866" i="1" s="1"/>
  <c r="I867" i="1" a="1"/>
  <c r="I867" i="1" s="1"/>
  <c r="J867" i="1" s="1"/>
  <c r="I868" i="1" a="1"/>
  <c r="I868" i="1" s="1"/>
  <c r="J868" i="1" s="1"/>
  <c r="I869" i="1" a="1"/>
  <c r="I869" i="1"/>
  <c r="J869" i="1" s="1"/>
  <c r="I870" i="1" a="1"/>
  <c r="I870" i="1" s="1"/>
  <c r="J870" i="1" s="1"/>
  <c r="I871" i="1" a="1"/>
  <c r="I871" i="1" s="1"/>
  <c r="J871" i="1" s="1"/>
  <c r="I872" i="1" a="1"/>
  <c r="I872" i="1" s="1"/>
  <c r="J872" i="1" s="1"/>
  <c r="I873" i="1" a="1"/>
  <c r="I873" i="1" s="1"/>
  <c r="J873" i="1" s="1"/>
  <c r="I874" i="1" a="1"/>
  <c r="I874" i="1" s="1"/>
  <c r="J874" i="1" s="1"/>
  <c r="I875" i="1" a="1"/>
  <c r="I875" i="1" s="1"/>
  <c r="J875" i="1" s="1"/>
  <c r="I876" i="1" a="1"/>
  <c r="I876" i="1" s="1"/>
  <c r="I877" i="1" a="1"/>
  <c r="I877" i="1" s="1"/>
  <c r="I878" i="1" a="1"/>
  <c r="I878" i="1" s="1"/>
  <c r="I879" i="1" a="1"/>
  <c r="I879" i="1" s="1"/>
  <c r="I880" i="1" a="1"/>
  <c r="I880" i="1" s="1"/>
  <c r="I881" i="1" a="1"/>
  <c r="I881" i="1" s="1"/>
  <c r="J881" i="1" s="1"/>
  <c r="I804" i="1" a="1"/>
  <c r="I804" i="1" s="1"/>
  <c r="J804" i="1" s="1"/>
  <c r="I805" i="1" a="1"/>
  <c r="I805" i="1" s="1"/>
  <c r="J805" i="1" s="1"/>
  <c r="I806" i="1" a="1"/>
  <c r="I806" i="1" s="1"/>
  <c r="I807" i="1" a="1"/>
  <c r="I807" i="1" s="1"/>
  <c r="I808" i="1" a="1"/>
  <c r="I808" i="1" s="1"/>
  <c r="J808" i="1" s="1"/>
  <c r="I809" i="1" a="1"/>
  <c r="I809" i="1" s="1"/>
  <c r="J809" i="1" s="1"/>
  <c r="I810" i="1" a="1"/>
  <c r="I810" i="1"/>
  <c r="J810" i="1" s="1"/>
  <c r="I811" i="1" a="1"/>
  <c r="I811" i="1" s="1"/>
  <c r="J811" i="1" s="1"/>
  <c r="I812" i="1" a="1"/>
  <c r="I812" i="1" s="1"/>
  <c r="J812" i="1" s="1"/>
  <c r="I813" i="1" a="1"/>
  <c r="I813" i="1" s="1"/>
  <c r="J813" i="1" s="1"/>
  <c r="I814" i="1" a="1"/>
  <c r="I814" i="1" s="1"/>
  <c r="I815" i="1" a="1"/>
  <c r="I815" i="1" s="1"/>
  <c r="J815" i="1" s="1"/>
  <c r="I816" i="1" a="1"/>
  <c r="I816" i="1" s="1"/>
  <c r="J816" i="1" s="1"/>
  <c r="I817" i="1" a="1"/>
  <c r="I817" i="1" s="1"/>
  <c r="J817" i="1" s="1"/>
  <c r="I818" i="1" a="1"/>
  <c r="I818" i="1" s="1"/>
  <c r="J818" i="1" s="1"/>
  <c r="I819" i="1" a="1"/>
  <c r="I819" i="1"/>
  <c r="J819" i="1" s="1"/>
  <c r="I820" i="1" a="1"/>
  <c r="I820" i="1" s="1"/>
  <c r="J820" i="1" s="1"/>
  <c r="I821" i="1" a="1"/>
  <c r="I821" i="1" s="1"/>
  <c r="J821" i="1" s="1"/>
  <c r="I823" i="1" a="1"/>
  <c r="I823" i="1" s="1"/>
  <c r="J823" i="1" s="1"/>
  <c r="I824" i="1" a="1"/>
  <c r="I824" i="1" s="1"/>
  <c r="J824" i="1" s="1"/>
  <c r="I825" i="1" a="1"/>
  <c r="I825" i="1" s="1"/>
  <c r="J825" i="1" s="1"/>
  <c r="I826" i="1" a="1"/>
  <c r="I826" i="1" s="1"/>
  <c r="I827" i="1" a="1"/>
  <c r="I827" i="1" s="1"/>
  <c r="I828" i="1" a="1"/>
  <c r="I828" i="1" s="1"/>
  <c r="I829" i="1" a="1"/>
  <c r="I829" i="1" s="1"/>
  <c r="I830" i="1" a="1"/>
  <c r="I830" i="1" s="1"/>
  <c r="I831" i="1" a="1"/>
  <c r="I831" i="1" s="1"/>
  <c r="J831" i="1" s="1"/>
  <c r="I832" i="1" a="1"/>
  <c r="I832" i="1" s="1"/>
  <c r="J832" i="1" s="1"/>
  <c r="I833" i="1" a="1"/>
  <c r="I833" i="1" s="1"/>
  <c r="J833" i="1" s="1"/>
  <c r="I834" i="1" a="1"/>
  <c r="I834" i="1" s="1"/>
  <c r="J834" i="1" s="1"/>
  <c r="I835" i="1" a="1"/>
  <c r="I835" i="1" s="1"/>
  <c r="J835" i="1" s="1"/>
  <c r="I836" i="1" a="1"/>
  <c r="I836" i="1" s="1"/>
  <c r="J836" i="1" s="1"/>
  <c r="I837" i="1" a="1"/>
  <c r="I837" i="1" s="1"/>
  <c r="J837" i="1" s="1"/>
  <c r="I838" i="1" a="1"/>
  <c r="I838" i="1" s="1"/>
  <c r="J838" i="1" s="1"/>
  <c r="I839" i="1" a="1"/>
  <c r="I839" i="1" s="1"/>
  <c r="J839" i="1" s="1"/>
  <c r="I840" i="1" a="1"/>
  <c r="I840" i="1" s="1"/>
  <c r="J840" i="1" s="1"/>
  <c r="I841" i="1" a="1"/>
  <c r="I841" i="1" s="1"/>
  <c r="J841" i="1" s="1"/>
  <c r="K803" i="1" a="1"/>
  <c r="K803" i="1" s="1"/>
  <c r="K802" i="1" a="1"/>
  <c r="K802" i="1" s="1"/>
  <c r="I802" i="1" a="1"/>
  <c r="I802" i="1" s="1"/>
  <c r="J802" i="1" s="1"/>
  <c r="K801" i="1" a="1"/>
  <c r="K801" i="1" s="1"/>
  <c r="I801" i="1" a="1"/>
  <c r="I801" i="1" s="1"/>
  <c r="J801" i="1" s="1"/>
  <c r="K800" i="1" a="1"/>
  <c r="K800" i="1" s="1"/>
  <c r="I800" i="1" a="1"/>
  <c r="I800" i="1" s="1"/>
  <c r="J800" i="1" s="1"/>
  <c r="K799" i="1" a="1"/>
  <c r="K799" i="1" s="1"/>
  <c r="I799" i="1" a="1"/>
  <c r="I799" i="1" s="1"/>
  <c r="J799" i="1" s="1"/>
  <c r="K798" i="1" a="1"/>
  <c r="K798" i="1" s="1"/>
  <c r="I798" i="1" a="1"/>
  <c r="I798" i="1" s="1"/>
  <c r="K797" i="1" a="1"/>
  <c r="K797" i="1" s="1"/>
  <c r="I797" i="1" a="1"/>
  <c r="I797" i="1" s="1"/>
  <c r="J797" i="1" s="1"/>
  <c r="K796" i="1" a="1"/>
  <c r="K796" i="1" s="1"/>
  <c r="I796" i="1" a="1"/>
  <c r="I796" i="1" s="1"/>
  <c r="J796" i="1" s="1"/>
  <c r="K795" i="1" a="1"/>
  <c r="K795" i="1" s="1"/>
  <c r="I795" i="1" a="1"/>
  <c r="I795" i="1" s="1"/>
  <c r="J795" i="1" s="1"/>
  <c r="K794" i="1" a="1"/>
  <c r="K794" i="1" s="1"/>
  <c r="I794" i="1" a="1"/>
  <c r="I794" i="1" s="1"/>
  <c r="J794" i="1" s="1"/>
  <c r="K793" i="1" a="1"/>
  <c r="K793" i="1" s="1"/>
  <c r="I793" i="1" a="1"/>
  <c r="I793" i="1" s="1"/>
  <c r="J793" i="1" s="1"/>
  <c r="K792" i="1" a="1"/>
  <c r="K792" i="1" s="1"/>
  <c r="I792" i="1" a="1"/>
  <c r="I792" i="1" s="1"/>
  <c r="J792" i="1" s="1"/>
  <c r="K791" i="1" a="1"/>
  <c r="K791" i="1" s="1"/>
  <c r="I791" i="1" a="1"/>
  <c r="I791" i="1" s="1"/>
  <c r="K790" i="1" a="1"/>
  <c r="K790" i="1" s="1"/>
  <c r="I790" i="1" a="1"/>
  <c r="I790" i="1" s="1"/>
  <c r="J790" i="1" s="1"/>
  <c r="K789" i="1" a="1"/>
  <c r="K789" i="1" s="1"/>
  <c r="I789" i="1" a="1"/>
  <c r="I789" i="1" s="1"/>
  <c r="J789" i="1" s="1"/>
  <c r="K788" i="1" a="1"/>
  <c r="K788" i="1" s="1"/>
  <c r="I788" i="1" a="1"/>
  <c r="I788" i="1" s="1"/>
  <c r="J788" i="1" s="1"/>
  <c r="K787" i="1" a="1"/>
  <c r="K787" i="1" s="1"/>
  <c r="I787" i="1" a="1"/>
  <c r="I787" i="1" s="1"/>
  <c r="J787" i="1" s="1"/>
  <c r="K786" i="1" a="1"/>
  <c r="K786" i="1" s="1"/>
  <c r="I786" i="1" a="1"/>
  <c r="I786" i="1" s="1"/>
  <c r="J786" i="1" s="1"/>
  <c r="K785" i="1" a="1"/>
  <c r="K785" i="1" s="1"/>
  <c r="I785" i="1" a="1"/>
  <c r="I785" i="1" s="1"/>
  <c r="J785" i="1" s="1"/>
  <c r="K784" i="1" a="1"/>
  <c r="K784" i="1" s="1"/>
  <c r="I784" i="1" a="1"/>
  <c r="I784" i="1" s="1"/>
  <c r="J784" i="1" s="1"/>
  <c r="K783" i="1" a="1"/>
  <c r="K783" i="1" s="1"/>
  <c r="I783" i="1" a="1"/>
  <c r="I783" i="1" s="1"/>
  <c r="J783" i="1" s="1"/>
  <c r="K782" i="1" a="1"/>
  <c r="K782" i="1" s="1"/>
  <c r="I782" i="1" a="1"/>
  <c r="I782" i="1" s="1"/>
  <c r="J782" i="1" s="1"/>
  <c r="K781" i="1" a="1"/>
  <c r="K781" i="1" s="1"/>
  <c r="I781" i="1" a="1"/>
  <c r="I781" i="1" s="1"/>
  <c r="J781" i="1" s="1"/>
  <c r="K780" i="1" a="1"/>
  <c r="K780" i="1" s="1"/>
  <c r="I780" i="1" a="1"/>
  <c r="I780" i="1" s="1"/>
  <c r="J780" i="1" s="1"/>
  <c r="K779" i="1" a="1"/>
  <c r="K779" i="1" s="1"/>
  <c r="I779" i="1" a="1"/>
  <c r="I779" i="1" s="1"/>
  <c r="J779" i="1" s="1"/>
  <c r="K778" i="1" a="1"/>
  <c r="K778" i="1" s="1"/>
  <c r="I778" i="1" a="1"/>
  <c r="I778" i="1" s="1"/>
  <c r="K777" i="1" a="1"/>
  <c r="K777" i="1" s="1"/>
  <c r="I777" i="1" a="1"/>
  <c r="I777" i="1" s="1"/>
  <c r="K776" i="1" a="1"/>
  <c r="K776" i="1" s="1"/>
  <c r="I776" i="1" a="1"/>
  <c r="I776" i="1" s="1"/>
  <c r="K775" i="1" a="1"/>
  <c r="K775" i="1" s="1"/>
  <c r="I775" i="1" a="1"/>
  <c r="I775" i="1" s="1"/>
  <c r="K774" i="1" a="1"/>
  <c r="K774" i="1" s="1"/>
  <c r="I774" i="1" a="1"/>
  <c r="I774" i="1" s="1"/>
  <c r="J774" i="1" s="1"/>
  <c r="K773" i="1" a="1"/>
  <c r="K773" i="1" s="1"/>
  <c r="I773" i="1" a="1"/>
  <c r="I773" i="1" s="1"/>
  <c r="J773" i="1" s="1"/>
  <c r="K772" i="1" a="1"/>
  <c r="K772" i="1" s="1"/>
  <c r="I772" i="1" a="1"/>
  <c r="I772" i="1" s="1"/>
  <c r="J772" i="1" s="1"/>
  <c r="K771" i="1" a="1"/>
  <c r="K771" i="1" s="1"/>
  <c r="I771" i="1" a="1"/>
  <c r="I771" i="1" s="1"/>
  <c r="J771" i="1" s="1"/>
  <c r="K770" i="1" a="1"/>
  <c r="K770" i="1" s="1"/>
  <c r="I770" i="1" a="1"/>
  <c r="I770" i="1" s="1"/>
  <c r="J770" i="1" s="1"/>
  <c r="K769" i="1" a="1"/>
  <c r="K769" i="1" s="1"/>
  <c r="I769" i="1" a="1"/>
  <c r="I769" i="1" s="1"/>
  <c r="J769" i="1" s="1"/>
  <c r="K768" i="1" a="1"/>
  <c r="K768" i="1" s="1"/>
  <c r="I768" i="1" a="1"/>
  <c r="I768" i="1" s="1"/>
  <c r="J768" i="1" s="1"/>
  <c r="K767" i="1" a="1"/>
  <c r="K767" i="1" s="1"/>
  <c r="I767" i="1" a="1"/>
  <c r="I767" i="1" s="1"/>
  <c r="J767" i="1" s="1"/>
  <c r="K766" i="1" a="1"/>
  <c r="K766" i="1" s="1"/>
  <c r="I766" i="1" a="1"/>
  <c r="I766" i="1" s="1"/>
  <c r="J766" i="1" s="1"/>
  <c r="K765" i="1" a="1"/>
  <c r="K765" i="1" s="1"/>
  <c r="I765" i="1" a="1"/>
  <c r="I765" i="1" s="1"/>
  <c r="J765" i="1" s="1"/>
  <c r="K764" i="1" a="1"/>
  <c r="K764" i="1" s="1"/>
  <c r="I764" i="1" a="1"/>
  <c r="I764" i="1" s="1"/>
  <c r="J764" i="1" s="1"/>
  <c r="K763" i="1" a="1"/>
  <c r="K763" i="1" s="1"/>
  <c r="I763" i="1" a="1"/>
  <c r="I763" i="1" s="1"/>
  <c r="K762" i="1" a="1"/>
  <c r="K762" i="1" s="1"/>
  <c r="I762" i="1" a="1"/>
  <c r="I762" i="1" s="1"/>
  <c r="J762" i="1" s="1"/>
  <c r="K761" i="1" a="1"/>
  <c r="K761" i="1" s="1"/>
  <c r="I761" i="1" a="1"/>
  <c r="I761" i="1" s="1"/>
  <c r="J761" i="1" s="1"/>
  <c r="K760" i="1" a="1"/>
  <c r="K760" i="1" s="1"/>
  <c r="I760" i="1" a="1"/>
  <c r="I760" i="1" s="1"/>
  <c r="J760" i="1" s="1"/>
  <c r="K759" i="1" a="1"/>
  <c r="K759" i="1" s="1"/>
  <c r="I759" i="1" a="1"/>
  <c r="I759" i="1" s="1"/>
  <c r="J759" i="1" s="1"/>
  <c r="K758" i="1" a="1"/>
  <c r="K758" i="1" s="1"/>
  <c r="I758" i="1" a="1"/>
  <c r="I758" i="1" s="1"/>
  <c r="J758" i="1" s="1"/>
  <c r="K757" i="1" a="1"/>
  <c r="K757" i="1" s="1"/>
  <c r="I757" i="1" a="1"/>
  <c r="I757" i="1" s="1"/>
  <c r="J757" i="1" s="1"/>
  <c r="K756" i="1" a="1"/>
  <c r="K756" i="1" s="1"/>
  <c r="I756" i="1" a="1"/>
  <c r="I756" i="1" s="1"/>
  <c r="J756" i="1" s="1"/>
  <c r="K755" i="1" a="1"/>
  <c r="K755" i="1" s="1"/>
  <c r="I755" i="1" a="1"/>
  <c r="I755" i="1" s="1"/>
  <c r="J755" i="1" s="1"/>
  <c r="K754" i="1" a="1"/>
  <c r="K754" i="1" s="1"/>
  <c r="I754" i="1" a="1"/>
  <c r="I754" i="1" s="1"/>
  <c r="J754" i="1" s="1"/>
  <c r="K753" i="1" a="1"/>
  <c r="K753" i="1" s="1"/>
  <c r="I753" i="1" a="1"/>
  <c r="I753" i="1" s="1"/>
  <c r="J753" i="1" s="1"/>
  <c r="K752" i="1" a="1"/>
  <c r="K752" i="1" s="1"/>
  <c r="I752" i="1" a="1"/>
  <c r="I752" i="1" s="1"/>
  <c r="J752" i="1" s="1"/>
  <c r="K751" i="1" a="1"/>
  <c r="K751" i="1" s="1"/>
  <c r="I751" i="1" a="1"/>
  <c r="I751" i="1" s="1"/>
  <c r="J751" i="1" s="1"/>
  <c r="K750" i="1" a="1"/>
  <c r="K750" i="1" s="1"/>
  <c r="I750" i="1" a="1"/>
  <c r="I750" i="1" s="1"/>
  <c r="K749" i="1" a="1"/>
  <c r="K749" i="1" s="1"/>
  <c r="I749" i="1" a="1"/>
  <c r="I749" i="1" s="1"/>
  <c r="K748" i="1" a="1"/>
  <c r="K748" i="1" s="1"/>
  <c r="I748" i="1" a="1"/>
  <c r="I748" i="1" s="1"/>
  <c r="J748" i="1" s="1"/>
  <c r="K747" i="1" a="1"/>
  <c r="K747" i="1" s="1"/>
  <c r="I747" i="1" a="1"/>
  <c r="I747" i="1" s="1"/>
  <c r="K746" i="1" a="1"/>
  <c r="K746" i="1" s="1"/>
  <c r="I746" i="1" a="1"/>
  <c r="I746" i="1" s="1"/>
  <c r="K745" i="1" a="1"/>
  <c r="K745" i="1" s="1"/>
  <c r="I745" i="1" a="1"/>
  <c r="I745" i="1" s="1"/>
  <c r="J745" i="1" s="1"/>
  <c r="K744" i="1" a="1"/>
  <c r="K744" i="1" s="1"/>
  <c r="I744" i="1" a="1"/>
  <c r="I744" i="1" s="1"/>
  <c r="J744" i="1" s="1"/>
  <c r="K743" i="1" a="1"/>
  <c r="K743" i="1" s="1"/>
  <c r="I743" i="1" a="1"/>
  <c r="I743" i="1" s="1"/>
  <c r="J743" i="1" s="1"/>
  <c r="K742" i="1" a="1"/>
  <c r="K742" i="1" s="1"/>
  <c r="I742" i="1" a="1"/>
  <c r="I742" i="1" s="1"/>
  <c r="J742" i="1" s="1"/>
  <c r="K741" i="1" a="1"/>
  <c r="K741" i="1" s="1"/>
  <c r="I741" i="1" a="1"/>
  <c r="I741" i="1" s="1"/>
  <c r="J741" i="1" s="1"/>
  <c r="K740" i="1" a="1"/>
  <c r="K740" i="1" s="1"/>
  <c r="I740" i="1" a="1"/>
  <c r="I740" i="1" s="1"/>
  <c r="J740" i="1" s="1"/>
  <c r="K739" i="1" a="1"/>
  <c r="K739" i="1" s="1"/>
  <c r="I739" i="1" a="1"/>
  <c r="I739" i="1" s="1"/>
  <c r="J739" i="1" s="1"/>
  <c r="K738" i="1" a="1"/>
  <c r="K738" i="1" s="1"/>
  <c r="I738" i="1" a="1"/>
  <c r="I738" i="1" s="1"/>
  <c r="J738" i="1" s="1"/>
  <c r="K737" i="1" a="1"/>
  <c r="K737" i="1" s="1"/>
  <c r="I737" i="1" a="1"/>
  <c r="I737" i="1" s="1"/>
  <c r="J737" i="1" s="1"/>
  <c r="K736" i="1" a="1"/>
  <c r="K736" i="1" s="1"/>
  <c r="I736" i="1" a="1"/>
  <c r="I736" i="1" s="1"/>
  <c r="J736" i="1" s="1"/>
  <c r="K735" i="1" a="1"/>
  <c r="K735" i="1" s="1"/>
  <c r="I735" i="1" a="1"/>
  <c r="I735" i="1" s="1"/>
  <c r="J735" i="1" s="1"/>
  <c r="K734" i="1" a="1"/>
  <c r="K734" i="1" s="1"/>
  <c r="I734" i="1" a="1"/>
  <c r="I734" i="1" s="1"/>
  <c r="J734" i="1" s="1"/>
  <c r="K733" i="1" a="1"/>
  <c r="K733" i="1" s="1"/>
  <c r="I733" i="1" a="1"/>
  <c r="I733" i="1" s="1"/>
  <c r="J733" i="1" s="1"/>
  <c r="K732" i="1" a="1"/>
  <c r="K732" i="1" s="1"/>
  <c r="I732" i="1" a="1"/>
  <c r="I732" i="1" s="1"/>
  <c r="J732" i="1" s="1"/>
  <c r="K731" i="1" a="1"/>
  <c r="K731" i="1" s="1"/>
  <c r="I731" i="1" a="1"/>
  <c r="I731" i="1" s="1"/>
  <c r="J731" i="1" s="1"/>
  <c r="K730" i="1" a="1"/>
  <c r="K730" i="1" s="1"/>
  <c r="I730" i="1" a="1"/>
  <c r="I730" i="1" s="1"/>
  <c r="J730" i="1" s="1"/>
  <c r="K729" i="1" a="1"/>
  <c r="K729" i="1" s="1"/>
  <c r="I729" i="1" a="1"/>
  <c r="I729" i="1" s="1"/>
  <c r="J729" i="1" s="1"/>
  <c r="K728" i="1" a="1"/>
  <c r="K728" i="1" s="1"/>
  <c r="I728" i="1" a="1"/>
  <c r="I728" i="1" s="1"/>
  <c r="K727" i="1" a="1"/>
  <c r="K727" i="1" s="1"/>
  <c r="I727" i="1" a="1"/>
  <c r="I727" i="1" s="1"/>
  <c r="K726" i="1" a="1"/>
  <c r="K726" i="1" s="1"/>
  <c r="I726" i="1" a="1"/>
  <c r="I726" i="1" s="1"/>
  <c r="K725" i="1" a="1"/>
  <c r="K725" i="1" s="1"/>
  <c r="I725" i="1" a="1"/>
  <c r="I725" i="1" s="1"/>
  <c r="J725" i="1" s="1"/>
  <c r="K724" i="1" a="1"/>
  <c r="K724" i="1" s="1"/>
  <c r="I724" i="1" a="1"/>
  <c r="I724" i="1" s="1"/>
  <c r="J724" i="1" s="1"/>
  <c r="K723" i="1" a="1"/>
  <c r="K723" i="1" s="1"/>
  <c r="I723" i="1" a="1"/>
  <c r="I723" i="1" s="1"/>
  <c r="J723" i="1" s="1"/>
  <c r="K722" i="1" a="1"/>
  <c r="K722" i="1" s="1"/>
  <c r="K721" i="1" a="1"/>
  <c r="K721" i="1" s="1"/>
  <c r="I721" i="1" a="1"/>
  <c r="I721" i="1" s="1"/>
  <c r="J721" i="1" s="1"/>
  <c r="K720" i="1" a="1"/>
  <c r="K720" i="1" s="1"/>
  <c r="I720" i="1" a="1"/>
  <c r="I720" i="1" s="1"/>
  <c r="J720" i="1" s="1"/>
  <c r="K719" i="1" a="1"/>
  <c r="K719" i="1" s="1"/>
  <c r="I719" i="1" a="1"/>
  <c r="I719" i="1" s="1"/>
  <c r="J719" i="1" s="1"/>
  <c r="K718" i="1" a="1"/>
  <c r="K718" i="1" s="1"/>
  <c r="I718" i="1" a="1"/>
  <c r="I718" i="1" s="1"/>
  <c r="J718" i="1" s="1"/>
  <c r="K717" i="1" a="1"/>
  <c r="K717" i="1" s="1"/>
  <c r="I717" i="1" a="1"/>
  <c r="I717" i="1" s="1"/>
  <c r="J717" i="1" s="1"/>
  <c r="K716" i="1" a="1"/>
  <c r="K716" i="1" s="1"/>
  <c r="I716" i="1" a="1"/>
  <c r="I716" i="1" s="1"/>
  <c r="J716" i="1" s="1"/>
  <c r="K715" i="1" a="1"/>
  <c r="K715" i="1" s="1"/>
  <c r="I715" i="1" a="1"/>
  <c r="I715" i="1" s="1"/>
  <c r="J715" i="1" s="1"/>
  <c r="K714" i="1" a="1"/>
  <c r="K714" i="1" s="1"/>
  <c r="I714" i="1" a="1"/>
  <c r="I714" i="1" s="1"/>
  <c r="J714" i="1" s="1"/>
  <c r="I662" i="1" a="1"/>
  <c r="I662" i="1" s="1"/>
  <c r="J662" i="1" s="1"/>
  <c r="I663" i="1" a="1"/>
  <c r="I663" i="1" s="1"/>
  <c r="J663" i="1" s="1"/>
  <c r="I664" i="1" a="1"/>
  <c r="I664" i="1" s="1"/>
  <c r="J664" i="1" s="1"/>
  <c r="I665" i="1" a="1"/>
  <c r="I665" i="1" s="1"/>
  <c r="I666" i="1" a="1"/>
  <c r="I666" i="1" s="1"/>
  <c r="I667" i="1" a="1"/>
  <c r="I667" i="1" s="1"/>
  <c r="J667" i="1" s="1"/>
  <c r="I668" i="1" a="1"/>
  <c r="I668" i="1" s="1"/>
  <c r="J668" i="1" s="1"/>
  <c r="I669" i="1" a="1"/>
  <c r="I669" i="1" s="1"/>
  <c r="I670" i="1" a="1"/>
  <c r="I670" i="1" s="1"/>
  <c r="J670" i="1" s="1"/>
  <c r="I671" i="1" a="1"/>
  <c r="I671" i="1" s="1"/>
  <c r="J671" i="1" s="1"/>
  <c r="I672" i="1" a="1"/>
  <c r="I672" i="1" s="1"/>
  <c r="J672" i="1" s="1"/>
  <c r="I673" i="1" a="1"/>
  <c r="I673" i="1" s="1"/>
  <c r="J673" i="1" s="1"/>
  <c r="I674" i="1" a="1"/>
  <c r="I674" i="1" s="1"/>
  <c r="J674" i="1" s="1"/>
  <c r="I675" i="1" a="1"/>
  <c r="I675" i="1" s="1"/>
  <c r="J675" i="1" s="1"/>
  <c r="I676" i="1" a="1"/>
  <c r="I676" i="1" s="1"/>
  <c r="I677" i="1" a="1"/>
  <c r="I677" i="1" s="1"/>
  <c r="I678" i="1" a="1"/>
  <c r="I678" i="1" s="1"/>
  <c r="J678" i="1" s="1"/>
  <c r="I679" i="1" a="1"/>
  <c r="I679" i="1" s="1"/>
  <c r="J679" i="1" s="1"/>
  <c r="I680" i="1" a="1"/>
  <c r="I680" i="1" s="1"/>
  <c r="J680" i="1" s="1"/>
  <c r="I681" i="1" a="1"/>
  <c r="I681" i="1" s="1"/>
  <c r="J681" i="1" s="1"/>
  <c r="I682" i="1" a="1"/>
  <c r="I682" i="1" s="1"/>
  <c r="J682" i="1" s="1"/>
  <c r="I683" i="1" a="1"/>
  <c r="I683" i="1" s="1"/>
  <c r="J683" i="1" s="1"/>
  <c r="I684" i="1" a="1"/>
  <c r="I684" i="1" s="1"/>
  <c r="I685" i="1" a="1"/>
  <c r="I685" i="1" s="1"/>
  <c r="J685" i="1" s="1"/>
  <c r="I686" i="1" a="1"/>
  <c r="I686" i="1" s="1"/>
  <c r="J686" i="1" s="1"/>
  <c r="I687" i="1" a="1"/>
  <c r="I687" i="1" s="1"/>
  <c r="J687" i="1" s="1"/>
  <c r="I688" i="1" a="1"/>
  <c r="I688" i="1" s="1"/>
  <c r="J688" i="1" s="1"/>
  <c r="I689" i="1" a="1"/>
  <c r="I689" i="1" s="1"/>
  <c r="J689" i="1" s="1"/>
  <c r="I690" i="1" a="1"/>
  <c r="I690" i="1" s="1"/>
  <c r="J690" i="1" s="1"/>
  <c r="I691" i="1" a="1"/>
  <c r="I691" i="1" s="1"/>
  <c r="J691" i="1" s="1"/>
  <c r="I692" i="1" a="1"/>
  <c r="I692" i="1" s="1"/>
  <c r="J692" i="1" s="1"/>
  <c r="I693" i="1" a="1"/>
  <c r="I693" i="1" s="1"/>
  <c r="J693" i="1" s="1"/>
  <c r="I694" i="1" a="1"/>
  <c r="I694" i="1" s="1"/>
  <c r="J694" i="1" s="1"/>
  <c r="I695" i="1" a="1"/>
  <c r="I695" i="1" s="1"/>
  <c r="I696" i="1" a="1"/>
  <c r="I696" i="1" s="1"/>
  <c r="I697" i="1" a="1"/>
  <c r="I697" i="1" s="1"/>
  <c r="J697" i="1" s="1"/>
  <c r="I698" i="1" a="1"/>
  <c r="I698" i="1" s="1"/>
  <c r="I699" i="1" a="1"/>
  <c r="I699" i="1" s="1"/>
  <c r="I700" i="1" a="1"/>
  <c r="I700" i="1" s="1"/>
  <c r="J700" i="1" s="1"/>
  <c r="I701" i="1" a="1"/>
  <c r="I701" i="1" s="1"/>
  <c r="J701" i="1" s="1"/>
  <c r="I702" i="1" a="1"/>
  <c r="I702" i="1"/>
  <c r="J702" i="1" s="1"/>
  <c r="I703" i="1" a="1"/>
  <c r="I703" i="1" s="1"/>
  <c r="J703" i="1" s="1"/>
  <c r="I704" i="1" a="1"/>
  <c r="I704" i="1" s="1"/>
  <c r="J704" i="1" s="1"/>
  <c r="I705" i="1" a="1"/>
  <c r="I705" i="1" s="1"/>
  <c r="J705" i="1" s="1"/>
  <c r="I706" i="1" a="1"/>
  <c r="I706" i="1" s="1"/>
  <c r="J706" i="1" s="1"/>
  <c r="I707" i="1" a="1"/>
  <c r="I707" i="1" s="1"/>
  <c r="J707" i="1" s="1"/>
  <c r="I708" i="1" a="1"/>
  <c r="I708" i="1" s="1"/>
  <c r="J708" i="1" s="1"/>
  <c r="I709" i="1" a="1"/>
  <c r="I709" i="1"/>
  <c r="J709" i="1" s="1"/>
  <c r="I710" i="1" a="1"/>
  <c r="I710" i="1" s="1"/>
  <c r="J710" i="1" s="1"/>
  <c r="I711" i="1" a="1"/>
  <c r="I711" i="1" s="1"/>
  <c r="J711" i="1" s="1"/>
  <c r="I712" i="1" a="1"/>
  <c r="I712" i="1" s="1"/>
  <c r="I713" i="1" a="1"/>
  <c r="I713" i="1" s="1"/>
  <c r="J713" i="1" s="1"/>
  <c r="K713" i="1" a="1"/>
  <c r="K713" i="1" s="1"/>
  <c r="K712" i="1" a="1"/>
  <c r="K712" i="1" s="1"/>
  <c r="K711" i="1" a="1"/>
  <c r="K711" i="1" s="1"/>
  <c r="K710" i="1" a="1"/>
  <c r="K710" i="1" s="1"/>
  <c r="K709" i="1" a="1"/>
  <c r="K709" i="1" s="1"/>
  <c r="K708" i="1" a="1"/>
  <c r="K708" i="1" s="1"/>
  <c r="K707" i="1" a="1"/>
  <c r="K707" i="1" s="1"/>
  <c r="K706" i="1" a="1"/>
  <c r="K706" i="1" s="1"/>
  <c r="K705" i="1" a="1"/>
  <c r="K705" i="1" s="1"/>
  <c r="K704" i="1" a="1"/>
  <c r="K704" i="1" s="1"/>
  <c r="K703" i="1" a="1"/>
  <c r="K703" i="1" s="1"/>
  <c r="K702" i="1" a="1"/>
  <c r="K702" i="1" s="1"/>
  <c r="K701" i="1" a="1"/>
  <c r="K701" i="1" s="1"/>
  <c r="K700" i="1" a="1"/>
  <c r="K700" i="1" s="1"/>
  <c r="K699" i="1" a="1"/>
  <c r="K699" i="1" s="1"/>
  <c r="K698" i="1" a="1"/>
  <c r="K698" i="1" s="1"/>
  <c r="K697" i="1" a="1"/>
  <c r="K697" i="1" s="1"/>
  <c r="K696" i="1" a="1"/>
  <c r="K696" i="1" s="1"/>
  <c r="K695" i="1" a="1"/>
  <c r="K695" i="1" s="1"/>
  <c r="K694" i="1" a="1"/>
  <c r="K694" i="1" s="1"/>
  <c r="K693" i="1" a="1"/>
  <c r="K693" i="1" s="1"/>
  <c r="K692" i="1" a="1"/>
  <c r="K692" i="1" s="1"/>
  <c r="K691" i="1" a="1"/>
  <c r="K691" i="1" s="1"/>
  <c r="K690" i="1" a="1"/>
  <c r="K690" i="1" s="1"/>
  <c r="K689" i="1" a="1"/>
  <c r="K689" i="1" s="1"/>
  <c r="K688" i="1" a="1"/>
  <c r="K688" i="1" s="1"/>
  <c r="K687" i="1" a="1"/>
  <c r="K687" i="1" s="1"/>
  <c r="K686" i="1" a="1"/>
  <c r="K686" i="1" s="1"/>
  <c r="K685" i="1" a="1"/>
  <c r="K685" i="1" s="1"/>
  <c r="K684" i="1" a="1"/>
  <c r="K684" i="1" s="1"/>
  <c r="K683" i="1" a="1"/>
  <c r="K683" i="1" s="1"/>
  <c r="K682" i="1" a="1"/>
  <c r="K682" i="1" s="1"/>
  <c r="K681" i="1" a="1"/>
  <c r="K681" i="1" s="1"/>
  <c r="K680" i="1" a="1"/>
  <c r="K680" i="1" s="1"/>
  <c r="K679" i="1" a="1"/>
  <c r="K679" i="1" s="1"/>
  <c r="K678" i="1" a="1"/>
  <c r="K678" i="1" s="1"/>
  <c r="K677" i="1" a="1"/>
  <c r="K677" i="1" s="1"/>
  <c r="K676" i="1" a="1"/>
  <c r="K676" i="1" s="1"/>
  <c r="K675" i="1" a="1"/>
  <c r="K675" i="1" s="1"/>
  <c r="K674" i="1" a="1"/>
  <c r="K674" i="1" s="1"/>
  <c r="K673" i="1" a="1"/>
  <c r="K673" i="1" s="1"/>
  <c r="K672" i="1" a="1"/>
  <c r="K672" i="1" s="1"/>
  <c r="K671" i="1" a="1"/>
  <c r="K671" i="1" s="1"/>
  <c r="K670" i="1" a="1"/>
  <c r="K670" i="1" s="1"/>
  <c r="K669" i="1" a="1"/>
  <c r="K669" i="1" s="1"/>
  <c r="K668" i="1" a="1"/>
  <c r="K668" i="1" s="1"/>
  <c r="K667" i="1" a="1"/>
  <c r="K667" i="1" s="1"/>
  <c r="K666" i="1" a="1"/>
  <c r="K666" i="1" s="1"/>
  <c r="K665" i="1" a="1"/>
  <c r="K665" i="1" s="1"/>
  <c r="K664" i="1" a="1"/>
  <c r="K664" i="1" s="1"/>
  <c r="K663" i="1" a="1"/>
  <c r="K663" i="1" s="1"/>
  <c r="K662" i="1" a="1"/>
  <c r="K662" i="1" s="1"/>
  <c r="K661" i="1" a="1"/>
  <c r="K661" i="1" s="1"/>
  <c r="I661" i="1" a="1"/>
  <c r="I661" i="1" s="1"/>
  <c r="J661" i="1" s="1"/>
  <c r="K660" i="1" a="1"/>
  <c r="K660" i="1" s="1"/>
  <c r="I660" i="1" a="1"/>
  <c r="I660" i="1" s="1"/>
  <c r="J660" i="1" s="1"/>
  <c r="K659" i="1" a="1"/>
  <c r="K659" i="1" s="1"/>
  <c r="I659" i="1" a="1"/>
  <c r="I659" i="1" s="1"/>
  <c r="J659" i="1" s="1"/>
  <c r="K658" i="1" a="1"/>
  <c r="K658" i="1" s="1"/>
  <c r="I658" i="1" a="1"/>
  <c r="I658" i="1" s="1"/>
  <c r="J658" i="1" s="1"/>
  <c r="K657" i="1" a="1"/>
  <c r="K657" i="1" s="1"/>
  <c r="I657" i="1" a="1"/>
  <c r="I657" i="1" s="1"/>
  <c r="J657" i="1" s="1"/>
  <c r="K656" i="1" a="1"/>
  <c r="K656" i="1" s="1"/>
  <c r="I656" i="1" a="1"/>
  <c r="I656" i="1" s="1"/>
  <c r="J656" i="1" s="1"/>
  <c r="K655" i="1" a="1"/>
  <c r="K655" i="1" s="1"/>
  <c r="I655" i="1" a="1"/>
  <c r="I655" i="1" s="1"/>
  <c r="J655" i="1" s="1"/>
  <c r="K654" i="1" a="1"/>
  <c r="K654" i="1" s="1"/>
  <c r="I654" i="1" a="1"/>
  <c r="I654" i="1" s="1"/>
  <c r="J654" i="1" s="1"/>
  <c r="K653" i="1" a="1"/>
  <c r="K653" i="1" s="1"/>
  <c r="I653" i="1" a="1"/>
  <c r="I653" i="1" s="1"/>
  <c r="J653" i="1" s="1"/>
  <c r="K652" i="1" a="1"/>
  <c r="K652" i="1" s="1"/>
  <c r="I652" i="1" a="1"/>
  <c r="I652" i="1" s="1"/>
  <c r="J652" i="1" s="1"/>
  <c r="K651" i="1" a="1"/>
  <c r="K651" i="1" s="1"/>
  <c r="I651" i="1" a="1"/>
  <c r="I651" i="1" s="1"/>
  <c r="J651" i="1" s="1"/>
  <c r="K650" i="1" a="1"/>
  <c r="K650" i="1" s="1"/>
  <c r="I650" i="1" a="1"/>
  <c r="I650" i="1" s="1"/>
  <c r="K649" i="1" a="1"/>
  <c r="K649" i="1" s="1"/>
  <c r="I649" i="1" a="1"/>
  <c r="I649" i="1" s="1"/>
  <c r="J649" i="1" s="1"/>
  <c r="K648" i="1" a="1"/>
  <c r="K648" i="1" s="1"/>
  <c r="I648" i="1" a="1"/>
  <c r="I648" i="1" s="1"/>
  <c r="J648" i="1" s="1"/>
  <c r="K647" i="1" a="1"/>
  <c r="K647" i="1" s="1"/>
  <c r="I647" i="1" a="1"/>
  <c r="I647" i="1" s="1"/>
  <c r="J647" i="1" s="1"/>
  <c r="K646" i="1" a="1"/>
  <c r="K646" i="1" s="1"/>
  <c r="I646" i="1" a="1"/>
  <c r="I646" i="1" s="1"/>
  <c r="J646" i="1" s="1"/>
  <c r="K645" i="1" a="1"/>
  <c r="K645" i="1" s="1"/>
  <c r="I645" i="1" a="1"/>
  <c r="I645" i="1" s="1"/>
  <c r="J645" i="1" s="1"/>
  <c r="K644" i="1" a="1"/>
  <c r="K644" i="1" s="1"/>
  <c r="I644" i="1" a="1"/>
  <c r="I644" i="1" s="1"/>
  <c r="J644" i="1" s="1"/>
  <c r="K643" i="1" a="1"/>
  <c r="K643" i="1" s="1"/>
  <c r="I643" i="1" a="1"/>
  <c r="I643" i="1" s="1"/>
  <c r="J643" i="1" s="1"/>
  <c r="K642" i="1" a="1"/>
  <c r="K642" i="1" s="1"/>
  <c r="I642" i="1" a="1"/>
  <c r="I642" i="1" s="1"/>
  <c r="J642" i="1" s="1"/>
  <c r="K641" i="1" a="1"/>
  <c r="K641" i="1" s="1"/>
  <c r="I641" i="1" a="1"/>
  <c r="I641" i="1" s="1"/>
  <c r="J641" i="1" s="1"/>
  <c r="K640" i="1" a="1"/>
  <c r="K640" i="1" s="1"/>
  <c r="I640" i="1" a="1"/>
  <c r="I640" i="1" s="1"/>
  <c r="J640" i="1" s="1"/>
  <c r="K639" i="1" a="1"/>
  <c r="K639" i="1" s="1"/>
  <c r="I639" i="1" a="1"/>
  <c r="I639" i="1" s="1"/>
  <c r="J639" i="1" s="1"/>
  <c r="K638" i="1" a="1"/>
  <c r="K638" i="1" s="1"/>
  <c r="I638" i="1" a="1"/>
  <c r="I638" i="1" s="1"/>
  <c r="J638" i="1" s="1"/>
  <c r="K637" i="1" a="1"/>
  <c r="K637" i="1" s="1"/>
  <c r="I637" i="1" a="1"/>
  <c r="I637" i="1" s="1"/>
  <c r="J637" i="1" s="1"/>
  <c r="K636" i="1" a="1"/>
  <c r="K636" i="1" s="1"/>
  <c r="I636" i="1" a="1"/>
  <c r="I636" i="1" s="1"/>
  <c r="J636" i="1" s="1"/>
  <c r="K635" i="1" a="1"/>
  <c r="K635" i="1" s="1"/>
  <c r="I635" i="1" a="1"/>
  <c r="I635" i="1" s="1"/>
  <c r="J635" i="1" s="1"/>
  <c r="K634" i="1" a="1"/>
  <c r="K634" i="1" s="1"/>
  <c r="I634" i="1" a="1"/>
  <c r="I634" i="1" s="1"/>
  <c r="J634" i="1" s="1"/>
  <c r="K633" i="1" a="1"/>
  <c r="K633" i="1" s="1"/>
  <c r="I633" i="1" a="1"/>
  <c r="I633" i="1" s="1"/>
  <c r="K632" i="1" a="1"/>
  <c r="K632" i="1" s="1"/>
  <c r="I632" i="1" a="1"/>
  <c r="I632" i="1" s="1"/>
  <c r="K631" i="1" a="1"/>
  <c r="K631" i="1" s="1"/>
  <c r="I631" i="1" a="1"/>
  <c r="I631" i="1" s="1"/>
  <c r="J631" i="1" s="1"/>
  <c r="K630" i="1" a="1"/>
  <c r="K630" i="1" s="1"/>
  <c r="I630" i="1" a="1"/>
  <c r="I630" i="1" s="1"/>
  <c r="J630" i="1" s="1"/>
  <c r="K629" i="1" a="1"/>
  <c r="K629" i="1" s="1"/>
  <c r="I629" i="1" a="1"/>
  <c r="I629" i="1" s="1"/>
  <c r="J629" i="1" s="1"/>
  <c r="K628" i="1" a="1"/>
  <c r="K628" i="1" s="1"/>
  <c r="I628" i="1" a="1"/>
  <c r="I628" i="1" s="1"/>
  <c r="K627" i="1" a="1"/>
  <c r="K627" i="1" s="1"/>
  <c r="I627" i="1" a="1"/>
  <c r="I627" i="1" s="1"/>
  <c r="J627" i="1" s="1"/>
  <c r="K626" i="1" a="1"/>
  <c r="K626" i="1" s="1"/>
  <c r="I626" i="1" a="1"/>
  <c r="I626" i="1" s="1"/>
  <c r="J626" i="1" s="1"/>
  <c r="K625" i="1" a="1"/>
  <c r="K625" i="1" s="1"/>
  <c r="I625" i="1" a="1"/>
  <c r="I625" i="1" s="1"/>
  <c r="J625" i="1" s="1"/>
  <c r="K624" i="1" a="1"/>
  <c r="K624" i="1" s="1"/>
  <c r="I624" i="1" a="1"/>
  <c r="I624" i="1" s="1"/>
  <c r="J624" i="1" s="1"/>
  <c r="K623" i="1" a="1"/>
  <c r="K623" i="1" s="1"/>
  <c r="I623" i="1" a="1"/>
  <c r="I623" i="1" s="1"/>
  <c r="J623" i="1" s="1"/>
  <c r="K622" i="1" a="1"/>
  <c r="K622" i="1" s="1"/>
  <c r="I622" i="1" a="1"/>
  <c r="I622" i="1" s="1"/>
  <c r="J622" i="1" s="1"/>
  <c r="K621" i="1" a="1"/>
  <c r="K621" i="1" s="1"/>
  <c r="I621" i="1" a="1"/>
  <c r="I621" i="1" s="1"/>
  <c r="J621" i="1" s="1"/>
  <c r="K620" i="1" a="1"/>
  <c r="K620" i="1" s="1"/>
  <c r="I620" i="1" a="1"/>
  <c r="I620" i="1" s="1"/>
  <c r="J620" i="1" s="1"/>
  <c r="K619" i="1" a="1"/>
  <c r="K619" i="1" s="1"/>
  <c r="I619" i="1" a="1"/>
  <c r="I619" i="1" s="1"/>
  <c r="J619" i="1" s="1"/>
  <c r="K618" i="1" a="1"/>
  <c r="K618" i="1" s="1"/>
  <c r="I618" i="1" a="1"/>
  <c r="I618" i="1" s="1"/>
  <c r="J618" i="1" s="1"/>
  <c r="K617" i="1" a="1"/>
  <c r="K617" i="1" s="1"/>
  <c r="I617" i="1" a="1"/>
  <c r="I617" i="1" s="1"/>
  <c r="J617" i="1" s="1"/>
  <c r="K616" i="1" a="1"/>
  <c r="K616" i="1" s="1"/>
  <c r="I616" i="1" a="1"/>
  <c r="I616" i="1" s="1"/>
  <c r="J616" i="1" s="1"/>
  <c r="K615" i="1" a="1"/>
  <c r="K615" i="1" s="1"/>
  <c r="I615" i="1" a="1"/>
  <c r="I615" i="1" s="1"/>
  <c r="J615" i="1" s="1"/>
  <c r="K614" i="1" a="1"/>
  <c r="K614" i="1" s="1"/>
  <c r="I614" i="1" a="1"/>
  <c r="I614" i="1" s="1"/>
  <c r="J614" i="1" s="1"/>
  <c r="K613" i="1" a="1"/>
  <c r="K613" i="1" s="1"/>
  <c r="I613" i="1" a="1"/>
  <c r="I613" i="1" s="1"/>
  <c r="J613" i="1" s="1"/>
  <c r="K612" i="1" a="1"/>
  <c r="K612" i="1" s="1"/>
  <c r="I612" i="1" a="1"/>
  <c r="I612" i="1" s="1"/>
  <c r="K611" i="1" a="1"/>
  <c r="K611" i="1" s="1"/>
  <c r="I611" i="1" a="1"/>
  <c r="I611" i="1" s="1"/>
  <c r="J611" i="1" s="1"/>
  <c r="K610" i="1" a="1"/>
  <c r="K610" i="1" s="1"/>
  <c r="I610" i="1" a="1"/>
  <c r="I610" i="1" s="1"/>
  <c r="J610" i="1" s="1"/>
  <c r="K609" i="1" a="1"/>
  <c r="K609" i="1" s="1"/>
  <c r="I609" i="1" a="1"/>
  <c r="I609" i="1" s="1"/>
  <c r="J609" i="1" s="1"/>
  <c r="K608" i="1" a="1"/>
  <c r="K608" i="1" s="1"/>
  <c r="I608" i="1" a="1"/>
  <c r="I608" i="1" s="1"/>
  <c r="J608" i="1" s="1"/>
  <c r="K607" i="1" a="1"/>
  <c r="K607" i="1" s="1"/>
  <c r="I607" i="1" a="1"/>
  <c r="I607" i="1" s="1"/>
  <c r="J607" i="1" s="1"/>
  <c r="K606" i="1" a="1"/>
  <c r="K606" i="1" s="1"/>
  <c r="I606" i="1" a="1"/>
  <c r="I606" i="1" s="1"/>
  <c r="J606" i="1" s="1"/>
  <c r="K605" i="1" a="1"/>
  <c r="K605" i="1" s="1"/>
  <c r="I605" i="1" a="1"/>
  <c r="I605" i="1" s="1"/>
  <c r="J605" i="1" s="1"/>
  <c r="K604" i="1" a="1"/>
  <c r="K604" i="1" s="1"/>
  <c r="I604" i="1" a="1"/>
  <c r="I604" i="1" s="1"/>
  <c r="J604" i="1" s="1"/>
  <c r="K603" i="1" a="1"/>
  <c r="K603" i="1" s="1"/>
  <c r="I603" i="1" a="1"/>
  <c r="I603" i="1" s="1"/>
  <c r="J603" i="1" s="1"/>
  <c r="K602" i="1" a="1"/>
  <c r="K602" i="1" s="1"/>
  <c r="I602" i="1" a="1"/>
  <c r="I602" i="1" s="1"/>
  <c r="J602" i="1" s="1"/>
  <c r="K601" i="1" a="1"/>
  <c r="K601" i="1" s="1"/>
  <c r="I601" i="1" a="1"/>
  <c r="I601" i="1" s="1"/>
  <c r="J601" i="1" s="1"/>
  <c r="K600" i="1" a="1"/>
  <c r="K600" i="1" s="1"/>
  <c r="I600" i="1" a="1"/>
  <c r="I600" i="1" s="1"/>
  <c r="J600" i="1" s="1"/>
  <c r="K599" i="1" a="1"/>
  <c r="K599" i="1" s="1"/>
  <c r="I599" i="1" a="1"/>
  <c r="I599" i="1" s="1"/>
  <c r="J599" i="1" s="1"/>
  <c r="K598" i="1" a="1"/>
  <c r="K598" i="1" s="1"/>
  <c r="I598" i="1" a="1"/>
  <c r="I598" i="1" s="1"/>
  <c r="J598" i="1" s="1"/>
  <c r="K597" i="1" a="1"/>
  <c r="K597" i="1" s="1"/>
  <c r="I597" i="1" a="1"/>
  <c r="I597" i="1" s="1"/>
  <c r="J597" i="1" s="1"/>
  <c r="K596" i="1" a="1"/>
  <c r="K596" i="1" s="1"/>
  <c r="I596" i="1" a="1"/>
  <c r="I596" i="1" s="1"/>
  <c r="J596" i="1" s="1"/>
  <c r="K595" i="1" a="1"/>
  <c r="K595" i="1" s="1"/>
  <c r="I595" i="1" a="1"/>
  <c r="I595" i="1" s="1"/>
  <c r="J595" i="1" s="1"/>
  <c r="K594" i="1" a="1"/>
  <c r="K594" i="1" s="1"/>
  <c r="I594" i="1" a="1"/>
  <c r="I594" i="1" s="1"/>
  <c r="J594" i="1" s="1"/>
  <c r="K593" i="1" a="1"/>
  <c r="K593" i="1" s="1"/>
  <c r="I593" i="1" a="1"/>
  <c r="I593" i="1" s="1"/>
  <c r="J593" i="1" s="1"/>
  <c r="K592" i="1" a="1"/>
  <c r="K592" i="1" s="1"/>
  <c r="I592" i="1" a="1"/>
  <c r="I592" i="1" s="1"/>
  <c r="J592" i="1" s="1"/>
  <c r="K591" i="1" a="1"/>
  <c r="K591" i="1" s="1"/>
  <c r="I591" i="1" a="1"/>
  <c r="I591" i="1" s="1"/>
  <c r="J591" i="1" s="1"/>
  <c r="K590" i="1" a="1"/>
  <c r="K590" i="1" s="1"/>
  <c r="I590" i="1" a="1"/>
  <c r="I590" i="1" s="1"/>
  <c r="J590" i="1" s="1"/>
  <c r="K589" i="1" a="1"/>
  <c r="K589" i="1" s="1"/>
  <c r="I589" i="1" a="1"/>
  <c r="I589" i="1" s="1"/>
  <c r="J589" i="1" s="1"/>
  <c r="K588" i="1" a="1"/>
  <c r="K588" i="1" s="1"/>
  <c r="I588" i="1" a="1"/>
  <c r="I588" i="1" s="1"/>
  <c r="J588" i="1" s="1"/>
  <c r="K587" i="1" a="1"/>
  <c r="K587" i="1" s="1"/>
  <c r="I587" i="1" a="1"/>
  <c r="I587" i="1" s="1"/>
  <c r="J587" i="1" s="1"/>
  <c r="K586" i="1" a="1"/>
  <c r="K586" i="1" s="1"/>
  <c r="I586" i="1" a="1"/>
  <c r="I586" i="1" s="1"/>
  <c r="K585" i="1" a="1"/>
  <c r="K585" i="1" s="1"/>
  <c r="I585" i="1" a="1"/>
  <c r="I585" i="1" s="1"/>
  <c r="K584" i="1" a="1"/>
  <c r="K584" i="1" s="1"/>
  <c r="I584" i="1" a="1"/>
  <c r="I584" i="1" s="1"/>
  <c r="K583" i="1" a="1"/>
  <c r="K583" i="1" s="1"/>
  <c r="I583" i="1" a="1"/>
  <c r="I583" i="1" s="1"/>
  <c r="J583" i="1" s="1"/>
  <c r="K582" i="1" a="1"/>
  <c r="K582" i="1" s="1"/>
  <c r="I582" i="1" a="1"/>
  <c r="I582" i="1" s="1"/>
  <c r="J582" i="1" s="1"/>
  <c r="K581" i="1" a="1"/>
  <c r="K581" i="1" s="1"/>
  <c r="I581" i="1" a="1"/>
  <c r="I581" i="1" s="1"/>
  <c r="J581" i="1" s="1"/>
  <c r="K580" i="1" a="1"/>
  <c r="K580" i="1" s="1"/>
  <c r="I580" i="1" a="1"/>
  <c r="I580" i="1" s="1"/>
  <c r="J580" i="1" s="1"/>
  <c r="K579" i="1" a="1"/>
  <c r="K579" i="1" s="1"/>
  <c r="I579" i="1" a="1"/>
  <c r="I579" i="1" s="1"/>
  <c r="J579" i="1" s="1"/>
  <c r="K578" i="1" a="1"/>
  <c r="K578" i="1" s="1"/>
  <c r="I578" i="1" a="1"/>
  <c r="I578" i="1" s="1"/>
  <c r="J578" i="1" s="1"/>
  <c r="K577" i="1" a="1"/>
  <c r="K577" i="1" s="1"/>
  <c r="I577" i="1" a="1"/>
  <c r="I577" i="1" s="1"/>
  <c r="J577" i="1" s="1"/>
  <c r="K576" i="1" a="1"/>
  <c r="K576" i="1" s="1"/>
  <c r="I576" i="1" a="1"/>
  <c r="I576" i="1" s="1"/>
  <c r="J576" i="1" s="1"/>
  <c r="K575" i="1" a="1"/>
  <c r="K575" i="1" s="1"/>
  <c r="I575" i="1" a="1"/>
  <c r="I575" i="1" s="1"/>
  <c r="J575" i="1" s="1"/>
  <c r="K574" i="1" a="1"/>
  <c r="K574" i="1" s="1"/>
  <c r="I574" i="1" a="1"/>
  <c r="I574" i="1" s="1"/>
  <c r="J574" i="1" s="1"/>
  <c r="K573" i="1" a="1"/>
  <c r="K573" i="1" s="1"/>
  <c r="I573" i="1" a="1"/>
  <c r="I573" i="1" s="1"/>
  <c r="J573" i="1" s="1"/>
  <c r="K572" i="1" a="1"/>
  <c r="K572" i="1" s="1"/>
  <c r="I572" i="1" a="1"/>
  <c r="I572" i="1" s="1"/>
  <c r="J572" i="1" s="1"/>
  <c r="K571" i="1" a="1"/>
  <c r="K571" i="1" s="1"/>
  <c r="I571" i="1" a="1"/>
  <c r="I571" i="1" s="1"/>
  <c r="J571" i="1" s="1"/>
  <c r="K570" i="1" a="1"/>
  <c r="K570" i="1" s="1"/>
  <c r="I570" i="1" a="1"/>
  <c r="I570" i="1" s="1"/>
  <c r="J570" i="1" s="1"/>
  <c r="K569" i="1" a="1"/>
  <c r="K569" i="1" s="1"/>
  <c r="I569" i="1" a="1"/>
  <c r="I569" i="1" s="1"/>
  <c r="J569" i="1" s="1"/>
  <c r="K568" i="1" a="1"/>
  <c r="K568" i="1" s="1"/>
  <c r="I568" i="1" a="1"/>
  <c r="I568" i="1" s="1"/>
  <c r="K567" i="1" a="1"/>
  <c r="K567" i="1" s="1"/>
  <c r="I567" i="1" a="1"/>
  <c r="I567" i="1" s="1"/>
  <c r="J567" i="1" s="1"/>
  <c r="K566" i="1" a="1"/>
  <c r="K566" i="1" s="1"/>
  <c r="I566" i="1" a="1"/>
  <c r="I566" i="1" s="1"/>
  <c r="J566" i="1" s="1"/>
  <c r="K565" i="1" a="1"/>
  <c r="K565" i="1" s="1"/>
  <c r="I565" i="1" a="1"/>
  <c r="I565" i="1" s="1"/>
  <c r="J565" i="1" s="1"/>
  <c r="K564" i="1" a="1"/>
  <c r="K564" i="1" s="1"/>
  <c r="I564" i="1" a="1"/>
  <c r="I564" i="1" s="1"/>
  <c r="J564" i="1" s="1"/>
  <c r="K563" i="1" a="1"/>
  <c r="K563" i="1" s="1"/>
  <c r="I563" i="1" a="1"/>
  <c r="I563" i="1" s="1"/>
  <c r="J563" i="1" s="1"/>
  <c r="K562" i="1" a="1"/>
  <c r="K562" i="1" s="1"/>
  <c r="I562" i="1" a="1"/>
  <c r="I562" i="1" s="1"/>
  <c r="J562" i="1" s="1"/>
  <c r="K561" i="1" a="1"/>
  <c r="K561" i="1" s="1"/>
  <c r="I561" i="1" a="1"/>
  <c r="I561" i="1" s="1"/>
  <c r="J561" i="1" s="1"/>
  <c r="K560" i="1" a="1"/>
  <c r="K560" i="1" s="1"/>
  <c r="I560" i="1" a="1"/>
  <c r="I560" i="1" s="1"/>
  <c r="J560" i="1" s="1"/>
  <c r="K559" i="1" a="1"/>
  <c r="K559" i="1" s="1"/>
  <c r="I559" i="1" a="1"/>
  <c r="I559" i="1" s="1"/>
  <c r="J559" i="1" s="1"/>
  <c r="K558" i="1" a="1"/>
  <c r="K558" i="1" s="1"/>
  <c r="I558" i="1" a="1"/>
  <c r="I558" i="1" s="1"/>
  <c r="J558" i="1" s="1"/>
  <c r="K557" i="1" a="1"/>
  <c r="K557" i="1" s="1"/>
  <c r="I557" i="1" a="1"/>
  <c r="I557" i="1" s="1"/>
  <c r="J557" i="1" s="1"/>
  <c r="K556" i="1" a="1"/>
  <c r="K556" i="1" s="1"/>
  <c r="I556" i="1" a="1"/>
  <c r="I556" i="1" s="1"/>
  <c r="J556" i="1" s="1"/>
  <c r="K555" i="1" a="1"/>
  <c r="K555" i="1" s="1"/>
  <c r="I555" i="1" a="1"/>
  <c r="I555" i="1" s="1"/>
  <c r="J555" i="1" s="1"/>
  <c r="K554" i="1" a="1"/>
  <c r="K554" i="1" s="1"/>
  <c r="I554" i="1" a="1"/>
  <c r="I554" i="1" s="1"/>
  <c r="J554" i="1" s="1"/>
  <c r="K553" i="1" a="1"/>
  <c r="K553" i="1" s="1"/>
  <c r="I553" i="1" a="1"/>
  <c r="I553" i="1" s="1"/>
  <c r="J553" i="1" s="1"/>
  <c r="K552" i="1" a="1"/>
  <c r="K552" i="1" s="1"/>
  <c r="I552" i="1" a="1"/>
  <c r="I552" i="1" s="1"/>
  <c r="J552" i="1" s="1"/>
  <c r="K551" i="1" a="1"/>
  <c r="K551" i="1" s="1"/>
  <c r="I551" i="1" a="1"/>
  <c r="I551" i="1" s="1"/>
  <c r="J551" i="1" s="1"/>
  <c r="K550" i="1" a="1"/>
  <c r="K550" i="1" s="1"/>
  <c r="I550" i="1" a="1"/>
  <c r="I550" i="1" s="1"/>
  <c r="J550" i="1" s="1"/>
  <c r="K549" i="1" a="1"/>
  <c r="K549" i="1" s="1"/>
  <c r="I549" i="1" a="1"/>
  <c r="I549" i="1" s="1"/>
  <c r="J549" i="1" s="1"/>
  <c r="K548" i="1" a="1"/>
  <c r="K548" i="1" s="1"/>
  <c r="I548" i="1" a="1"/>
  <c r="I548" i="1" s="1"/>
  <c r="K547" i="1" a="1"/>
  <c r="K547" i="1" s="1"/>
  <c r="I547" i="1" a="1"/>
  <c r="I547" i="1" s="1"/>
  <c r="J547" i="1" s="1"/>
  <c r="K546" i="1" a="1"/>
  <c r="K546" i="1" s="1"/>
  <c r="I546" i="1" a="1"/>
  <c r="I546" i="1" s="1"/>
  <c r="J546" i="1" s="1"/>
  <c r="K545" i="1" a="1"/>
  <c r="K545" i="1" s="1"/>
  <c r="I545" i="1" a="1"/>
  <c r="I545" i="1" s="1"/>
  <c r="J545" i="1" s="1"/>
  <c r="K544" i="1" a="1"/>
  <c r="K544" i="1" s="1"/>
  <c r="I544" i="1" a="1"/>
  <c r="I544" i="1" s="1"/>
  <c r="J544" i="1" s="1"/>
  <c r="K543" i="1" a="1"/>
  <c r="K543" i="1" s="1"/>
  <c r="I543" i="1" a="1"/>
  <c r="I543" i="1" s="1"/>
  <c r="J543" i="1" s="1"/>
  <c r="K542" i="1" a="1"/>
  <c r="K542" i="1" s="1"/>
  <c r="I542" i="1" a="1"/>
  <c r="I542" i="1" s="1"/>
  <c r="J542" i="1" s="1"/>
  <c r="K541" i="1" a="1"/>
  <c r="K541" i="1" s="1"/>
  <c r="I541" i="1" a="1"/>
  <c r="I541" i="1" s="1"/>
  <c r="J541" i="1" s="1"/>
  <c r="K540" i="1" a="1"/>
  <c r="K540" i="1" s="1"/>
  <c r="I540" i="1" a="1"/>
  <c r="I540" i="1" s="1"/>
  <c r="J540" i="1" s="1"/>
  <c r="K539" i="1" a="1"/>
  <c r="K539" i="1" s="1"/>
  <c r="I539" i="1" a="1"/>
  <c r="I539" i="1" s="1"/>
  <c r="J539" i="1" s="1"/>
  <c r="K538" i="1" a="1"/>
  <c r="K538" i="1" s="1"/>
  <c r="I538" i="1" a="1"/>
  <c r="I538" i="1" s="1"/>
  <c r="K537" i="1" a="1"/>
  <c r="K537" i="1" s="1"/>
  <c r="I537" i="1" a="1"/>
  <c r="I537" i="1" s="1"/>
  <c r="K536" i="1" a="1"/>
  <c r="K536" i="1" s="1"/>
  <c r="I536" i="1" a="1"/>
  <c r="I536" i="1" s="1"/>
  <c r="J536" i="1" s="1"/>
  <c r="K535" i="1" a="1"/>
  <c r="K535" i="1" s="1"/>
  <c r="I535" i="1" a="1"/>
  <c r="I535" i="1" s="1"/>
  <c r="J535" i="1" s="1"/>
  <c r="K534" i="1" a="1"/>
  <c r="K534" i="1" s="1"/>
  <c r="I534" i="1" a="1"/>
  <c r="I534" i="1" s="1"/>
  <c r="J534" i="1" s="1"/>
  <c r="K533" i="1" a="1"/>
  <c r="K533" i="1" s="1"/>
  <c r="I533" i="1" a="1"/>
  <c r="I533" i="1" s="1"/>
  <c r="J533" i="1" s="1"/>
  <c r="K532" i="1" a="1"/>
  <c r="K532" i="1" s="1"/>
  <c r="I532" i="1" a="1"/>
  <c r="I532" i="1" s="1"/>
  <c r="J532" i="1" s="1"/>
  <c r="K531" i="1" a="1"/>
  <c r="K531" i="1" s="1"/>
  <c r="I531" i="1" a="1"/>
  <c r="I531" i="1" s="1"/>
  <c r="J531" i="1" s="1"/>
  <c r="K530" i="1" a="1"/>
  <c r="K530" i="1" s="1"/>
  <c r="I530" i="1" a="1"/>
  <c r="I530" i="1" s="1"/>
  <c r="J530" i="1" s="1"/>
  <c r="K529" i="1" a="1"/>
  <c r="K529" i="1" s="1"/>
  <c r="I529" i="1" a="1"/>
  <c r="I529" i="1" s="1"/>
  <c r="J529" i="1" s="1"/>
  <c r="K528" i="1" a="1"/>
  <c r="K528" i="1" s="1"/>
  <c r="I528" i="1" a="1"/>
  <c r="I528" i="1" s="1"/>
  <c r="J528" i="1" s="1"/>
  <c r="K527" i="1" a="1"/>
  <c r="K527" i="1" s="1"/>
  <c r="I527" i="1" a="1"/>
  <c r="I527" i="1" s="1"/>
  <c r="J527" i="1" s="1"/>
  <c r="K526" i="1" a="1"/>
  <c r="K526" i="1" s="1"/>
  <c r="I526" i="1" a="1"/>
  <c r="I526" i="1" s="1"/>
  <c r="J526" i="1" s="1"/>
  <c r="K525" i="1" a="1"/>
  <c r="K525" i="1" s="1"/>
  <c r="I525" i="1" a="1"/>
  <c r="I525" i="1" s="1"/>
  <c r="J525" i="1" s="1"/>
  <c r="K524" i="1" a="1"/>
  <c r="K524" i="1" s="1"/>
  <c r="I524" i="1" a="1"/>
  <c r="I524" i="1" s="1"/>
  <c r="J524" i="1" s="1"/>
  <c r="K523" i="1" a="1"/>
  <c r="K523" i="1" s="1"/>
  <c r="I523" i="1" a="1"/>
  <c r="I523" i="1" s="1"/>
  <c r="J523" i="1" s="1"/>
  <c r="K522" i="1" a="1"/>
  <c r="K522" i="1" s="1"/>
  <c r="I522" i="1" a="1"/>
  <c r="I522" i="1" s="1"/>
  <c r="K521" i="1" a="1"/>
  <c r="K521" i="1" s="1"/>
  <c r="I521" i="1" a="1"/>
  <c r="I521" i="1" s="1"/>
  <c r="J521" i="1" s="1"/>
  <c r="K520" i="1" a="1"/>
  <c r="K520" i="1" s="1"/>
  <c r="I520" i="1" a="1"/>
  <c r="I520" i="1" s="1"/>
  <c r="J520" i="1" s="1"/>
  <c r="K519" i="1" a="1"/>
  <c r="K519" i="1" s="1"/>
  <c r="I519" i="1" a="1"/>
  <c r="I519" i="1" s="1"/>
  <c r="J519" i="1" s="1"/>
  <c r="K518" i="1" a="1"/>
  <c r="K518" i="1" s="1"/>
  <c r="I518" i="1" a="1"/>
  <c r="I518" i="1" s="1"/>
  <c r="J518" i="1" s="1"/>
  <c r="K517" i="1" a="1"/>
  <c r="K517" i="1" s="1"/>
  <c r="I517" i="1" a="1"/>
  <c r="I517" i="1" s="1"/>
  <c r="J517" i="1" s="1"/>
  <c r="K516" i="1" a="1"/>
  <c r="K516" i="1" s="1"/>
  <c r="I516" i="1" a="1"/>
  <c r="I516" i="1" s="1"/>
  <c r="J516" i="1" s="1"/>
  <c r="K515" i="1" a="1"/>
  <c r="K515" i="1" s="1"/>
  <c r="I515" i="1" a="1"/>
  <c r="I515" i="1" s="1"/>
  <c r="J515" i="1" s="1"/>
  <c r="K514" i="1" a="1"/>
  <c r="K514" i="1" s="1"/>
  <c r="I514" i="1" a="1"/>
  <c r="I514" i="1" s="1"/>
  <c r="J514" i="1" s="1"/>
  <c r="K513" i="1" a="1"/>
  <c r="K513" i="1" s="1"/>
  <c r="I513" i="1" a="1"/>
  <c r="I513" i="1" s="1"/>
  <c r="J513" i="1" s="1"/>
  <c r="K512" i="1" a="1"/>
  <c r="K512" i="1" s="1"/>
  <c r="I512" i="1" a="1"/>
  <c r="I512" i="1" s="1"/>
  <c r="J512" i="1" s="1"/>
  <c r="K511" i="1" a="1"/>
  <c r="K511" i="1" s="1"/>
  <c r="I511" i="1" a="1"/>
  <c r="I511" i="1" s="1"/>
  <c r="J511" i="1" s="1"/>
  <c r="K510" i="1" a="1"/>
  <c r="K510" i="1" s="1"/>
  <c r="I510" i="1" a="1"/>
  <c r="I510" i="1" s="1"/>
  <c r="J510" i="1" s="1"/>
  <c r="K509" i="1" a="1"/>
  <c r="K509" i="1" s="1"/>
  <c r="I509" i="1" a="1"/>
  <c r="I509" i="1" s="1"/>
  <c r="J509" i="1" s="1"/>
  <c r="K508" i="1" a="1"/>
  <c r="K508" i="1" s="1"/>
  <c r="I508" i="1" a="1"/>
  <c r="I508" i="1" s="1"/>
  <c r="J508" i="1" s="1"/>
  <c r="K507" i="1" a="1"/>
  <c r="K507" i="1" s="1"/>
  <c r="I507" i="1" a="1"/>
  <c r="I507" i="1" s="1"/>
  <c r="J507" i="1" s="1"/>
  <c r="K506" i="1" a="1"/>
  <c r="K506" i="1" s="1"/>
  <c r="I506" i="1" a="1"/>
  <c r="I506" i="1" s="1"/>
  <c r="J506" i="1" s="1"/>
  <c r="K505" i="1" a="1"/>
  <c r="K505" i="1" s="1"/>
  <c r="I505" i="1" a="1"/>
  <c r="I505" i="1" s="1"/>
  <c r="K504" i="1" a="1"/>
  <c r="K504" i="1" s="1"/>
  <c r="I504" i="1" a="1"/>
  <c r="I504" i="1" s="1"/>
  <c r="K503" i="1" a="1"/>
  <c r="K503" i="1" s="1"/>
  <c r="I503" i="1" a="1"/>
  <c r="I503" i="1" s="1"/>
  <c r="J503" i="1" s="1"/>
  <c r="K502" i="1" a="1"/>
  <c r="K502" i="1" s="1"/>
  <c r="I502" i="1" a="1"/>
  <c r="I502" i="1" s="1"/>
  <c r="J502" i="1" s="1"/>
  <c r="K501" i="1" a="1"/>
  <c r="K501" i="1" s="1"/>
  <c r="I501" i="1" a="1"/>
  <c r="I501" i="1" s="1"/>
  <c r="J501" i="1" s="1"/>
  <c r="K500" i="1" a="1"/>
  <c r="K500" i="1" s="1"/>
  <c r="I500" i="1" a="1"/>
  <c r="I500" i="1" s="1"/>
  <c r="K499" i="1" a="1"/>
  <c r="K499" i="1" s="1"/>
  <c r="I499" i="1" a="1"/>
  <c r="I499" i="1" s="1"/>
  <c r="J499" i="1" s="1"/>
  <c r="K498" i="1" a="1"/>
  <c r="K498" i="1" s="1"/>
  <c r="I498" i="1" a="1"/>
  <c r="I498" i="1" s="1"/>
  <c r="J498" i="1" s="1"/>
  <c r="K497" i="1" a="1"/>
  <c r="K497" i="1" s="1"/>
  <c r="I497" i="1" a="1"/>
  <c r="I497" i="1" s="1"/>
  <c r="J497" i="1" s="1"/>
  <c r="K496" i="1" a="1"/>
  <c r="K496" i="1" s="1"/>
  <c r="I496" i="1" a="1"/>
  <c r="I496" i="1" s="1"/>
  <c r="J496" i="1" s="1"/>
  <c r="K495" i="1" a="1"/>
  <c r="K495" i="1" s="1"/>
  <c r="I495" i="1" a="1"/>
  <c r="I495" i="1" s="1"/>
  <c r="J495" i="1" s="1"/>
  <c r="K494" i="1" a="1"/>
  <c r="K494" i="1" s="1"/>
  <c r="I494" i="1" a="1"/>
  <c r="I494" i="1" s="1"/>
  <c r="J494" i="1" s="1"/>
  <c r="K493" i="1" a="1"/>
  <c r="K493" i="1" s="1"/>
  <c r="I493" i="1" a="1"/>
  <c r="I493" i="1" s="1"/>
  <c r="J493" i="1" s="1"/>
  <c r="K492" i="1" a="1"/>
  <c r="K492" i="1" s="1"/>
  <c r="I492" i="1" a="1"/>
  <c r="I492" i="1" s="1"/>
  <c r="J492" i="1" s="1"/>
  <c r="K491" i="1" a="1"/>
  <c r="K491" i="1" s="1"/>
  <c r="I491" i="1" a="1"/>
  <c r="I491" i="1" s="1"/>
  <c r="J491" i="1" s="1"/>
  <c r="K490" i="1" a="1"/>
  <c r="K490" i="1" s="1"/>
  <c r="I490" i="1" a="1"/>
  <c r="I490" i="1" s="1"/>
  <c r="J490" i="1" s="1"/>
  <c r="K489" i="1" a="1"/>
  <c r="K489" i="1" s="1"/>
  <c r="I489" i="1" a="1"/>
  <c r="I489" i="1" s="1"/>
  <c r="J489" i="1" s="1"/>
  <c r="K488" i="1" a="1"/>
  <c r="K488" i="1" s="1"/>
  <c r="I488" i="1" a="1"/>
  <c r="I488" i="1" s="1"/>
  <c r="J488" i="1" s="1"/>
  <c r="K487" i="1" a="1"/>
  <c r="K487" i="1" s="1"/>
  <c r="I487" i="1" a="1"/>
  <c r="I487" i="1" s="1"/>
  <c r="J487" i="1" s="1"/>
  <c r="K486" i="1" a="1"/>
  <c r="K486" i="1" s="1"/>
  <c r="I486" i="1" a="1"/>
  <c r="I486" i="1" s="1"/>
  <c r="J486" i="1" s="1"/>
  <c r="K485" i="1" a="1"/>
  <c r="K485" i="1" s="1"/>
  <c r="I485" i="1" a="1"/>
  <c r="I485" i="1" s="1"/>
  <c r="J485" i="1" s="1"/>
  <c r="K484" i="1" a="1"/>
  <c r="K484" i="1" s="1"/>
  <c r="I484" i="1" a="1"/>
  <c r="I484" i="1" s="1"/>
  <c r="K483" i="1" a="1"/>
  <c r="K483" i="1" s="1"/>
  <c r="I483" i="1" a="1"/>
  <c r="I483" i="1" s="1"/>
  <c r="J483" i="1" s="1"/>
  <c r="K482" i="1" a="1"/>
  <c r="K482" i="1" s="1"/>
  <c r="I482" i="1" a="1"/>
  <c r="I482" i="1" s="1"/>
  <c r="J482" i="1" s="1"/>
  <c r="K481" i="1" a="1"/>
  <c r="K481" i="1" s="1"/>
  <c r="I481" i="1" a="1"/>
  <c r="I481" i="1" s="1"/>
  <c r="J481" i="1" s="1"/>
  <c r="K480" i="1" a="1"/>
  <c r="K480" i="1" s="1"/>
  <c r="I480" i="1" a="1"/>
  <c r="I480" i="1" s="1"/>
  <c r="J480" i="1" s="1"/>
  <c r="K479" i="1" a="1"/>
  <c r="K479" i="1" s="1"/>
  <c r="I479" i="1" a="1"/>
  <c r="I479" i="1" s="1"/>
  <c r="J479" i="1" s="1"/>
  <c r="K478" i="1" a="1"/>
  <c r="K478" i="1" s="1"/>
  <c r="I478" i="1" a="1"/>
  <c r="I478" i="1" s="1"/>
  <c r="J478" i="1" s="1"/>
  <c r="K477" i="1" a="1"/>
  <c r="K477" i="1" s="1"/>
  <c r="I477" i="1" a="1"/>
  <c r="I477" i="1" s="1"/>
  <c r="J477" i="1" s="1"/>
  <c r="K476" i="1" a="1"/>
  <c r="K476" i="1" s="1"/>
  <c r="I476" i="1" a="1"/>
  <c r="I476" i="1" s="1"/>
  <c r="J476" i="1" s="1"/>
  <c r="K475" i="1" a="1"/>
  <c r="K475" i="1" s="1"/>
  <c r="I475" i="1" a="1"/>
  <c r="I475" i="1" s="1"/>
  <c r="J475" i="1" s="1"/>
  <c r="K474" i="1" a="1"/>
  <c r="K474" i="1" s="1"/>
  <c r="I474" i="1" a="1"/>
  <c r="I474" i="1" s="1"/>
  <c r="J474" i="1" s="1"/>
  <c r="K473" i="1" a="1"/>
  <c r="K473" i="1" s="1"/>
  <c r="I473" i="1" a="1"/>
  <c r="I473" i="1" s="1"/>
  <c r="J473" i="1" s="1"/>
  <c r="K472" i="1" a="1"/>
  <c r="K472" i="1" s="1"/>
  <c r="I472" i="1" a="1"/>
  <c r="I472" i="1" s="1"/>
  <c r="J472" i="1" s="1"/>
  <c r="K471" i="1" a="1"/>
  <c r="K471" i="1" s="1"/>
  <c r="I471" i="1" a="1"/>
  <c r="I471" i="1" s="1"/>
  <c r="J471" i="1" s="1"/>
  <c r="K470" i="1" a="1"/>
  <c r="K470" i="1" s="1"/>
  <c r="I470" i="1" a="1"/>
  <c r="I470" i="1" s="1"/>
  <c r="J470" i="1" s="1"/>
  <c r="K469" i="1" a="1"/>
  <c r="K469" i="1" s="1"/>
  <c r="I469" i="1" a="1"/>
  <c r="I469" i="1" s="1"/>
  <c r="J469" i="1" s="1"/>
  <c r="K468" i="1" a="1"/>
  <c r="K468" i="1" s="1"/>
  <c r="I468" i="1" a="1"/>
  <c r="I468" i="1" s="1"/>
  <c r="J468" i="1" s="1"/>
  <c r="K467" i="1" a="1"/>
  <c r="K467" i="1" s="1"/>
  <c r="I467" i="1" a="1"/>
  <c r="I467" i="1" s="1"/>
  <c r="J467" i="1" s="1"/>
  <c r="K466" i="1" a="1"/>
  <c r="K466" i="1" s="1"/>
  <c r="I466" i="1" a="1"/>
  <c r="I466" i="1" s="1"/>
  <c r="J466" i="1" s="1"/>
  <c r="K465" i="1" a="1"/>
  <c r="K465" i="1" s="1"/>
  <c r="I465" i="1" a="1"/>
  <c r="I465" i="1" s="1"/>
  <c r="J465" i="1" s="1"/>
  <c r="K464" i="1" a="1"/>
  <c r="K464" i="1" s="1"/>
  <c r="I464" i="1" a="1"/>
  <c r="I464" i="1" s="1"/>
  <c r="J464" i="1" s="1"/>
  <c r="K463" i="1" a="1"/>
  <c r="K463" i="1" s="1"/>
  <c r="I463" i="1" a="1"/>
  <c r="I463" i="1" s="1"/>
  <c r="J463" i="1" s="1"/>
  <c r="K462" i="1" a="1"/>
  <c r="K462" i="1" s="1"/>
  <c r="I462" i="1" a="1"/>
  <c r="I462" i="1" s="1"/>
  <c r="J462" i="1" s="1"/>
  <c r="K461" i="1" a="1"/>
  <c r="K461" i="1" s="1"/>
  <c r="I461" i="1" a="1"/>
  <c r="I461" i="1" s="1"/>
  <c r="J461" i="1" s="1"/>
  <c r="K460" i="1" a="1"/>
  <c r="K460" i="1" s="1"/>
  <c r="I460" i="1" a="1"/>
  <c r="I460" i="1" s="1"/>
  <c r="J460" i="1" s="1"/>
  <c r="K459" i="1" a="1"/>
  <c r="K459" i="1" s="1"/>
  <c r="I459" i="1" a="1"/>
  <c r="I459" i="1" s="1"/>
  <c r="J459" i="1" s="1"/>
  <c r="K458" i="1" a="1"/>
  <c r="K458" i="1" s="1"/>
  <c r="I458" i="1" a="1"/>
  <c r="I458" i="1" s="1"/>
  <c r="K457" i="1" a="1"/>
  <c r="K457" i="1" s="1"/>
  <c r="I457" i="1" a="1"/>
  <c r="I457" i="1" s="1"/>
  <c r="K456" i="1" a="1"/>
  <c r="K456" i="1" s="1"/>
  <c r="I456" i="1" a="1"/>
  <c r="I456" i="1" s="1"/>
  <c r="K455" i="1" a="1"/>
  <c r="K455" i="1" s="1"/>
  <c r="I455" i="1" a="1"/>
  <c r="I455" i="1" s="1"/>
  <c r="J455" i="1" s="1"/>
  <c r="K454" i="1" a="1"/>
  <c r="K454" i="1" s="1"/>
  <c r="I454" i="1" a="1"/>
  <c r="I454" i="1" s="1"/>
  <c r="J454" i="1" s="1"/>
  <c r="K453" i="1" a="1"/>
  <c r="K453" i="1" s="1"/>
  <c r="I453" i="1" a="1"/>
  <c r="I453" i="1" s="1"/>
  <c r="J453" i="1" s="1"/>
  <c r="K452" i="1" a="1"/>
  <c r="K452" i="1" s="1"/>
  <c r="I452" i="1" a="1"/>
  <c r="I452" i="1" s="1"/>
  <c r="J452" i="1" s="1"/>
  <c r="K451" i="1" a="1"/>
  <c r="K451" i="1" s="1"/>
  <c r="I451" i="1" a="1"/>
  <c r="I451" i="1" s="1"/>
  <c r="J451" i="1" s="1"/>
  <c r="K450" i="1" a="1"/>
  <c r="K450" i="1" s="1"/>
  <c r="I450" i="1" a="1"/>
  <c r="I450" i="1" s="1"/>
  <c r="J450" i="1" s="1"/>
  <c r="K449" i="1" a="1"/>
  <c r="K449" i="1" s="1"/>
  <c r="I449" i="1" a="1"/>
  <c r="I449" i="1" s="1"/>
  <c r="J449" i="1" s="1"/>
  <c r="K448" i="1" a="1"/>
  <c r="K448" i="1" s="1"/>
  <c r="I448" i="1" a="1"/>
  <c r="I448" i="1" s="1"/>
  <c r="J448" i="1" s="1"/>
  <c r="K447" i="1" a="1"/>
  <c r="K447" i="1" s="1"/>
  <c r="I447" i="1" a="1"/>
  <c r="I447" i="1" s="1"/>
  <c r="J447" i="1" s="1"/>
  <c r="I446" i="1" a="1"/>
  <c r="I446" i="1" s="1"/>
  <c r="J446" i="1" s="1"/>
  <c r="K445" i="1" a="1"/>
  <c r="K445" i="1" s="1"/>
  <c r="I445" i="1" a="1"/>
  <c r="I445" i="1" s="1"/>
  <c r="J445" i="1" s="1"/>
  <c r="K444" i="1" a="1"/>
  <c r="K444" i="1" s="1"/>
  <c r="I444" i="1" a="1"/>
  <c r="I444" i="1" s="1"/>
  <c r="J444" i="1" s="1"/>
  <c r="K443" i="1" a="1"/>
  <c r="K443" i="1" s="1"/>
  <c r="I443" i="1" a="1"/>
  <c r="I443" i="1" s="1"/>
  <c r="J443" i="1" s="1"/>
  <c r="K442" i="1" a="1"/>
  <c r="K442" i="1" s="1"/>
  <c r="I442" i="1" a="1"/>
  <c r="I442" i="1" s="1"/>
  <c r="J442" i="1" s="1"/>
  <c r="K441" i="1" a="1"/>
  <c r="K441" i="1" s="1"/>
  <c r="I441" i="1" a="1"/>
  <c r="I441" i="1" s="1"/>
  <c r="J441" i="1" s="1"/>
  <c r="K440" i="1" a="1"/>
  <c r="K440" i="1" s="1"/>
  <c r="I440" i="1" a="1"/>
  <c r="I440" i="1" s="1"/>
  <c r="K439" i="1" a="1"/>
  <c r="K439" i="1" s="1"/>
  <c r="I439" i="1" a="1"/>
  <c r="I439" i="1" s="1"/>
  <c r="J439" i="1" s="1"/>
  <c r="K438" i="1" a="1"/>
  <c r="K438" i="1" s="1"/>
  <c r="I438" i="1" a="1"/>
  <c r="I438" i="1" s="1"/>
  <c r="J438" i="1" s="1"/>
  <c r="K437" i="1" a="1"/>
  <c r="K437" i="1" s="1"/>
  <c r="I437" i="1" a="1"/>
  <c r="I437" i="1" s="1"/>
  <c r="J437" i="1" s="1"/>
  <c r="K436" i="1" a="1"/>
  <c r="K436" i="1" s="1"/>
  <c r="I436" i="1" a="1"/>
  <c r="I436" i="1" s="1"/>
  <c r="J436" i="1" s="1"/>
  <c r="K435" i="1" a="1"/>
  <c r="K435" i="1" s="1"/>
  <c r="I435" i="1" a="1"/>
  <c r="I435" i="1" s="1"/>
  <c r="J435" i="1" s="1"/>
  <c r="K434" i="1" a="1"/>
  <c r="K434" i="1" s="1"/>
  <c r="I434" i="1" a="1"/>
  <c r="I434" i="1" s="1"/>
  <c r="J434" i="1" s="1"/>
  <c r="K433" i="1" a="1"/>
  <c r="K433" i="1" s="1"/>
  <c r="I433" i="1" a="1"/>
  <c r="I433" i="1" s="1"/>
  <c r="J433" i="1" s="1"/>
  <c r="K432" i="1" a="1"/>
  <c r="K432" i="1" s="1"/>
  <c r="I432" i="1" a="1"/>
  <c r="I432" i="1" s="1"/>
  <c r="J432" i="1" s="1"/>
  <c r="K431" i="1" a="1"/>
  <c r="K431" i="1" s="1"/>
  <c r="I431" i="1" a="1"/>
  <c r="I431" i="1" s="1"/>
  <c r="J431" i="1" s="1"/>
  <c r="K430" i="1" a="1"/>
  <c r="K430" i="1" s="1"/>
  <c r="I430" i="1" a="1"/>
  <c r="I430" i="1" s="1"/>
  <c r="J430" i="1" s="1"/>
  <c r="K429" i="1" a="1"/>
  <c r="K429" i="1" s="1"/>
  <c r="I429" i="1" a="1"/>
  <c r="I429" i="1" s="1"/>
  <c r="J429" i="1" s="1"/>
  <c r="K428" i="1" a="1"/>
  <c r="K428" i="1" s="1"/>
  <c r="I428" i="1" a="1"/>
  <c r="I428" i="1" s="1"/>
  <c r="J428" i="1" s="1"/>
  <c r="K427" i="1" a="1"/>
  <c r="K427" i="1" s="1"/>
  <c r="I427" i="1" a="1"/>
  <c r="I427" i="1" s="1"/>
  <c r="J427" i="1" s="1"/>
  <c r="K426" i="1" a="1"/>
  <c r="K426" i="1" s="1"/>
  <c r="I426" i="1" a="1"/>
  <c r="I426" i="1" s="1"/>
  <c r="J426" i="1" s="1"/>
  <c r="K425" i="1" a="1"/>
  <c r="K425" i="1" s="1"/>
  <c r="I425" i="1" a="1"/>
  <c r="I425" i="1" s="1"/>
  <c r="J425" i="1" s="1"/>
  <c r="K424" i="1" a="1"/>
  <c r="K424" i="1" s="1"/>
  <c r="I424" i="1" a="1"/>
  <c r="I424" i="1" s="1"/>
  <c r="J424" i="1" s="1"/>
  <c r="K423" i="1" a="1"/>
  <c r="K423" i="1" s="1"/>
  <c r="I423" i="1" a="1"/>
  <c r="I423" i="1" s="1"/>
  <c r="J423" i="1" s="1"/>
  <c r="K422" i="1" a="1"/>
  <c r="K422" i="1" s="1"/>
  <c r="I422" i="1" a="1"/>
  <c r="I422" i="1" s="1"/>
  <c r="J422" i="1" s="1"/>
  <c r="K421" i="1" a="1"/>
  <c r="K421" i="1" s="1"/>
  <c r="I421" i="1" a="1"/>
  <c r="I421" i="1" s="1"/>
  <c r="K420" i="1" a="1"/>
  <c r="K420" i="1" s="1"/>
  <c r="I420" i="1" a="1"/>
  <c r="I420" i="1" s="1"/>
  <c r="K419" i="1" a="1"/>
  <c r="K419" i="1" s="1"/>
  <c r="I419" i="1" a="1"/>
  <c r="I419" i="1" s="1"/>
  <c r="J419" i="1" s="1"/>
  <c r="K418" i="1" a="1"/>
  <c r="K418" i="1" s="1"/>
  <c r="I418" i="1" a="1"/>
  <c r="I418" i="1" s="1"/>
  <c r="J418" i="1" s="1"/>
  <c r="K417" i="1" a="1"/>
  <c r="K417" i="1" s="1"/>
  <c r="I417" i="1" a="1"/>
  <c r="I417" i="1" s="1"/>
  <c r="J417" i="1" s="1"/>
  <c r="K416" i="1" a="1"/>
  <c r="K416" i="1" s="1"/>
  <c r="I416" i="1" a="1"/>
  <c r="I416" i="1" s="1"/>
  <c r="J416" i="1" s="1"/>
  <c r="K415" i="1" a="1"/>
  <c r="K415" i="1" s="1"/>
  <c r="I415" i="1" a="1"/>
  <c r="I415" i="1" s="1"/>
  <c r="J415" i="1" s="1"/>
  <c r="K414" i="1" a="1"/>
  <c r="K414" i="1" s="1"/>
  <c r="I414" i="1" a="1"/>
  <c r="I414" i="1" s="1"/>
  <c r="J414" i="1" s="1"/>
  <c r="K413" i="1" a="1"/>
  <c r="K413" i="1" s="1"/>
  <c r="I413" i="1" a="1"/>
  <c r="I413" i="1" s="1"/>
  <c r="J413" i="1" s="1"/>
  <c r="K412" i="1" a="1"/>
  <c r="K412" i="1" s="1"/>
  <c r="I412" i="1" a="1"/>
  <c r="I412" i="1" s="1"/>
  <c r="J412" i="1" s="1"/>
  <c r="K411" i="1" a="1"/>
  <c r="K411" i="1" s="1"/>
  <c r="I411" i="1" a="1"/>
  <c r="I411" i="1" s="1"/>
  <c r="J411" i="1" s="1"/>
  <c r="K410" i="1" a="1"/>
  <c r="K410" i="1" s="1"/>
  <c r="I410" i="1" a="1"/>
  <c r="I410" i="1" s="1"/>
  <c r="K409" i="1" a="1"/>
  <c r="K409" i="1" s="1"/>
  <c r="I409" i="1" a="1"/>
  <c r="I409" i="1" s="1"/>
  <c r="K408" i="1" a="1"/>
  <c r="K408" i="1" s="1"/>
  <c r="I408" i="1" a="1"/>
  <c r="I408" i="1" s="1"/>
  <c r="J408" i="1" s="1"/>
  <c r="K407" i="1" a="1"/>
  <c r="K407" i="1" s="1"/>
  <c r="I407" i="1" a="1"/>
  <c r="I407" i="1" s="1"/>
  <c r="J407" i="1" s="1"/>
  <c r="K406" i="1" a="1"/>
  <c r="K406" i="1" s="1"/>
  <c r="I406" i="1" a="1"/>
  <c r="I406" i="1" s="1"/>
  <c r="J406" i="1" s="1"/>
  <c r="K405" i="1" a="1"/>
  <c r="K405" i="1" s="1"/>
  <c r="I405" i="1" a="1"/>
  <c r="I405" i="1" s="1"/>
  <c r="J405" i="1" s="1"/>
  <c r="K404" i="1" a="1"/>
  <c r="K404" i="1" s="1"/>
  <c r="I404" i="1" a="1"/>
  <c r="I404" i="1" s="1"/>
  <c r="J404" i="1" s="1"/>
  <c r="K403" i="1" a="1"/>
  <c r="K403" i="1" s="1"/>
  <c r="I403" i="1" a="1"/>
  <c r="I403" i="1" s="1"/>
  <c r="J403" i="1" s="1"/>
  <c r="K402" i="1" a="1"/>
  <c r="K402" i="1" s="1"/>
  <c r="I402" i="1" a="1"/>
  <c r="I402" i="1" s="1"/>
  <c r="J402" i="1" s="1"/>
  <c r="K401" i="1" a="1"/>
  <c r="K401" i="1" s="1"/>
  <c r="I401" i="1" a="1"/>
  <c r="I401" i="1" s="1"/>
  <c r="J401" i="1" s="1"/>
  <c r="K400" i="1" a="1"/>
  <c r="K400" i="1" s="1"/>
  <c r="I400" i="1" a="1"/>
  <c r="I400" i="1" s="1"/>
  <c r="J400" i="1" s="1"/>
  <c r="K399" i="1" a="1"/>
  <c r="K399" i="1" s="1"/>
  <c r="I399" i="1" a="1"/>
  <c r="I399" i="1" s="1"/>
  <c r="J399" i="1" s="1"/>
  <c r="K398" i="1" a="1"/>
  <c r="K398" i="1" s="1"/>
  <c r="I398" i="1" a="1"/>
  <c r="I398" i="1" s="1"/>
  <c r="J398" i="1" s="1"/>
  <c r="K397" i="1" a="1"/>
  <c r="K397" i="1" s="1"/>
  <c r="I397" i="1" a="1"/>
  <c r="I397" i="1" s="1"/>
  <c r="J397" i="1" s="1"/>
  <c r="K396" i="1" a="1"/>
  <c r="K396" i="1" s="1"/>
  <c r="I396" i="1" a="1"/>
  <c r="I396" i="1" s="1"/>
  <c r="J396" i="1" s="1"/>
  <c r="K395" i="1" a="1"/>
  <c r="K395" i="1" s="1"/>
  <c r="I395" i="1" a="1"/>
  <c r="I395" i="1" s="1"/>
  <c r="J395" i="1" s="1"/>
  <c r="K394" i="1" a="1"/>
  <c r="K394" i="1" s="1"/>
  <c r="I394" i="1" a="1"/>
  <c r="I394" i="1" s="1"/>
  <c r="K393" i="1" a="1"/>
  <c r="K393" i="1" s="1"/>
  <c r="I393" i="1" a="1"/>
  <c r="I393" i="1" s="1"/>
  <c r="J393" i="1" s="1"/>
  <c r="K392" i="1" a="1"/>
  <c r="K392" i="1" s="1"/>
  <c r="I392" i="1" a="1"/>
  <c r="I392" i="1" s="1"/>
  <c r="J392" i="1" s="1"/>
  <c r="K391" i="1" a="1"/>
  <c r="K391" i="1" s="1"/>
  <c r="I391" i="1" a="1"/>
  <c r="I391" i="1" s="1"/>
  <c r="J391" i="1" s="1"/>
  <c r="K390" i="1" a="1"/>
  <c r="K390" i="1" s="1"/>
  <c r="I390" i="1" a="1"/>
  <c r="I390" i="1" s="1"/>
  <c r="J390" i="1" s="1"/>
  <c r="K389" i="1" a="1"/>
  <c r="K389" i="1" s="1"/>
  <c r="I389" i="1" a="1"/>
  <c r="I389" i="1" s="1"/>
  <c r="J389" i="1" s="1"/>
  <c r="K388" i="1" a="1"/>
  <c r="K388" i="1" s="1"/>
  <c r="I388" i="1" a="1"/>
  <c r="I388" i="1" s="1"/>
  <c r="J388" i="1" s="1"/>
  <c r="K387" i="1" a="1"/>
  <c r="K387" i="1" s="1"/>
  <c r="I387" i="1" a="1"/>
  <c r="I387" i="1" s="1"/>
  <c r="J387" i="1" s="1"/>
  <c r="K386" i="1" a="1"/>
  <c r="K386" i="1" s="1"/>
  <c r="I386" i="1" a="1"/>
  <c r="I386" i="1" s="1"/>
  <c r="J386" i="1" s="1"/>
  <c r="K385" i="1" a="1"/>
  <c r="K385" i="1" s="1"/>
  <c r="I385" i="1" a="1"/>
  <c r="I385" i="1" s="1"/>
  <c r="J385" i="1" s="1"/>
  <c r="K384" i="1" a="1"/>
  <c r="K384" i="1" s="1"/>
  <c r="I384" i="1" a="1"/>
  <c r="I384" i="1" s="1"/>
  <c r="J384" i="1" s="1"/>
  <c r="K383" i="1" a="1"/>
  <c r="K383" i="1" s="1"/>
  <c r="I383" i="1" a="1"/>
  <c r="I383" i="1" s="1"/>
  <c r="J383" i="1" s="1"/>
  <c r="K382" i="1" a="1"/>
  <c r="K382" i="1" s="1"/>
  <c r="I382" i="1" a="1"/>
  <c r="I382" i="1" s="1"/>
  <c r="J382" i="1" s="1"/>
  <c r="K381" i="1" a="1"/>
  <c r="K381" i="1" s="1"/>
  <c r="I381" i="1" a="1"/>
  <c r="I381" i="1" s="1"/>
  <c r="J381" i="1" s="1"/>
  <c r="K380" i="1" a="1"/>
  <c r="K380" i="1" s="1"/>
  <c r="I380" i="1" a="1"/>
  <c r="I380" i="1" s="1"/>
  <c r="J380" i="1" s="1"/>
  <c r="K379" i="1" a="1"/>
  <c r="K379" i="1" s="1"/>
  <c r="I379" i="1" a="1"/>
  <c r="I379" i="1" s="1"/>
  <c r="J379" i="1" s="1"/>
  <c r="K378" i="1" a="1"/>
  <c r="K378" i="1" s="1"/>
  <c r="I378" i="1" a="1"/>
  <c r="I378" i="1" s="1"/>
  <c r="J378" i="1" s="1"/>
  <c r="K377" i="1" a="1"/>
  <c r="K377" i="1" s="1"/>
  <c r="I377" i="1" a="1"/>
  <c r="I377" i="1" s="1"/>
  <c r="K376" i="1" a="1"/>
  <c r="K376" i="1" s="1"/>
  <c r="I376" i="1" a="1"/>
  <c r="I376" i="1" s="1"/>
  <c r="K375" i="1" a="1"/>
  <c r="K375" i="1" s="1"/>
  <c r="I375" i="1" a="1"/>
  <c r="I375" i="1" s="1"/>
  <c r="J375" i="1" s="1"/>
  <c r="K374" i="1" a="1"/>
  <c r="K374" i="1" s="1"/>
  <c r="I374" i="1" a="1"/>
  <c r="I374" i="1" s="1"/>
  <c r="J374" i="1" s="1"/>
  <c r="K373" i="1" a="1"/>
  <c r="K373" i="1" s="1"/>
  <c r="I373" i="1" a="1"/>
  <c r="I373" i="1" s="1"/>
  <c r="J373" i="1" s="1"/>
  <c r="K372" i="1" a="1"/>
  <c r="K372" i="1" s="1"/>
  <c r="I372" i="1" a="1"/>
  <c r="I372" i="1" s="1"/>
  <c r="K371" i="1" a="1"/>
  <c r="K371" i="1" s="1"/>
  <c r="I371" i="1" a="1"/>
  <c r="I371" i="1" s="1"/>
  <c r="J371" i="1" s="1"/>
  <c r="K370" i="1" a="1"/>
  <c r="K370"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I370" i="1" a="1"/>
  <c r="I370" i="1" s="1"/>
  <c r="J370" i="1" s="1"/>
  <c r="I369" i="1" a="1"/>
  <c r="I369" i="1" s="1"/>
  <c r="J369" i="1" s="1"/>
  <c r="I368" i="1" a="1"/>
  <c r="I368" i="1" s="1"/>
  <c r="J368" i="1" s="1"/>
  <c r="I367" i="1" a="1"/>
  <c r="I367" i="1" s="1"/>
  <c r="J367" i="1" s="1"/>
  <c r="I366" i="1" a="1"/>
  <c r="I366" i="1" s="1"/>
  <c r="J366" i="1" s="1"/>
  <c r="I365" i="1" a="1"/>
  <c r="I365" i="1" s="1"/>
  <c r="I364" i="1" a="1"/>
  <c r="I364" i="1" s="1"/>
  <c r="J364" i="1" s="1"/>
  <c r="I363" i="1" a="1"/>
  <c r="I363" i="1" s="1"/>
  <c r="J363" i="1" s="1"/>
  <c r="I362" i="1" a="1"/>
  <c r="I362" i="1" s="1"/>
  <c r="J362" i="1" s="1"/>
  <c r="I361" i="1" a="1"/>
  <c r="I361" i="1" s="1"/>
  <c r="J361" i="1" s="1"/>
  <c r="I360" i="1" a="1"/>
  <c r="I360" i="1" s="1"/>
  <c r="J360" i="1" s="1"/>
  <c r="I359" i="1" a="1"/>
  <c r="I359" i="1" s="1"/>
  <c r="J359" i="1" s="1"/>
  <c r="I358" i="1" a="1"/>
  <c r="I358" i="1" s="1"/>
  <c r="J358" i="1" s="1"/>
  <c r="I357" i="1" a="1"/>
  <c r="I357" i="1" s="1"/>
  <c r="J357" i="1" s="1"/>
  <c r="I356" i="1" a="1"/>
  <c r="I356" i="1" s="1"/>
  <c r="I355" i="1" a="1"/>
  <c r="I355" i="1" s="1"/>
  <c r="J355" i="1" s="1"/>
  <c r="I354" i="1" a="1"/>
  <c r="I354" i="1" s="1"/>
  <c r="J354" i="1" s="1"/>
  <c r="I353" i="1" a="1"/>
  <c r="I353" i="1" s="1"/>
  <c r="J353" i="1" s="1"/>
  <c r="I352" i="1" a="1"/>
  <c r="I352" i="1" s="1"/>
  <c r="J352" i="1" s="1"/>
  <c r="I351" i="1" a="1"/>
  <c r="I351" i="1" s="1"/>
  <c r="J351" i="1" s="1"/>
  <c r="I350" i="1" a="1"/>
  <c r="I350" i="1" s="1"/>
  <c r="J350" i="1" s="1"/>
  <c r="I349" i="1" a="1"/>
  <c r="I349" i="1" s="1"/>
  <c r="J349" i="1" s="1"/>
  <c r="I348" i="1" a="1"/>
  <c r="I348" i="1" s="1"/>
  <c r="J348" i="1" s="1"/>
  <c r="I347" i="1" a="1"/>
  <c r="I347" i="1" s="1"/>
  <c r="J347" i="1" s="1"/>
  <c r="I346" i="1" a="1"/>
  <c r="I346" i="1" s="1"/>
  <c r="J346" i="1" s="1"/>
  <c r="I345" i="1" a="1"/>
  <c r="I345" i="1" s="1"/>
  <c r="J345" i="1" s="1"/>
  <c r="I344" i="1" a="1"/>
  <c r="I344" i="1" s="1"/>
  <c r="J344" i="1" s="1"/>
  <c r="I343" i="1" a="1"/>
  <c r="I343" i="1" s="1"/>
  <c r="J343" i="1" s="1"/>
  <c r="I342" i="1" a="1"/>
  <c r="I342" i="1" s="1"/>
  <c r="J342" i="1" s="1"/>
  <c r="I341" i="1" a="1"/>
  <c r="I341" i="1" s="1"/>
  <c r="J341" i="1" s="1"/>
  <c r="I340" i="1" a="1"/>
  <c r="I340" i="1" s="1"/>
  <c r="J340" i="1" s="1"/>
  <c r="I339" i="1" a="1"/>
  <c r="I339" i="1" s="1"/>
  <c r="J339" i="1" s="1"/>
  <c r="I338" i="1" a="1"/>
  <c r="I338" i="1" s="1"/>
  <c r="J338" i="1" s="1"/>
  <c r="I337" i="1" a="1"/>
  <c r="I337" i="1" s="1"/>
  <c r="J337" i="1" s="1"/>
  <c r="I336" i="1" a="1"/>
  <c r="I336" i="1" s="1"/>
  <c r="J336" i="1" s="1"/>
  <c r="I335" i="1" a="1"/>
  <c r="I335" i="1" s="1"/>
  <c r="J335" i="1" s="1"/>
  <c r="I334" i="1" a="1"/>
  <c r="I334" i="1" s="1"/>
  <c r="J334" i="1" s="1"/>
  <c r="I333" i="1" a="1"/>
  <c r="I333" i="1" s="1"/>
  <c r="I332" i="1" a="1"/>
  <c r="I332" i="1" s="1"/>
  <c r="J332" i="1" s="1"/>
  <c r="I331" i="1" a="1"/>
  <c r="I331" i="1" s="1"/>
  <c r="J331" i="1" s="1"/>
  <c r="I330" i="1" a="1"/>
  <c r="I330" i="1" s="1"/>
  <c r="I329" i="1" a="1"/>
  <c r="I329" i="1" s="1"/>
  <c r="I328" i="1" a="1"/>
  <c r="I328" i="1" s="1"/>
  <c r="J328" i="1" s="1"/>
  <c r="I327" i="1" a="1"/>
  <c r="I327" i="1" s="1"/>
  <c r="J327" i="1" s="1"/>
  <c r="I326" i="1" a="1"/>
  <c r="I326" i="1" s="1"/>
  <c r="J326" i="1" s="1"/>
  <c r="I325" i="1" a="1"/>
  <c r="I325" i="1" s="1"/>
  <c r="I324" i="1" a="1"/>
  <c r="I324" i="1" s="1"/>
  <c r="J324" i="1" s="1"/>
  <c r="I323" i="1" a="1"/>
  <c r="I323" i="1" s="1"/>
  <c r="J323" i="1" s="1"/>
  <c r="I322" i="1" a="1"/>
  <c r="I322" i="1" s="1"/>
  <c r="J322" i="1" s="1"/>
  <c r="I321" i="1" a="1"/>
  <c r="I321" i="1" s="1"/>
  <c r="J321" i="1" s="1"/>
  <c r="I320" i="1" a="1"/>
  <c r="I320" i="1" s="1"/>
  <c r="J320" i="1" s="1"/>
  <c r="I319" i="1" a="1"/>
  <c r="I319" i="1" s="1"/>
  <c r="J319" i="1" s="1"/>
  <c r="I318" i="1" a="1"/>
  <c r="I318" i="1" s="1"/>
  <c r="J318" i="1" s="1"/>
  <c r="I317" i="1" a="1"/>
  <c r="I317" i="1" s="1"/>
  <c r="J317" i="1" s="1"/>
  <c r="I316" i="1" a="1"/>
  <c r="I316" i="1" s="1"/>
  <c r="J316" i="1" s="1"/>
  <c r="I315" i="1" a="1"/>
  <c r="I315" i="1" s="1"/>
  <c r="J315" i="1" s="1"/>
  <c r="I314" i="1" a="1"/>
  <c r="I314" i="1" s="1"/>
  <c r="J314" i="1" s="1"/>
  <c r="I313" i="1" a="1"/>
  <c r="I313" i="1" s="1"/>
  <c r="J313" i="1" s="1"/>
  <c r="I312" i="1" a="1"/>
  <c r="I312" i="1" s="1"/>
  <c r="J312" i="1" s="1"/>
  <c r="I311" i="1" a="1"/>
  <c r="I311" i="1" s="1"/>
  <c r="J311" i="1" s="1"/>
  <c r="I310" i="1" a="1"/>
  <c r="I310" i="1" s="1"/>
  <c r="J310" i="1" s="1"/>
  <c r="I309" i="1" a="1"/>
  <c r="I309" i="1" s="1"/>
  <c r="J309" i="1" s="1"/>
  <c r="I308" i="1" a="1"/>
  <c r="I308" i="1" s="1"/>
  <c r="J308" i="1" s="1"/>
  <c r="I307" i="1" a="1"/>
  <c r="I307" i="1" s="1"/>
  <c r="J307" i="1" s="1"/>
  <c r="I306" i="1" a="1"/>
  <c r="I306" i="1" s="1"/>
  <c r="J306" i="1" s="1"/>
  <c r="I305" i="1" a="1"/>
  <c r="I305" i="1" s="1"/>
  <c r="J305" i="1" s="1"/>
  <c r="I304" i="1" a="1"/>
  <c r="I304" i="1" s="1"/>
  <c r="J304" i="1" s="1"/>
  <c r="I303" i="1" a="1"/>
  <c r="I303" i="1" s="1"/>
  <c r="J303" i="1" s="1"/>
  <c r="I302" i="1" a="1"/>
  <c r="I302" i="1" s="1"/>
  <c r="J302" i="1" s="1"/>
  <c r="I301" i="1" a="1"/>
  <c r="I301" i="1" s="1"/>
  <c r="J301" i="1" s="1"/>
  <c r="I300" i="1" a="1"/>
  <c r="I300" i="1" s="1"/>
  <c r="J300" i="1" s="1"/>
  <c r="I299" i="1" a="1"/>
  <c r="I299" i="1" s="1"/>
  <c r="J299" i="1" s="1"/>
  <c r="I298" i="1" a="1"/>
  <c r="I298" i="1" s="1"/>
  <c r="J298" i="1" s="1"/>
  <c r="I297" i="1" a="1"/>
  <c r="I297" i="1" s="1"/>
  <c r="J297" i="1" s="1"/>
  <c r="I296" i="1" a="1"/>
  <c r="I296" i="1" s="1"/>
  <c r="J296" i="1" s="1"/>
  <c r="I295" i="1" a="1"/>
  <c r="I295" i="1" s="1"/>
  <c r="J295" i="1" s="1"/>
  <c r="I294" i="1" a="1"/>
  <c r="I294" i="1" s="1"/>
  <c r="J294" i="1" s="1"/>
  <c r="I293" i="1" a="1"/>
  <c r="I293" i="1" s="1"/>
  <c r="I292" i="1" a="1"/>
  <c r="I292" i="1" s="1"/>
  <c r="I291" i="1" a="1"/>
  <c r="I291" i="1" s="1"/>
  <c r="J291" i="1" s="1"/>
  <c r="I290" i="1" a="1"/>
  <c r="I290" i="1" s="1"/>
  <c r="J290" i="1" s="1"/>
  <c r="I289" i="1" a="1"/>
  <c r="I289" i="1" s="1"/>
  <c r="J289" i="1" s="1"/>
  <c r="I288" i="1" a="1"/>
  <c r="I288" i="1" s="1"/>
  <c r="J288" i="1" s="1"/>
  <c r="I287" i="1" a="1"/>
  <c r="I287" i="1" s="1"/>
  <c r="J287" i="1" s="1"/>
  <c r="I286" i="1" a="1"/>
  <c r="I286" i="1" s="1"/>
  <c r="J286" i="1" s="1"/>
  <c r="I285" i="1" a="1"/>
  <c r="I285" i="1" s="1"/>
  <c r="I284" i="1" a="1"/>
  <c r="I284" i="1" s="1"/>
  <c r="J284" i="1" s="1"/>
  <c r="I283" i="1" a="1"/>
  <c r="I283" i="1" s="1"/>
  <c r="J283" i="1" s="1"/>
  <c r="I282" i="1" a="1"/>
  <c r="I282" i="1" s="1"/>
  <c r="I281" i="1" a="1"/>
  <c r="I281" i="1" s="1"/>
  <c r="J281" i="1" s="1"/>
  <c r="I280" i="1" a="1"/>
  <c r="I280" i="1" s="1"/>
  <c r="J280" i="1" s="1"/>
  <c r="I279" i="1" a="1"/>
  <c r="I279" i="1" s="1"/>
  <c r="J279" i="1" s="1"/>
  <c r="I278" i="1" a="1"/>
  <c r="I278" i="1" s="1"/>
  <c r="J278" i="1" s="1"/>
  <c r="I277" i="1" a="1"/>
  <c r="I277" i="1" s="1"/>
  <c r="J277" i="1" s="1"/>
  <c r="I276" i="1" a="1"/>
  <c r="I276" i="1" s="1"/>
  <c r="J276" i="1" s="1"/>
  <c r="I275" i="1" a="1"/>
  <c r="I275" i="1" s="1"/>
  <c r="J275" i="1" s="1"/>
  <c r="I274" i="1" a="1"/>
  <c r="I274" i="1" s="1"/>
  <c r="J274" i="1" s="1"/>
  <c r="I273" i="1" a="1"/>
  <c r="I273" i="1" s="1"/>
  <c r="J273" i="1" s="1"/>
  <c r="I272" i="1" a="1"/>
  <c r="I272" i="1" s="1"/>
  <c r="J272" i="1" s="1"/>
  <c r="I271" i="1" a="1"/>
  <c r="I271" i="1" s="1"/>
  <c r="J271" i="1" s="1"/>
  <c r="I270" i="1" a="1"/>
  <c r="I270" i="1" s="1"/>
  <c r="J270" i="1" s="1"/>
  <c r="I269" i="1" a="1"/>
  <c r="I269" i="1" s="1"/>
  <c r="J269" i="1" s="1"/>
  <c r="I268" i="1" a="1"/>
  <c r="I268" i="1" s="1"/>
  <c r="J268" i="1" s="1"/>
  <c r="I267" i="1" a="1"/>
  <c r="I267" i="1" s="1"/>
  <c r="J267" i="1" s="1"/>
  <c r="I266" i="1" a="1"/>
  <c r="I266" i="1" s="1"/>
  <c r="J266" i="1" s="1"/>
  <c r="I265" i="1" a="1"/>
  <c r="I265" i="1" s="1"/>
  <c r="J265" i="1" s="1"/>
  <c r="I264" i="1" a="1"/>
  <c r="I264" i="1" s="1"/>
  <c r="J264" i="1" s="1"/>
  <c r="I263" i="1" a="1"/>
  <c r="I263" i="1" s="1"/>
  <c r="J263" i="1" s="1"/>
  <c r="I262" i="1" a="1"/>
  <c r="I262" i="1" s="1"/>
  <c r="J262" i="1" s="1"/>
  <c r="I261" i="1" a="1"/>
  <c r="I261" i="1" s="1"/>
  <c r="J261" i="1" s="1"/>
  <c r="I260" i="1" a="1"/>
  <c r="I260" i="1" s="1"/>
  <c r="J260" i="1" s="1"/>
  <c r="I259" i="1" a="1"/>
  <c r="I259" i="1" s="1"/>
  <c r="J259" i="1" s="1"/>
  <c r="I258" i="1" a="1"/>
  <c r="I258" i="1" s="1"/>
  <c r="J258" i="1" s="1"/>
  <c r="I257" i="1" a="1"/>
  <c r="I257" i="1" s="1"/>
  <c r="J257" i="1" s="1"/>
  <c r="I256" i="1" a="1"/>
  <c r="I256" i="1" s="1"/>
  <c r="J256" i="1" s="1"/>
  <c r="I255" i="1" a="1"/>
  <c r="I255" i="1" s="1"/>
  <c r="J255" i="1" s="1"/>
  <c r="I254" i="1" a="1"/>
  <c r="I254" i="1" s="1"/>
  <c r="J254" i="1" s="1"/>
  <c r="I253" i="1" a="1"/>
  <c r="I253" i="1" s="1"/>
  <c r="J253" i="1" s="1"/>
  <c r="I252" i="1" a="1"/>
  <c r="I252" i="1" s="1"/>
  <c r="J252" i="1" s="1"/>
  <c r="I251" i="1" a="1"/>
  <c r="I251" i="1" s="1"/>
  <c r="J251" i="1" s="1"/>
  <c r="I250" i="1" a="1"/>
  <c r="I250" i="1" s="1"/>
  <c r="J250" i="1" s="1"/>
  <c r="I249" i="1" a="1"/>
  <c r="I249" i="1" s="1"/>
  <c r="I248" i="1" a="1"/>
  <c r="I248" i="1" s="1"/>
  <c r="I247" i="1" a="1"/>
  <c r="I247" i="1" s="1"/>
  <c r="J247" i="1" s="1"/>
  <c r="I246" i="1" a="1"/>
  <c r="I246" i="1" s="1"/>
  <c r="J246" i="1" s="1"/>
  <c r="I245" i="1" a="1"/>
  <c r="I245" i="1" s="1"/>
  <c r="I244" i="1" a="1"/>
  <c r="I244" i="1" s="1"/>
  <c r="I243" i="1" a="1"/>
  <c r="I243" i="1" s="1"/>
  <c r="J243" i="1" s="1"/>
  <c r="I242" i="1" a="1"/>
  <c r="I242" i="1" s="1"/>
  <c r="J242" i="1" s="1"/>
  <c r="I241" i="1" a="1"/>
  <c r="I241" i="1" s="1"/>
  <c r="J241" i="1" s="1"/>
  <c r="I240" i="1" a="1"/>
  <c r="I240" i="1" s="1"/>
  <c r="J240" i="1" s="1"/>
  <c r="I239" i="1" a="1"/>
  <c r="I239" i="1" s="1"/>
  <c r="J239" i="1" s="1"/>
  <c r="I238" i="1" a="1"/>
  <c r="I238" i="1" s="1"/>
  <c r="J238" i="1" s="1"/>
  <c r="I237" i="1" a="1"/>
  <c r="I237" i="1" s="1"/>
  <c r="I236" i="1" a="1"/>
  <c r="I236" i="1" s="1"/>
  <c r="J236" i="1" s="1"/>
  <c r="I235" i="1" a="1"/>
  <c r="I235" i="1" s="1"/>
  <c r="J235" i="1" s="1"/>
  <c r="I234" i="1" a="1"/>
  <c r="I234" i="1" s="1"/>
  <c r="J234" i="1" s="1"/>
  <c r="I233" i="1" a="1"/>
  <c r="I233" i="1" s="1"/>
  <c r="J233" i="1" s="1"/>
  <c r="I232" i="1" a="1"/>
  <c r="I232" i="1" s="1"/>
  <c r="J232" i="1" s="1"/>
  <c r="I231" i="1" a="1"/>
  <c r="I231" i="1" s="1"/>
  <c r="J231" i="1" s="1"/>
  <c r="I230" i="1" a="1"/>
  <c r="I230" i="1" s="1"/>
  <c r="J230" i="1" s="1"/>
  <c r="I229" i="1" a="1"/>
  <c r="I229" i="1" s="1"/>
  <c r="J229" i="1" s="1"/>
  <c r="I228" i="1" a="1"/>
  <c r="I228" i="1" s="1"/>
  <c r="I227" i="1" a="1"/>
  <c r="I227" i="1" s="1"/>
  <c r="J227" i="1" s="1"/>
  <c r="I226" i="1" a="1"/>
  <c r="I226" i="1" s="1"/>
  <c r="J226" i="1" s="1"/>
  <c r="I225" i="1" a="1"/>
  <c r="I225" i="1" s="1"/>
  <c r="J225" i="1" s="1"/>
  <c r="I224" i="1" a="1"/>
  <c r="I224" i="1" s="1"/>
  <c r="J224" i="1" s="1"/>
  <c r="I223" i="1" a="1"/>
  <c r="I223" i="1" s="1"/>
  <c r="J223" i="1" s="1"/>
  <c r="I222" i="1" a="1"/>
  <c r="I222" i="1" s="1"/>
  <c r="J222" i="1" s="1"/>
  <c r="I221" i="1" a="1"/>
  <c r="I221" i="1" s="1"/>
  <c r="J221" i="1" s="1"/>
  <c r="I220" i="1" a="1"/>
  <c r="I220" i="1" s="1"/>
  <c r="J220" i="1" s="1"/>
  <c r="I219" i="1" a="1"/>
  <c r="I219" i="1" s="1"/>
  <c r="J219" i="1" s="1"/>
  <c r="I218" i="1" a="1"/>
  <c r="I218" i="1" s="1"/>
  <c r="J218" i="1" s="1"/>
  <c r="I217" i="1" a="1"/>
  <c r="I217" i="1" s="1"/>
  <c r="J217" i="1" s="1"/>
  <c r="I216" i="1" a="1"/>
  <c r="I216" i="1" s="1"/>
  <c r="J216" i="1" s="1"/>
  <c r="I215" i="1" a="1"/>
  <c r="I215" i="1" s="1"/>
  <c r="J215" i="1" s="1"/>
  <c r="I214" i="1" a="1"/>
  <c r="I214" i="1" s="1"/>
  <c r="J214" i="1" s="1"/>
  <c r="I213" i="1" a="1"/>
  <c r="I213" i="1" s="1"/>
  <c r="J213" i="1" s="1"/>
  <c r="I212" i="1" a="1"/>
  <c r="I212" i="1" s="1"/>
  <c r="J212" i="1" s="1"/>
  <c r="I211" i="1" a="1"/>
  <c r="I211" i="1" s="1"/>
  <c r="J211" i="1" s="1"/>
  <c r="I210" i="1" a="1"/>
  <c r="I210" i="1" s="1"/>
  <c r="J210" i="1" s="1"/>
  <c r="I209" i="1" a="1"/>
  <c r="I209" i="1" s="1"/>
  <c r="J209" i="1" s="1"/>
  <c r="I208" i="1" a="1"/>
  <c r="I208" i="1" s="1"/>
  <c r="J208" i="1" s="1"/>
  <c r="I207" i="1" a="1"/>
  <c r="I207" i="1" s="1"/>
  <c r="J207" i="1" s="1"/>
  <c r="I206" i="1" a="1"/>
  <c r="I206" i="1" s="1"/>
  <c r="J206" i="1" s="1"/>
  <c r="I205" i="1" a="1"/>
  <c r="I205" i="1" s="1"/>
  <c r="I204" i="1" a="1"/>
  <c r="I204" i="1" s="1"/>
  <c r="J204" i="1" s="1"/>
  <c r="I203" i="1" a="1"/>
  <c r="I203" i="1" s="1"/>
  <c r="J203" i="1" s="1"/>
  <c r="I202" i="1" a="1"/>
  <c r="I202" i="1" s="1"/>
  <c r="I201" i="1" a="1"/>
  <c r="I201" i="1" s="1"/>
  <c r="I200" i="1" a="1"/>
  <c r="I200" i="1" s="1"/>
  <c r="J200" i="1" s="1"/>
  <c r="I199" i="1" a="1"/>
  <c r="I199" i="1" s="1"/>
  <c r="J199" i="1" s="1"/>
  <c r="I198" i="1" a="1"/>
  <c r="I198" i="1" s="1"/>
  <c r="J198" i="1" s="1"/>
  <c r="I197" i="1" a="1"/>
  <c r="I197" i="1" s="1"/>
  <c r="I196" i="1" a="1"/>
  <c r="I196" i="1" s="1"/>
  <c r="J196" i="1" s="1"/>
  <c r="I195" i="1" a="1"/>
  <c r="I195" i="1" s="1"/>
  <c r="J195" i="1" s="1"/>
  <c r="I194" i="1" a="1"/>
  <c r="I194" i="1" s="1"/>
  <c r="J194" i="1" s="1"/>
  <c r="I193" i="1" a="1"/>
  <c r="I193" i="1" s="1"/>
  <c r="J193" i="1" s="1"/>
  <c r="I192" i="1" a="1"/>
  <c r="I192" i="1" s="1"/>
  <c r="J192" i="1" s="1"/>
  <c r="I191" i="1" a="1"/>
  <c r="I191" i="1" s="1"/>
  <c r="J191" i="1" s="1"/>
  <c r="I190" i="1" a="1"/>
  <c r="I190" i="1" s="1"/>
  <c r="J190" i="1" s="1"/>
  <c r="I189" i="1" a="1"/>
  <c r="I189" i="1" s="1"/>
  <c r="J189" i="1" s="1"/>
  <c r="I188" i="1" a="1"/>
  <c r="I188" i="1" s="1"/>
  <c r="J188" i="1" s="1"/>
  <c r="I187" i="1" a="1"/>
  <c r="I187" i="1" s="1"/>
  <c r="J187" i="1" s="1"/>
  <c r="I186" i="1" a="1"/>
  <c r="I186" i="1" s="1"/>
  <c r="J186" i="1" s="1"/>
  <c r="I185" i="1" a="1"/>
  <c r="I185" i="1" s="1"/>
  <c r="J185" i="1" s="1"/>
  <c r="I184" i="1" a="1"/>
  <c r="I184" i="1" s="1"/>
  <c r="J184" i="1" s="1"/>
  <c r="I183" i="1" a="1"/>
  <c r="I183" i="1" s="1"/>
  <c r="J183" i="1" s="1"/>
  <c r="I182" i="1" a="1"/>
  <c r="I182" i="1" s="1"/>
  <c r="J182" i="1" s="1"/>
  <c r="I181" i="1" a="1"/>
  <c r="I181" i="1" s="1"/>
  <c r="J181" i="1" s="1"/>
  <c r="I180" i="1" a="1"/>
  <c r="I180" i="1" s="1"/>
  <c r="J180" i="1" s="1"/>
  <c r="I179" i="1" a="1"/>
  <c r="I179" i="1" s="1"/>
  <c r="J179" i="1" s="1"/>
  <c r="I178" i="1" a="1"/>
  <c r="I178" i="1" s="1"/>
  <c r="J178" i="1" s="1"/>
  <c r="I177" i="1" a="1"/>
  <c r="I177" i="1" s="1"/>
  <c r="J177" i="1" s="1"/>
  <c r="I176" i="1" a="1"/>
  <c r="I176" i="1" s="1"/>
  <c r="J176" i="1" s="1"/>
  <c r="I175" i="1" a="1"/>
  <c r="I175" i="1" s="1"/>
  <c r="J175" i="1" s="1"/>
  <c r="I174" i="1" a="1"/>
  <c r="I174" i="1" s="1"/>
  <c r="J174" i="1" s="1"/>
  <c r="I173" i="1" a="1"/>
  <c r="I173" i="1" s="1"/>
  <c r="J173" i="1" s="1"/>
  <c r="I172" i="1" a="1"/>
  <c r="I172" i="1" s="1"/>
  <c r="J172" i="1" s="1"/>
  <c r="I171" i="1" a="1"/>
  <c r="I171" i="1" s="1"/>
  <c r="J171" i="1" s="1"/>
  <c r="I170" i="1" a="1"/>
  <c r="I170" i="1" s="1"/>
  <c r="J170" i="1" s="1"/>
  <c r="I169" i="1" a="1"/>
  <c r="I169" i="1" s="1"/>
  <c r="J169" i="1" s="1"/>
  <c r="I168" i="1" a="1"/>
  <c r="I168" i="1" s="1"/>
  <c r="J168" i="1" s="1"/>
  <c r="I167" i="1" a="1"/>
  <c r="I167" i="1" s="1"/>
  <c r="J167" i="1" s="1"/>
  <c r="I166" i="1" a="1"/>
  <c r="I166" i="1" s="1"/>
  <c r="J166" i="1" s="1"/>
  <c r="I165" i="1" a="1"/>
  <c r="I165" i="1" s="1"/>
  <c r="I164" i="1" a="1"/>
  <c r="I164" i="1" s="1"/>
  <c r="I163" i="1" a="1"/>
  <c r="I163" i="1" s="1"/>
  <c r="J163" i="1" s="1"/>
  <c r="I162" i="1" a="1"/>
  <c r="I162" i="1" s="1"/>
  <c r="J162" i="1" s="1"/>
  <c r="I161" i="1" a="1"/>
  <c r="I161" i="1" s="1"/>
  <c r="J161" i="1" s="1"/>
  <c r="I160" i="1" a="1"/>
  <c r="I160" i="1" s="1"/>
  <c r="J160" i="1" s="1"/>
  <c r="I159" i="1" a="1"/>
  <c r="I159" i="1" s="1"/>
  <c r="J159" i="1" s="1"/>
  <c r="I158" i="1" a="1"/>
  <c r="I158" i="1" s="1"/>
  <c r="J158" i="1" s="1"/>
  <c r="I157" i="1" a="1"/>
  <c r="I157" i="1" s="1"/>
  <c r="I156" i="1" a="1"/>
  <c r="I156" i="1" s="1"/>
  <c r="J156" i="1" s="1"/>
  <c r="I155" i="1" a="1"/>
  <c r="I155" i="1" s="1"/>
  <c r="J155" i="1" s="1"/>
  <c r="I154" i="1" a="1"/>
  <c r="I154" i="1" s="1"/>
  <c r="I153" i="1" a="1"/>
  <c r="I153" i="1" s="1"/>
  <c r="J153" i="1" s="1"/>
  <c r="I152" i="1" a="1"/>
  <c r="I152" i="1" s="1"/>
  <c r="J152" i="1" s="1"/>
  <c r="I151" i="1" a="1"/>
  <c r="I151" i="1" s="1"/>
  <c r="J151" i="1" s="1"/>
  <c r="I150" i="1" a="1"/>
  <c r="I150" i="1" s="1"/>
  <c r="J150" i="1" s="1"/>
  <c r="I149" i="1" a="1"/>
  <c r="I149" i="1" s="1"/>
  <c r="J149" i="1" s="1"/>
  <c r="I148" i="1" a="1"/>
  <c r="I148" i="1" s="1"/>
  <c r="J148" i="1" s="1"/>
  <c r="I147" i="1" a="1"/>
  <c r="I147" i="1" s="1"/>
  <c r="J147" i="1" s="1"/>
  <c r="I146" i="1" a="1"/>
  <c r="I146" i="1" s="1"/>
  <c r="J146" i="1" s="1"/>
  <c r="I145" i="1" a="1"/>
  <c r="I145" i="1" s="1"/>
  <c r="J145" i="1" s="1"/>
  <c r="I144" i="1" a="1"/>
  <c r="I144" i="1" s="1"/>
  <c r="J144" i="1" s="1"/>
  <c r="I143" i="1" a="1"/>
  <c r="I143" i="1" s="1"/>
  <c r="J143" i="1" s="1"/>
  <c r="I142" i="1" a="1"/>
  <c r="I142" i="1" s="1"/>
  <c r="J142" i="1" s="1"/>
  <c r="I141" i="1" a="1"/>
  <c r="I141" i="1" s="1"/>
  <c r="J141" i="1" s="1"/>
  <c r="I140" i="1" a="1"/>
  <c r="I140" i="1" s="1"/>
  <c r="J140" i="1" s="1"/>
  <c r="I139" i="1" a="1"/>
  <c r="I139" i="1" s="1"/>
  <c r="J139" i="1" s="1"/>
  <c r="I138" i="1" a="1"/>
  <c r="I138" i="1" s="1"/>
  <c r="J138" i="1" s="1"/>
  <c r="I137" i="1" a="1"/>
  <c r="I137" i="1" s="1"/>
  <c r="J137" i="1" s="1"/>
  <c r="I136" i="1" a="1"/>
  <c r="I136" i="1" s="1"/>
  <c r="J136" i="1" s="1"/>
  <c r="I135" i="1" a="1"/>
  <c r="I135" i="1" s="1"/>
  <c r="J135" i="1" s="1"/>
  <c r="I134" i="1" a="1"/>
  <c r="I134" i="1" s="1"/>
  <c r="J134" i="1" s="1"/>
  <c r="I133" i="1" a="1"/>
  <c r="I133" i="1" s="1"/>
  <c r="J133" i="1" s="1"/>
  <c r="I132" i="1" a="1"/>
  <c r="I132" i="1" s="1"/>
  <c r="J132" i="1" s="1"/>
  <c r="I131" i="1" a="1"/>
  <c r="I131" i="1" s="1"/>
  <c r="J131" i="1" s="1"/>
  <c r="I130" i="1" a="1"/>
  <c r="I130" i="1" s="1"/>
  <c r="J130" i="1" s="1"/>
  <c r="I129" i="1" a="1"/>
  <c r="I129" i="1" s="1"/>
  <c r="J129" i="1" s="1"/>
  <c r="I128" i="1" a="1"/>
  <c r="I128" i="1" s="1"/>
  <c r="J128" i="1" s="1"/>
  <c r="I127" i="1" a="1"/>
  <c r="I127" i="1" s="1"/>
  <c r="J127" i="1" s="1"/>
  <c r="I126" i="1" a="1"/>
  <c r="I126" i="1" s="1"/>
  <c r="J126" i="1" s="1"/>
  <c r="I125" i="1" a="1"/>
  <c r="I125" i="1" s="1"/>
  <c r="J125" i="1" s="1"/>
  <c r="I124" i="1" a="1"/>
  <c r="I124" i="1" s="1"/>
  <c r="J124" i="1" s="1"/>
  <c r="I123" i="1" a="1"/>
  <c r="I123" i="1" s="1"/>
  <c r="J123" i="1" s="1"/>
  <c r="I122" i="1" a="1"/>
  <c r="I122" i="1" s="1"/>
  <c r="J122" i="1" s="1"/>
  <c r="I121" i="1" a="1"/>
  <c r="I121" i="1" s="1"/>
  <c r="I120" i="1" a="1"/>
  <c r="I120" i="1" s="1"/>
  <c r="I119" i="1" a="1"/>
  <c r="I119" i="1" s="1"/>
  <c r="J119" i="1" s="1"/>
  <c r="I118" i="1" a="1"/>
  <c r="I118" i="1" s="1"/>
  <c r="J118" i="1" s="1"/>
  <c r="I117" i="1" a="1"/>
  <c r="I117" i="1" s="1"/>
  <c r="I116" i="1" a="1"/>
  <c r="I116" i="1" s="1"/>
  <c r="I115" i="1" a="1"/>
  <c r="I115" i="1" s="1"/>
  <c r="J115" i="1" s="1"/>
  <c r="I114" i="1" a="1"/>
  <c r="I114" i="1" s="1"/>
  <c r="J114" i="1" s="1"/>
  <c r="I113" i="1" a="1"/>
  <c r="I113" i="1" s="1"/>
  <c r="J113" i="1" s="1"/>
  <c r="I112" i="1" a="1"/>
  <c r="I112" i="1" s="1"/>
  <c r="J112" i="1" s="1"/>
  <c r="I111" i="1" a="1"/>
  <c r="I111" i="1" s="1"/>
  <c r="J111" i="1" s="1"/>
  <c r="I110" i="1" a="1"/>
  <c r="I110" i="1" s="1"/>
  <c r="J110" i="1" s="1"/>
  <c r="I109" i="1" a="1"/>
  <c r="I109" i="1" s="1"/>
  <c r="I108" i="1" a="1"/>
  <c r="I108" i="1" s="1"/>
  <c r="J108" i="1" s="1"/>
  <c r="I107" i="1" a="1"/>
  <c r="I107" i="1" s="1"/>
  <c r="J107" i="1" s="1"/>
  <c r="I106" i="1" a="1"/>
  <c r="I106" i="1" s="1"/>
  <c r="J106" i="1" s="1"/>
  <c r="I105" i="1" a="1"/>
  <c r="I105" i="1" s="1"/>
  <c r="J105" i="1" s="1"/>
  <c r="I104" i="1" a="1"/>
  <c r="I104" i="1" s="1"/>
  <c r="J104" i="1" s="1"/>
  <c r="I103" i="1" a="1"/>
  <c r="I103" i="1" s="1"/>
  <c r="J103" i="1" s="1"/>
  <c r="I102" i="1" a="1"/>
  <c r="I102" i="1" s="1"/>
  <c r="J102" i="1" s="1"/>
  <c r="I101" i="1" a="1"/>
  <c r="I101" i="1" s="1"/>
  <c r="J101" i="1" s="1"/>
  <c r="I100" i="1" a="1"/>
  <c r="I100" i="1" s="1"/>
  <c r="I99" i="1" a="1"/>
  <c r="I99" i="1" s="1"/>
  <c r="J99" i="1" s="1"/>
  <c r="I98" i="1" a="1"/>
  <c r="I98" i="1" s="1"/>
  <c r="J98" i="1" s="1"/>
  <c r="I97" i="1" a="1"/>
  <c r="I97" i="1" s="1"/>
  <c r="J97" i="1" s="1"/>
  <c r="I96" i="1" a="1"/>
  <c r="I96" i="1" s="1"/>
  <c r="J96" i="1" s="1"/>
  <c r="I95" i="1" a="1"/>
  <c r="I95" i="1" s="1"/>
  <c r="J95" i="1" s="1"/>
  <c r="I94" i="1" a="1"/>
  <c r="I94" i="1" s="1"/>
  <c r="J94" i="1" s="1"/>
  <c r="I93" i="1" a="1"/>
  <c r="I93" i="1" s="1"/>
  <c r="J93" i="1" s="1"/>
  <c r="I92" i="1" a="1"/>
  <c r="I92" i="1" s="1"/>
  <c r="J92" i="1" s="1"/>
  <c r="I91" i="1" a="1"/>
  <c r="I91" i="1" s="1"/>
  <c r="J91" i="1" s="1"/>
  <c r="I90" i="1" a="1"/>
  <c r="I90" i="1" s="1"/>
  <c r="J90" i="1" s="1"/>
  <c r="I89" i="1" a="1"/>
  <c r="I89" i="1" s="1"/>
  <c r="J89" i="1" s="1"/>
  <c r="I88" i="1" a="1"/>
  <c r="I88" i="1" s="1"/>
  <c r="J88" i="1" s="1"/>
  <c r="I87" i="1" a="1"/>
  <c r="I87" i="1" s="1"/>
  <c r="J87" i="1" s="1"/>
  <c r="I86" i="1" a="1"/>
  <c r="I86" i="1" s="1"/>
  <c r="J86" i="1" s="1"/>
  <c r="I85" i="1" a="1"/>
  <c r="I85" i="1" s="1"/>
  <c r="J85" i="1" s="1"/>
  <c r="I84" i="1" a="1"/>
  <c r="I84" i="1" s="1"/>
  <c r="J84" i="1" s="1"/>
  <c r="I83" i="1" a="1"/>
  <c r="I83" i="1" s="1"/>
  <c r="J83" i="1" s="1"/>
  <c r="I82" i="1" a="1"/>
  <c r="I82" i="1" s="1"/>
  <c r="J82" i="1" s="1"/>
  <c r="I81" i="1" a="1"/>
  <c r="I81" i="1" s="1"/>
  <c r="J81" i="1" s="1"/>
  <c r="I80" i="1" a="1"/>
  <c r="I80" i="1" s="1"/>
  <c r="J80" i="1" s="1"/>
  <c r="I79" i="1" a="1"/>
  <c r="I79" i="1" s="1"/>
  <c r="J79" i="1" s="1"/>
  <c r="I78" i="1" a="1"/>
  <c r="I78" i="1" s="1"/>
  <c r="J78" i="1" s="1"/>
  <c r="I77" i="1" a="1"/>
  <c r="I77" i="1" s="1"/>
  <c r="I76" i="1" a="1"/>
  <c r="I76" i="1" s="1"/>
  <c r="J76" i="1" s="1"/>
  <c r="I75" i="1" a="1"/>
  <c r="I75" i="1" s="1"/>
  <c r="J75" i="1" s="1"/>
  <c r="I74" i="1" a="1"/>
  <c r="I74" i="1" s="1"/>
  <c r="I73" i="1" a="1"/>
  <c r="I73" i="1" s="1"/>
  <c r="I72" i="1" a="1"/>
  <c r="I72" i="1" s="1"/>
  <c r="J72" i="1" s="1"/>
  <c r="I71" i="1" a="1"/>
  <c r="I71" i="1" s="1"/>
  <c r="J71" i="1" s="1"/>
  <c r="I70" i="1" a="1"/>
  <c r="I70" i="1" s="1"/>
  <c r="J70" i="1" s="1"/>
  <c r="I69" i="1" a="1"/>
  <c r="I69" i="1" s="1"/>
  <c r="I68" i="1" a="1"/>
  <c r="I68" i="1" s="1"/>
  <c r="J68" i="1" s="1"/>
  <c r="I67" i="1" a="1"/>
  <c r="I67" i="1" s="1"/>
  <c r="J67" i="1" s="1"/>
  <c r="I66" i="1" a="1"/>
  <c r="I66" i="1" s="1"/>
  <c r="J66" i="1" s="1"/>
  <c r="I65" i="1" a="1"/>
  <c r="I65" i="1" s="1"/>
  <c r="J65" i="1" s="1"/>
  <c r="I64" i="1" a="1"/>
  <c r="I64" i="1" s="1"/>
  <c r="J64" i="1" s="1"/>
  <c r="I63" i="1" a="1"/>
  <c r="I63" i="1" s="1"/>
  <c r="J63" i="1" s="1"/>
  <c r="I62" i="1" a="1"/>
  <c r="I62" i="1" s="1"/>
  <c r="J62" i="1" s="1"/>
  <c r="I61" i="1" a="1"/>
  <c r="I61" i="1" s="1"/>
  <c r="J61" i="1" s="1"/>
  <c r="I60" i="1" a="1"/>
  <c r="I60" i="1" s="1"/>
  <c r="J60" i="1" s="1"/>
  <c r="I59" i="1" a="1"/>
  <c r="I59" i="1" s="1"/>
  <c r="J59" i="1" s="1"/>
  <c r="I58" i="1" a="1"/>
  <c r="I58" i="1" s="1"/>
  <c r="J58" i="1" s="1"/>
  <c r="I57" i="1" a="1"/>
  <c r="I57" i="1" s="1"/>
  <c r="J57" i="1" s="1"/>
  <c r="I56" i="1" a="1"/>
  <c r="I56" i="1" s="1"/>
  <c r="I55" i="1" a="1"/>
  <c r="I55" i="1" s="1"/>
  <c r="J55" i="1" s="1"/>
  <c r="I54" i="1" a="1"/>
  <c r="I54" i="1" s="1"/>
  <c r="J54" i="1" s="1"/>
  <c r="I53" i="1" a="1"/>
  <c r="I53" i="1" s="1"/>
  <c r="J53" i="1" s="1"/>
  <c r="I52" i="1" a="1"/>
  <c r="I52" i="1" s="1"/>
  <c r="J52" i="1" s="1"/>
  <c r="I51" i="1" a="1"/>
  <c r="I51" i="1" s="1"/>
  <c r="J51" i="1" s="1"/>
  <c r="I50" i="1" a="1"/>
  <c r="I50" i="1" s="1"/>
  <c r="J50" i="1" s="1"/>
  <c r="I49" i="1" a="1"/>
  <c r="I49" i="1" s="1"/>
  <c r="J49" i="1" s="1"/>
  <c r="I48" i="1" a="1"/>
  <c r="I48" i="1" s="1"/>
  <c r="J48" i="1" s="1"/>
  <c r="I47" i="1" a="1"/>
  <c r="I47" i="1" s="1"/>
  <c r="J47" i="1" s="1"/>
  <c r="I46" i="1" a="1"/>
  <c r="I46" i="1" s="1"/>
  <c r="J46" i="1" s="1"/>
  <c r="I45" i="1" a="1"/>
  <c r="I45" i="1" s="1"/>
  <c r="J45" i="1" s="1"/>
  <c r="I44" i="1" a="1"/>
  <c r="I44" i="1" s="1"/>
  <c r="J44" i="1" s="1"/>
  <c r="I43" i="1" a="1"/>
  <c r="I43" i="1" s="1"/>
  <c r="J43" i="1" s="1"/>
  <c r="I42" i="1" a="1"/>
  <c r="I42" i="1" s="1"/>
  <c r="J42" i="1" s="1"/>
  <c r="I41" i="1" a="1"/>
  <c r="I41" i="1" s="1"/>
  <c r="J41" i="1" s="1"/>
  <c r="I40" i="1" a="1"/>
  <c r="I40" i="1" s="1"/>
  <c r="J40" i="1" s="1"/>
  <c r="I39" i="1" a="1"/>
  <c r="I39" i="1" s="1"/>
  <c r="J39" i="1" s="1"/>
  <c r="I38" i="1" a="1"/>
  <c r="I38" i="1" s="1"/>
  <c r="J38" i="1" s="1"/>
  <c r="I37" i="1" a="1"/>
  <c r="I37" i="1" s="1"/>
  <c r="I36" i="1" a="1"/>
  <c r="I36" i="1" s="1"/>
  <c r="I35" i="1" a="1"/>
  <c r="I35" i="1" s="1"/>
  <c r="J35" i="1" s="1"/>
  <c r="I34" i="1" a="1"/>
  <c r="I34" i="1" s="1"/>
  <c r="J34" i="1" s="1"/>
  <c r="I33" i="1" a="1"/>
  <c r="I33" i="1" s="1"/>
  <c r="J33" i="1" s="1"/>
  <c r="I32" i="1" a="1"/>
  <c r="I32" i="1" s="1"/>
  <c r="J32" i="1" s="1"/>
  <c r="I31" i="1" a="1"/>
  <c r="I31" i="1" s="1"/>
  <c r="J31" i="1" s="1"/>
  <c r="I30" i="1" a="1"/>
  <c r="I30" i="1" s="1"/>
  <c r="J30" i="1" s="1"/>
  <c r="I29" i="1" a="1"/>
  <c r="I29" i="1" s="1"/>
  <c r="I28" i="1" a="1"/>
  <c r="I28" i="1" s="1"/>
  <c r="J28" i="1" s="1"/>
  <c r="I27" i="1" a="1"/>
  <c r="I27" i="1" s="1"/>
  <c r="J27" i="1" s="1"/>
  <c r="I26" i="1" a="1"/>
  <c r="I26" i="1" s="1"/>
  <c r="I25" i="1" a="1"/>
  <c r="I25" i="1" s="1"/>
  <c r="I24" i="1" a="1"/>
  <c r="I24" i="1" s="1"/>
  <c r="J24" i="1" s="1"/>
  <c r="I23" i="1" a="1"/>
  <c r="I23" i="1" s="1"/>
  <c r="J23" i="1" s="1"/>
  <c r="I22" i="1" a="1"/>
  <c r="I22" i="1" s="1"/>
  <c r="J22" i="1" s="1"/>
  <c r="I21" i="1" a="1"/>
  <c r="I21" i="1" s="1"/>
  <c r="J21" i="1" s="1"/>
  <c r="I20" i="1" a="1"/>
  <c r="I20" i="1" s="1"/>
  <c r="J20" i="1" s="1"/>
  <c r="I19" i="1" a="1"/>
  <c r="I19" i="1" s="1"/>
  <c r="J19" i="1" s="1"/>
  <c r="I18" i="1" a="1"/>
  <c r="I18" i="1" s="1"/>
  <c r="J18" i="1" s="1"/>
  <c r="I17" i="1" a="1"/>
  <c r="I17" i="1" s="1"/>
  <c r="J17" i="1" s="1"/>
  <c r="I16" i="1" a="1"/>
  <c r="I16" i="1" s="1"/>
  <c r="J16" i="1" s="1"/>
  <c r="I15" i="1" a="1"/>
  <c r="I15" i="1" s="1"/>
  <c r="J15" i="1" s="1"/>
  <c r="I14" i="1" a="1"/>
  <c r="I14" i="1" s="1"/>
  <c r="J14" i="1" s="1"/>
  <c r="I13" i="1" a="1"/>
  <c r="I13" i="1" s="1"/>
  <c r="J13" i="1" s="1"/>
  <c r="I12" i="1" a="1"/>
  <c r="I12" i="1" s="1"/>
  <c r="J12" i="1" s="1"/>
  <c r="I11" i="1" a="1"/>
  <c r="I11" i="1" s="1"/>
  <c r="J11" i="1" s="1"/>
  <c r="I10" i="1" a="1"/>
  <c r="I10" i="1" s="1"/>
  <c r="J10" i="1" s="1"/>
  <c r="I9" i="1" a="1"/>
  <c r="I9" i="1" s="1"/>
  <c r="J9" i="1" s="1"/>
  <c r="I8" i="1" a="1"/>
  <c r="I8" i="1" s="1"/>
  <c r="J8" i="1" s="1"/>
  <c r="I7" i="1" a="1"/>
  <c r="I7" i="1" s="1"/>
  <c r="J7" i="1" s="1"/>
  <c r="I6" i="1" a="1"/>
  <c r="I6" i="1" s="1"/>
  <c r="J6" i="1" s="1"/>
  <c r="I5" i="1" a="1"/>
  <c r="I5" i="1" s="1"/>
  <c r="J5" i="1" s="1"/>
  <c r="I4" i="1" a="1"/>
  <c r="I4" i="1" s="1"/>
  <c r="J4" i="1" s="1"/>
  <c r="I3" i="1" a="1"/>
  <c r="I3" i="1" s="1"/>
  <c r="J3" i="1" s="1"/>
  <c r="K2" i="1" a="1"/>
  <c r="K2" i="1" s="1"/>
  <c r="I2" i="1" a="1"/>
  <c r="I2" i="1" s="1"/>
  <c r="J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<sst xmlns="http://schemas.openxmlformats.org/spreadsheetml/2006/main" count="10968" uniqueCount="5899">
  <si>
    <t>Keywords</t>
  </si>
  <si>
    <t>URL_website</t>
  </si>
  <si>
    <t>URL_complete</t>
  </si>
  <si>
    <t>Malia Ariyoshi</t>
  </si>
  <si>
    <t>Improving Water Use Efficiency through CRISPR/Cas9-mediated HT1 Knockout in Sorghum bicolor</t>
  </si>
  <si>
    <t>In this study, we used CRISPR/Cas9-mediated genome editing to perform gene knockout in Sorghum bicolor (sorghum). The gene of interest was HT1, which encodes a protein kinase that expresses under low-CO2 conditions in stomatal guard cells, leading to decreased stomatal aperture. This gene has two homologs in sorghum, HT1.1 and HT1.2. By knocking out these genes, we aimed to generate plants with closed stomata to prevent water loss by transpiration and increase water use efficiency (WUE). WUE is an important agricultural trait to consider in the face of groundwater depletion and worsening droughts due to climate change, especially in widely grown cereal crops. Two guide RNAs for each gene were designed, targeting different loci on the exons of each gene. Using Agrobacterium-mediated transformation with immature embryos (IEs) as explants, we regenerated edited sorghum plants through tissue culture. The resulting plants were genotyped by PCR and Sanger sequencing. The resulting editing efficiency was 94.6%. Analysis of the sequencing results also indicates that a high percentage of these edits are frameshift mutations or large deletions that would likely result in functional knockout of the HT1 genes.</t>
  </si>
  <si>
    <t>Crop editing, Wuschel2-assisted transformation, immature embryo transformation, stomatal manipulation, water use efficiency</t>
  </si>
  <si>
    <t>AriyoshiM_2024-page1.pdf</t>
  </si>
  <si>
    <t>https://www.ocf.berkeley.edu/~pkmendez/envsci/projects/2024final/</t>
  </si>
  <si>
    <t>University of California, Berkeley</t>
  </si>
  <si>
    <t> Environmental Sciences Undergraduate Thesis</t>
  </si>
  <si>
    <t>Kyra W. Asprec</t>
  </si>
  <si>
    <t>Time to Make a Switch? Consumer Behavior regarding Physical versus Digital Video Game Distribution</t>
  </si>
  <si>
    <t>The two different distribution methods for video games can affect the overall environmental impact of the video game industry, whether it be through electronic waste or downloading costs. Thus, understanding how consumers select a method and how the products are used would help determine the current state of the waste generated. Using a survey, I found that there was no clear preference for either distribution method out of 37 respondents. There were some differences in purchasing considerations for physical and digital copies, specifically convenience and secondhand considerations. The most common important consideration for purchases was price, followed by ownership and convenience. Participation within the secondhand market for video games was low, and most people chose to keep their products or give them away before considering selling. Garbage disposal and recycling programs were not utilized at all for video games. Secondary purchases such as gaming peripherals and merchandise followed similar trends in disposal methods, and a lack of digital storage space was a common concern. Most people began playing around the same age and were currently at the same age, making no significant impact (p = 0.440). Neither did habit nor competitiveness. Nintendo was the most common gaming platform out of the 30 respondents (90%), with PC gaming being the next most common platform (83%). There is support for having both distribution methods for video games, though digital games are rapidly rising in popularity. Consequently, more research into the environmental impact of digital copies is needed.</t>
  </si>
  <si>
    <t>digital storage space, e-waste, e-waste disposal methods, Nintendo, survey</t>
  </si>
  <si>
    <t>AsprecK_2024-page1.pdf</t>
  </si>
  <si>
    <t>Tessa Auer</t>
  </si>
  <si>
    <t>Determining Carbon Fractions in Composts of Differing Chemical Compositions with Hot Water Extraction</t>
  </si>
  <si>
    <t>The amount of labile versus persistent carbon present in compost indicates how much carbon can be sequestered with its application to soil. Labile carbon is carbon that is more readily available, making it an important resource for plants and microbes. More persistent carbon, is the carbon that is more stable, it is more difficult for microbes to access and more likely to stay stored in soil. Compost is decayed organic material used as an organic fertilizer, for plant growth and soil health, and contains labile carbon. I determined the pH, and total carbon and nitrogen of Hi-Test Compost, Nicasio Compost, and VermiCompost. Hot water extraction of peat material, similar to compost, is a fractionation method to determine labile soil organic material in organic soils. The method I used is optimal in terms of yield of organic carbon extracted, without altering the chemical structure of the organic matter or having a low extract efficiency. With hot water extraction I determined the amount of labile and more stable carbon present in the three compost varieties. Through this study I explored the effect of a compost's chemical composition on labile carbon content. I determined that with a more ideal C:N ratio for microbial diet, Hi-Test and Nicasio had the largest C:N ratio and largest amounts of labile carbon, 62.79% and 49.41% more labile carbon than VermiCompost, respectively.</t>
  </si>
  <si>
    <t>Labile Carbon, Hot Water Extraction, Compost, Persistent Carbon, Nitrogen, Sequestration, Carbon Storage</t>
  </si>
  <si>
    <t>AuerT_2024-page1.pdf</t>
  </si>
  <si>
    <t>Natalie Avida</t>
  </si>
  <si>
    <t>Machine Learning Applications for Predicting Renewable Energy Project Success in the PJM Interconnection Queue</t>
  </si>
  <si>
    <t>In recent years, the deployment of renewable energy has grown significantly, with both the investment and proposed capacity exceeding expectations. This rapid expansion has caused interconnection queues to balloon, doubling wait times and significantly reducing the probability that a project will actually reach operations. The literature generally agrees that the interconnection process requires further reform, and uncertainty is detrimental to renewable energy profitability and expansion. In this thesis, I use machine learning classification techniques to mitigate the uncertainty of a proposed energy project waiting in the interconnection queue. I compared logistic regression with standard regularization, logistic regression with elastic net regularization, and decision tree classification. Each of these models were trained on two datasets, one of which had all basic information about each project, renewable incentive policy information, and renewable resource quality (queue_basic), and one that had all of this information as well as data with the cost of interconnection for each project (queue_costs). The decision tree classifier performed best, with an accuracy of 80.0% for queue_basic and 90.6% for queue_costs, with the most important determinants being the year the project was proposed, the cost of interconnection, and MW output of the plant. Overall, this thesis demonstrates the applicability of machine learning to reducing renewable energy project uncertainty in the interconnection queue, and yields valuable insights about what aspects of a project determine its ability to execute an interconnection agreement.</t>
  </si>
  <si>
    <t>Interconnection queues, renewable energy, electricity, PJM, machine learning, logistic regression, decision tree classification</t>
  </si>
  <si>
    <t>AvidaN_2024-page1.pdf</t>
  </si>
  <si>
    <t>Max S. Billat</t>
  </si>
  <si>
    <t>Allelopathic Effects of Yarrow and its Uses in Rangeland Conservation</t>
  </si>
  <si>
    <t>California rangelands have a long history of mismanagement that has resulted in the conversion
of historically rich fields of forbs and perennial grasses to homogeneous prairies of exotic
invasive European annual grasses. Rangelands are estimated to hold almost a third of the world's
soil carbon and have the ability to store much more carbon when composed of perennials rather
than annuals. The study of allelopathy, or the interaction between plants mediated by secondary
metabolites, could provide an eco-friendly control technique for exotic invasive grasses. To test
if yarrow could be used to manage invasive species in California rangelands I tested multiple
application techniques on the seeds of Stipa pulchra, a native perennial grass, and Avena fatua,
an exotic annual grass. I tracked the germination and growth rates of the grasses with two
different yarrow applications: planted with yarrow seeds and planted with a layer of yarrow leaf
litter mulch. The Stipa pulchra populations showed little resistance to the allelopathic effects of
the A. millefolium, 58% of the control group germinated within two weeks of planting compared
to 25% of the population planted with a layer of yarrow leaf litter. The growth rates of the S.
pulchra populations were not significantly affected. The A. fatua grew vigorously despite any of
the treatments and even thrived where the purple needle grass experienced declines in growth.
Based on the results yarrow holds little potential for large scale applications in California
rangelands.</t>
  </si>
  <si>
    <t>Secondary Metabolites, Germination Rates, Growth Rates, Perennial Grasses, Annual Grasses</t>
  </si>
  <si>
    <t>BillatM_2024-page1.pdf</t>
  </si>
  <si>
    <t>Grace M. Boyd</t>
  </si>
  <si>
    <t>Envisioning Future Ecologies: Mangrove Afforestation as a Coastal Climate Change Mitigation Technique in the Terrebonne Region, Louisiana</t>
  </si>
  <si>
    <t>The Terrebonne Region of Louisiana faces a catastrophic amount of wetland loss at a rate exacerbated by the impacts of human development. State and federal agencies largely impose grey infrastructure, such as levees, as a hasty way to suppress the impacts upon human-populated areas. Human populations most vulnerable to subsidence and storm damage are largely low-income fishers and Black and indigenous communities. However, rising air temperatures over the past 50 years in coastal Louisiana have allowed the range of Avicennia germinans, or black mangrove, to establish in the region. A. germinans provides many ecosystem services, including sediment stabilization and storm wave attenuation. To test to see if mangrove afforestation is a viable green infrastructure technique for the Terrebonne Region, I completed a literature review, a social vulnerability assessment, and a suitability analysis in ArcGIS. The results propose mangrove afforestation paired with grey infrastructure of oyster sills for a hybrid technique. The area of the Terrebonne Region most suitable for this proposal is the Port Fourchon area, due to its proximity to extant mangrove colonies and relative distance from oil and gas fields. To create a successful wetland loss mitigation plan, mangrove afforestation must be paired with community-specific resource equality. Keeping vulnerable communities engaged with land use planning is vital to fostering strong resource networks, and allows progress to be made with local needs in mind. The concept of future ecologies, a combination of human and environmental considerations within adaptive management, is focal to this study.</t>
  </si>
  <si>
    <t>wetland loss, socioecology, hybrid infrastructure, land use planning, mangrove habitat</t>
  </si>
  <si>
    <t>BoydG_2024-page1.pdf</t>
  </si>
  <si>
    <t>Mina K. Burns</t>
  </si>
  <si>
    <t>Remote Sensing Applications: Fog Fluctuations, Vegetation Health, and Coastal Forest Fires in Northern California</t>
  </si>
  <si>
    <t>Coast redwood ecosystems along the northern California coastline are heavily reliant on fog and low cloud cover (FLCC) inputs, especially during dry summer months with lower precipitation. These ecosystems are also among the most vulnerable to irreversible damage from high severity wildfires. This study uses remote sensing imagery, primarily MODIS satellite data, to examine how variations in FLCC across different times and study areas impact the health of vegetation, indicated by the Normalized Difference Vegetation Index (NDVI). A Generalized Additive Model (GAM) was used to determine how FLCC fluctuations, along with climatic variables associated with fire, influence the severity of wildfires. Overall, FLCC days per month did not have a notable increase or decrease over the course of the study period, from 2000 to 2022. Additionally, fluctuations in FLCC are closely linked to variations in NDVI, with notable exceptions during drought periods. The results showed that precipitation, maximum vapor pressure deficit (VPD), and the Enhanced Vegetative Index (EVI) were significant in predicting the difference Normalized Burn Ratio (dNBR), but mean temperature and FLCC proportion were not significant in prediction power. Examining pre-ignition conditions revealed notably low FLCC and precipitation levels at each site, along with elevated maximum VPD and temperature. Results reveal the importance of fog in affecting vegetation health, along with the capabilities of using remote sensing technologies to monitor coastal forest ecosystems. Additionally, findings show that implementing forest management strategies during heightened risk for fire ignition events is crucial in addressing unprecedented high severity wildfires.</t>
  </si>
  <si>
    <t>Vegetation health, fog and low cloud cover (FLCC), remote sensing tools, wildfire burn severity</t>
  </si>
  <si>
    <t>BurnsM_2024-page1.pdf</t>
  </si>
  <si>
    <t>James A. Campbell</t>
  </si>
  <si>
    <t>Microplastic Storage Dynamics in Bay Area Streams</t>
  </si>
  <si>
    <t>Microplastics are largely understudied in stream systems in comparison to larger aquatic systems. This study aimed to understand key concepts pertinent to the storage areas of stream microplastics and the types of microplastics present in these storage areas. I sampled 2 streams and sampled 2 sites within these streams. I sampled 1 upstream and 1 downstream site within these streams. To understand where microplastics are found within streams, I took samples from the surface water as well as samples from the benthic zone and sediment. In order to understand the effects of disturbance on microplastic levels in streams, I sampled the surface water and benthic zone after creating an upstream disturbance. The results from my study displayed a clear indication that microplastics were, on average, more common in the benthic layer of streams. Strawberry Creek contained 2% more microplastics upstream while Wildcat contained 15% more microplastics upstream. However the levels of microplastics differed downstream where I found a greater amount of microplastics in the surface water. The most common microplastic type found was fibrous microplastic followed by fragments, and then pellets. Stream disturbance results were inconclusive as some instances of physical disturbance increased microplastic levels while other disturbance instances decreased or had no effect on microplastic levels. I hypothesize that lighter microplastics such as fibers were likely not able to be deposited upstream and as such, continued downstream in the surface water. I hypothesize that heavier microplastics are deposited farther upstream into the substrate.</t>
  </si>
  <si>
    <t>Benthic Zone, Riffle Zone, Depositional Zone, Pollution, Disturbance</t>
  </si>
  <si>
    <t>CampbellJ_2024-page1.pdf</t>
  </si>
  <si>
    <t>Elena Y. Campell</t>
  </si>
  <si>
    <t>Coho Salmon Outmigration Drivers and Long-Term Trends in a Small Watershed</t>
  </si>
  <si>
    <t>Climate change presents a major threat to anadromous salmonids; increases in stream temperatures and hydrologic extremes impact all salmonid life stages by pushing the limits of tolerable stream conditions, affecting habitat availability, and altering important life history cues. Temperature and flows drive smolt outmigration; shifts to outmigration timing due to climate change can cause a mismatch with prey availability, threatening the survival and fitness of these species. I used 19 years of smolt trap data to analyze how outmigration patterns of an endangered Central California Coast coho salmon population differed in a dammed and undammed subbasin of a small watershed. I used a paired t-test to test the similarity of outmigration traits in the two creeks and a Multivariate Autoregressive State-Space model to analyze trends and the influence of abiotic drivers on timing. I found a significant difference in the median outmigration fork length (p = 0.02599) but no difference in the median outmigration date or length between the two subbasins. I found a negative correlation between wet season baseflow and the window length (-0.1086), but no other flow or temperature metrics significantly affected timing. Across the study period, there were only insignificant trends toward earlier and shorter migration windows. Similar outmigration timing in this watershed means this population may lack the life history diversity to buffer against mismatch or years of poor recruitment. However, stable outmigration trends indicate that if the timing of upwelling is stable, there is no immediate concern for increased mismatch events in this watershed.</t>
  </si>
  <si>
    <t>MARSS model, Central California Coast coho, phenology, endangered species, ocean upwelling</t>
  </si>
  <si>
    <t>CampellE_2024-page1.pdf</t>
  </si>
  <si>
    <t>Sarah C. Caso</t>
  </si>
  <si>
    <t>The Reproductive Health of Osmia lignaria and Osmia cornifrons (Hymenoptera: Megachilidae) along an Urban Gradient</t>
  </si>
  <si>
    <t>As urban development increases, there is a need to understand how land development and population growth impacts local wildlife. In particular, pollinators such as bees. Urbanization has been shown to harm bee populations, while urban environments have also been found to serve as an oasis for bees. In this study, I examined how the reproductive health of two species of Mason bees, Osmia sp., in Sacramento and Davis, CA are affected by urbanization. Two different species were studied: O. lignaria and O. cornifrons. To answer this question, I studied these bees in five different localizations: highly urbanized big city, urbanized big city, urbanized small city, suburbs of a small city, and agricultural areas. Trap nests with brood cells were placed this gradient in Yolo County, California. Nests with the newly produced brood cells were collected from the nests several weeks later to determine their reproductive health and reproductive success; that is, the size of nests, number of broods produced per nest, the mass of the broods, the sex ratio of the broods, and the ratio of healthy broods produced to total eggs laid. I conclude that urban landscapes can serve as beneficial environments for Mason bees. The size of nests, number of broods, and sex ratio was not significantly impacted by urbanization, but urbanized small city sites produced larger bees and had higher reproductive success rates, indicating that urban environments produce healthier offspring. The results of this study have implications for the conservation of solitary, cavity-nesting bees in urban environments.</t>
  </si>
  <si>
    <t>solitary bee, urbanization, fecundity, landscape composition, mixed effect model</t>
  </si>
  <si>
    <t>CasoS_2024-page1.pdf</t>
  </si>
  <si>
    <t>Moses Castillo</t>
  </si>
  <si>
    <t>Synchronization of In-Stream Abiotic Conditions in Pinnacles National Park</t>
  </si>
  <si>
    <t>Intermittent streams are a sensitive and dynamic ecosystem that constitute approximately 79% of California’s stream miles. As climate change is poised to intensify the water cycle and increase weather severity, intermittent stream dynamics are at risk of being disrupted which can cause long term damage to the ecosystem. This study examines the abiotic dynamics of an intermittent stream in Pinnacles National Park, California, during a drier than average year (2022), primarily focusing on dissolved oxygen (DO) concentration and water depth. Applying multivariate autoregressive state space (MARSS) models and wavelet analyses, we investigated spatial and temporal variations of abiotic factors caused by their covariate drivers of air temperature, precipitation, and canopy cover. Despite a dry study period, significant relationships emerged between precipitation, temperature, canopy cover, and the abiotic factors of DO and depth. Temperature exerted a dominant influence on both DO and depth, while precipitation accounted for periods of variability. Canopy cover showed marginal effects. Wavelet analysis revealed periods of synchronization, primarily driven by temperature fluctuations. The study underscores the vulnerability of intermittent streams to climate change and emphasizes the importance of proactive conservation measures to protect these sensitive ecosystems.</t>
  </si>
  <si>
    <t>intermittent streams, climate change, multivariate autoregressive state space (MARSS) models, wavelet analyses, spatial scale interactions</t>
  </si>
  <si>
    <t>CastilloM_2024-page1.pdf</t>
  </si>
  <si>
    <t>Rion Chan</t>
  </si>
  <si>
    <t>Perceptions of Urban Green Spaces: A Standard for Sustainable Design</t>
  </si>
  <si>
    <t>Urban green spaces (UGS) in our cities are designed and built with very little, almost zero consideration of sustainability and how efficiently it can improve the quality of life and well being of human beings. This paper focuses on creating a sustainable standard for urban green spaces that emphasizes exactly that. The research was structured to observe human interactions and perceptions of UGS via surveys and stakeholders via interviews. The standard was created to implement both sustainable factors and human standards among three categories: health, space, and function. Health: to meet human standards, an ugs should be clean and well maintained; sustainable standards, should not be depleting resources. Space: human standards, must be accessible and beautiful; sustainable standards, must be natural. Function: health standards, foster hobbies and heal; sustainable standards, boost activity and mood. This standard helps meet climate goals and provides incentives to legislation and companies for civilian happiness and employee productivity respectfully.</t>
  </si>
  <si>
    <t>Parks, green buildings, city planning, green architecture, resilience</t>
  </si>
  <si>
    <t>ChanR_2024-page1.pdf</t>
  </si>
  <si>
    <t>Grace Chen</t>
  </si>
  <si>
    <t>Upcycling Takeout Waste with Black Soldier Fly Larvae</t>
  </si>
  <si>
    <t>An experiment was performed to answer whether black soldier fly larvae are able to consume compostable single-use food containers in an effort to find a way to break down processed compostable foodware with other types of organic waste. Three different diets of compostable container only, Gainesville diet, and a combination of both Gainesville and compostable container were tested to determine if black soldier fly larvae are able to consume said diets by measuring how much of their respective diet was eaten weekly. Larvae length, weight, prepupae development, and mortality are also measured weekly to determine the relationship of if larvae are able to successfully develop into their full lifecycle from feeding on their respective diet. Results show that larvae are successfully able to consume compostable containers as the proportion of food consumed increased from the loss of weight from the diets given of all trials with the compostable container over the course of the entire experiment. Larvae development was limited for the larvae consuming only compostable container as the larvae barely changed in height in weight, while the larvae on the combined diet were able to develop in similar length as the larvae on the control of Gainesville diet, but weigh less than said control. While there is evidence of larvae successfully consuming compostable containers, a combined diet with Gainesville diet is necessary to fulfill the larvaes lifecycle and consume said compostable container, and complete a sustainable black soldier fly composting setup.</t>
  </si>
  <si>
    <t>Waste Management, Black Soldier Fly, Life Cycle Assessment, Composting, Plastic Alternative</t>
  </si>
  <si>
    <t>ChenG_2024-page1.pdf</t>
  </si>
  <si>
    <t>Kenneth K. Choi</t>
  </si>
  <si>
    <t>Modeling the Oceanic Effects of Climate Change on Bivalves’ Reproductive Behavior</t>
  </si>
  <si>
    <t>Global warming is a common topic of discussion, but the impact it has on ocean organisms is drastic and damaging without much media coverage. As temperatures begin to rise and fall drastically, ecological functions within these ecosystems degrade and change. To better understand and investigate this damage on bivalves, this paper investigates the reproductive dynamics between bivalves, taxonomic classification, and environmental variables using 435 scientific articles encompassing 542 entries. This study aims to model and learn the distinct differences in bivalve behaviors to better understand the effects of climate change. We found notable correlations between temperature and chlorophyll concentrations, particularly in cooler climates, while salinity demonstrated more modest associations with reproductive behavior. The study also examined the variability in spawning behavior across taxonomic families, prompting questions on the taxonomic framework’s relativity to spawning patterns. By integrating these environmental data and taxonomic classifications, the study develops predictive models capable of forecasting spawn lengths with approximately 50% accuracy. We created another predictive model predicting the family each species belongs to performing with about a 31.579% accuracy rating. Using this model as a foundation, accurate predictions regarding the survivability of specific bivalve species are within reach. The potential to identify bivalve types with limited data presents another promising avenue.</t>
  </si>
  <si>
    <t>random forests, temperature, chlorophyll, salinity, taxonomic family</t>
  </si>
  <si>
    <t>ChoiK_2024-page1.pdf</t>
  </si>
  <si>
    <t>Beatrice P. Cundiff</t>
  </si>
  <si>
    <t>Latex and Leaf Venation Networks: Coevolution of Laticiferous Plants with Simulated Insect Herbivory</t>
  </si>
  <si>
    <t>Plants and insects have coevolved and developed intricate relationships for millions of years. Latex exudation and insect herbivory is a prime example of one such relationship. Latex plays a defensive role in plants, as it is exuded from the leaf due to damage, and coagulates upon exposure to air. This characteristic makes it difficult for insects to feed on plant leaves, which are a primary site for insect herbivory. Latex producing plants are found in more than 40 families, and are thought to have been independently evolved multiple times. The laticifers, cells which contain and move latex throughout a plant, can elucidate the inner workings and function of latex producing plant defense systems. Laticifer occurrence at different scales within the leaf and its impact on plant growth and development also remain to be investigated. In this study, latex exudation was measured (in mm³) for different latex producing plants across three vein hierarchies (midrib, secondary, tertiary/lamina). Different treatments were applied: single site damage, proximal midrib damage, and proximal whole trench. The response to these treatments was measured for the three different hierarchies. The results indicate that at every midrib and secondary vein, there is a laticifer network present, and that latex amounts decrease from midrib, secondary, and tertiary/lamina veins respectively, for most species. Additionally, latex amounts remaining after proximal midrib and whole trench damage are lower than those without any proximal damage. Together, these results indicate that venation network hierarchy plays both a functional and defensive role in plants.</t>
  </si>
  <si>
    <t>Latex exudation, laticifers, plant defense, trenching behaviors, vein hierarchies</t>
  </si>
  <si>
    <t>CundiffB_2024-page1.pdf</t>
  </si>
  <si>
    <t>Deva Rani R. Dharmapalan</t>
  </si>
  <si>
    <t>Associations between Air Pollution and Preterm Birth in the Bay Area</t>
  </si>
  <si>
    <t>Air pollution has severe health implications, particularly for expectant mothers and their unborn babies. Using birth records from the California Department of Public Health and EPA data spanning 2018-2021, I investigated the association between air pollution levels (measured by AQI, PM2.5, and O3) and preterm birth rates across seven of the nine Bay Area counties. Employing linear regression analysis, I identified a significant positive correlation between air quality indicators such as AQI and O3 and preterm birth rates. To delve deeper into the impact, I integrated racial demographic data from the 2020 US Census into the analysis. This addition revealed that regions with larger Black populations displayed the strongest correlation between air pollution and preterm births. This finding underscores the disproportionate burden of air pollution on marginalized communities, particularly Black populations. The results highlight the urgent need for enhanced air quality monitoring and targeted interventions in areas with high pollution levels, especially in communities with significant racial disparities. Implementing measures such as increased deployment of air quality monitors can aid in mitigating the adverse effects of air pollution on maternal and fetal health. By addressing these disparities, we can strive towards achieving healthier outcomes for all expectant mothers and their babies, regardless of race or socioeconomic status.</t>
  </si>
  <si>
    <t>Air Quality, Environmental Health, Regression, Race, Gestation</t>
  </si>
  <si>
    <t>DharmapalanDR_2024-page1.pdf</t>
  </si>
  <si>
    <t>Shandeep S. Dhillon</t>
  </si>
  <si>
    <t>Pathogen Ecology and Spread of Grapevine Red Blotch Virus in Napa Valley</t>
  </si>
  <si>
    <t>Understanding the ecology of grapevine red blotch virus is significant to the viticulture and wine making industries given this pathogen’s recent emergence in 2008. Little research has been conducted around the virus, grape farmers and wine producers face issues in replanting costs of over $2.8 million statewide as a result of the red blotch virus. With only one known insect vector (three-cornered alfalfa hopper) this virus is spreading quickly through Napa Valley’s vineyards, resembling symptoms similar to known pathogens such as leafroll disease. This study aims to provide relevant information on the pathogen ecology of the red blotch virus by examining its ability to spread across vineyards and denoting if infected vines exhibit one or both documented clades of the virus. The total amount sampled for this study was 863 vines spread throughout Napa Valley. Through DNA extractions followed by PCR amplification and Sanger sequencing, I was able to obtain relevant data surrounding the pathogen’s infectivity. Genetic sequences were compared to reference sequences of the two known phylogenetic clades of the virus. Phylogenies were then composed to identify the similarities and relation between infected vines. Phylogenies also aided in providing distribution data correlated to geographic distance. Of the two known clades, clade II is most prevalent within vineyards and the least genetically variable compared to clade I. The virus has the ability to move across neighboring vineyards as sequencing data shows common linkage between infected vines from different vineyards.</t>
  </si>
  <si>
    <t>infectivity, disease ecology, phylogenetic clade, genetic sequence, PCR amplification</t>
  </si>
  <si>
    <t>DhillonS_2024-page1.pdf</t>
  </si>
  <si>
    <t>Daniel Doran</t>
  </si>
  <si>
    <t>Quantifying Flood Risk for Pine Flat Reservoir in the Upper Kings Canyon Watershed</t>
  </si>
  <si>
    <t>Significant increases in annual maximum precipitation intensity are projected across California. Global climate models show reductions in the Sierra Nevada’s annual snowpack, and an increasing incidence of atmospheric river storms. The hydrological future painted by these projections is one where California reservoirs receive more water from huge storms earlier in the season, and less water from snowpack later on. These projected higher inflow rates are correlated with higher flood risk. The worst case scenario is “catastrophic-overtopping” where spillways cannot accommodate the reservoir’s outflow, and the dam begins to spill from areas it was not designed to. In this study I analyze the hydrology of the Upper Kings Canyon watershed, to determine the likelihood of catastrophic overtopping of the Pine Flat Dam between the present day and year 2100. I aggregated historical reservoir volumes for each month of the year, to determine three probable starting reservoir levels for each month, and for each probable starting level a minimum inflow rate for a storm to cause overtopping. Working backwards I calculated precipitation volumes correlating to said overtop-causing inflow rates. Comparing existing Cal-Adapt precipitation projections against historical values with a Gumbel distribution, I determined the probabilities of precipitation exceeding the overflow causing values. Final calculations showed that overtopping is less than 0.01% likely for any given month, except for April and June conditions where reservoir capacities are 2 standard deviations above the mean, where probabilities of overflow are 99% and 86.8-96.2% respectively.</t>
  </si>
  <si>
    <t>Atmospheric River, Climate Change, California Flood, Kings River, Extreme Precipitation</t>
  </si>
  <si>
    <t>DoranD_2024-page1.pdf</t>
  </si>
  <si>
    <t>Teresa C. Echevarria</t>
  </si>
  <si>
    <t>Mapping the Distribution of Per- and Polyfluoroalkyl Substances (PFAS) in California's Water Systems: Implications for Monitoring and Health Protection</t>
  </si>
  <si>
    <t>Understanding the potential biological impacts of Per- and Polyfluoroalkyl Substances (PFAS) on human health underscores the importance of robust water quality monitoring protocols, particularly in California. The current monitoring protocol for PFAS, such as Perfluorooctanoic Acid (PFOA), centers around areas with historical PFAS use, such as airports and landfills. In addition, existing spatial analysis models rely on outdated and limited datasets, potentially skewing perceptions of contamination. This study uses updated data from the Fifth Unregulated Contaminant Monitoring Rule from 2023-2025, which includes new data on 29 different PFAS, to map the spatial distribution of PFOA in Public Water Systems (PWSs). These water systems are then visualized with Public Supply Wells, Investigative Sites, and Regional Waterboards to understand how these factors impact or are impacted by PFOA contamination and how regulatory agencies can pursue monitoring efforts. The findings of this study illuminate the interplay of factors contributing to PFOA contamination in California. Out of 2324 samples, 107 exceeded the Maximum Contaminant Level (MCL) for PFOA, as proposed by the Environmental Protection Agency (EPA), distributed across 44 distinct PWSs. Samples above the MCL were concentrated in urban settings, with a high presence of industrial facilities, corresponding to previous studies on the occurrence of PFOA in water systems. However, sampling was generally situated in these urban settings, underscoring the need for concentrated monitoring efforts in Northern and Eastern California rural communities, specifically within the Lahontan and North Coast Regional Water Board Boundaries.</t>
  </si>
  <si>
    <t>Perfluorooctanoic Acid, public health, groundwater, spatial analysis, public water systems, risk</t>
  </si>
  <si>
    <t>EchevarriaT_2024-page1.pdf</t>
  </si>
  <si>
    <t>Tiena Mei Elias</t>
  </si>
  <si>
    <t>Understanding the Life History and Feeding Behaviors of the Tobacco Hornworm (Manduca sexta)</t>
  </si>
  <si>
    <t>There exists a natural balance between plant life and insect herbivores, which is continuously upset by modern agriculture and pest control. Larvae of the order Lepidoptera (butterflies and moths) require a large amount of food to initiate and complete metamorphosis. These larvae are important agricultural pests, destroying large percentages of crops every year and driving up harmful pesticide use. This herbivory especially increases during the last larval instars right before pupation. Tobacco Hornworms (Manduca sexta) are known to have a ‘wandering stage’ in which they are most mobile, and also consume the most plant material. To study the impacts of this behavior, I observed six M. sexta larvae throughout the final two instars and recorded data regarding their consumption and growth. My observations began during the 4th instar, where all six larvae measured about 20 mm in length and weighed from 0.4–0.6 grams. The larvae all ecdysed into the 5th instar stage on Day 4 of the experiment, which was preceded by about one day of little to no consumption, movement, and growth. Between Days 5 and 6 of the experiment, all of the larvae initiated the wandering stage, and the frass production rate began to increase. Larval weight increased until reaching a threshold of 4.5–6.5 grams, which took 13 days from the start of the experiment. On Days 13 and 14, the larvae’s weight dipped down after purging their guts, and they all began pupation.</t>
  </si>
  <si>
    <t>entomology, Lepidoptera, plant-insect interactions, wandering stage, insect behavior</t>
  </si>
  <si>
    <t>EliasT_2024-page1.pdf</t>
  </si>
  <si>
    <t>Alexandra Fister</t>
  </si>
  <si>
    <t>Sea Turtle Nesting on Erosional Shorelines: Nest Relocation and Hatch Success on Georgia Barrier Islands</t>
  </si>
  <si>
    <t>Barrier island shorelines are constantly eroding or gaining sediment throughout the year, which changes sea turtle nesting habitat. Nest relocation optimizes sea turtle hatch and emergence success when in situ nests are at risk of inundation. In Georgia, USA, records of barrier island erosion and accretion are mapped out on the Georgia Coastal Hazards Portal. For this study I selected Saint Catherines Island, Little Saint Simons Island, and Cumberland Island to monitor 2008-2023 nesting data for an erosional, accretional, and intermediate site, respectively. Using a Kruskal Wallis test and chi square test, I assessed the differences in hatch success for in situ nests across all islands (1), the differences in nest relocation proportions across all islands (2), and the differences in hatch success and nest relocation across the nesting season (3). There were significant differences in hatch success and nest relocation across all islands. Cumberland Island had the highest in situ hatch success, ranging from 60-85% for all years studied; Little Saint Simons Island’s hatch success ranged from 0-85%, and Saint Catherines Island’s hatch success ranged from 0-80%. Saint Catherine’s Island had significantly higher proportions of nests relocated compared to Little Saint Simons Island and Cumberland Island. Saint Catherines Island, Little Saint Simons Island, and Cumberland Island all had significantly lower in situ hatch success in July and August compared to May and June. These results suggest a greater need for sea turtle nest relocation on erosional islands in July and August in order to facilitate higher rates of hatch success.</t>
  </si>
  <si>
    <t>wildlife management, sea turtle conservation, seasonal erosion and accretion, washovers, nest inundation</t>
  </si>
  <si>
    <t>FisterA_2024-page1.pdf</t>
  </si>
  <si>
    <t>Melody I. Garza</t>
  </si>
  <si>
    <t>Shrub Composition and Bird Habitat Suitability in UCR’s Southern California Chaparral Reserves</t>
  </si>
  <si>
    <t>The intricate dynamics between vegetation coverage, fire regimes, and habitat suitability heavily influence the resilience and stability of chaparral ecosystems. In this study, I investigate the relationship between shrub coverage and habitat suitability for chaparral-requiring bird species across different fire regimes in chaparral ecosystems. I conducted plot transects and used E-bird and Merlin to assess bird diversity at three University of California Riverside Reserves — Emerson Oaks, Motte Rimrock, and Box Springs, known for their chaparral and coastal sage scrub. I hypothesized that areas with denser shrub coverage exhibit higher fuel moisture and support a greater diversity of bird species. Conversely, I expected areas with fewer shrubs and lower fuel moisture content to host smaller bird populations. However, the findings indicated no significant correlation between fire regimes and shrub coverage, thus challenging my initial hypotheses. Through comparative analysis of "soft chaparral" at Motte Rimrock, "hard chaparral" at Emerson, and the mixed-use vegetation at Box Springs, I observed notable variations in shrub diversity. I found a positive correlation between bird species diversity and native shrub coverage. Also, the varying fire regimes with different fuel moisture contents significantly impacted shrub coverage. These results suggest a relationship between the diversity of shrub habitats and chaparral-requiring bird species. Therefore, fire regimes appear to have a significant effect, supporting previous research.</t>
  </si>
  <si>
    <t>E-Bird/Merlin, bird species diversity, costal-sage scrub, fire regimes, fuel-moisture content</t>
  </si>
  <si>
    <t>GarzaM_2024-page1.pdf</t>
  </si>
  <si>
    <t>Isabel Gatdula</t>
  </si>
  <si>
    <t>Educators’ Perspectives on the Role of Outdoor Environmental Education: A Case Study with KIDS for the Bay</t>
  </si>
  <si>
    <t>Education is a powerful tool for creating change, and the climate crisis requires effective, accessible, and expansive outdoor environmental education (OEE) in order to solve the issues plaguing our Earth. The curriculum and environmental educators of OEE programs bridge the gap between nature and students; consequently, their design has profound implications. The complexity of the factors influencing sustained interest in the environment underscore the importance of comprehending their impact on students’ motivation to care about environmental issues and possible pursuit of environmental careers. Programs such as KIDS for the Bay (KFTB) demonstrate how OEE programs can facilitate connections to nature. Their staff holds key insight into how educators in Outdoor Environmental Education aim to cultivate early and sustained interest. I chose to investigate this further by exploring how the educators’ backgrounds inform the learning experiences they provide, their views on effective and accessible OEE, and how factors of the Social Cognitive Career Theory predict interest development. I invited employees of KFTB who currently work in the environmental educator position to participate in this study and conducted semi-structured interviews with participants. Several key themes emerged, including the role of higher education experiences in shaping their pedagogies, place-based education connecting to lived experiences, and providing inquiry- and sensory-based opportunities for students to develop confidence. Based on our conversations, I found that staff-diversity, employing asset-based strategies, promoting eco-cosmopolitanism, and having a flexible curriculum are essential components of successful OEE that has the potential to inspire the future generation of environmental-career holders.</t>
  </si>
  <si>
    <t>place-based learning, inquiry-based learning, self-efficacy, Social Cognitive Career Theory (SCCT), interest</t>
  </si>
  <si>
    <t>GatdulaI_2024-page1.pdf</t>
  </si>
  <si>
    <t>Adan Gonzalez</t>
  </si>
  <si>
    <t>Wildlife Behaviors at Pinnacles National Park's Intermittent Streams</t>
  </si>
  <si>
    <t>Environmental pressures such as extended periods of drought and a rise in climatic temperatures contribute towards lower and sparser water flows of intermittent and ephemeral streams. Intermittent headwaters are highly dynamic and provide a mosaic of habitat patches which supports the biodiversity which are adapted to its inconsistent hydrologic cycle. We used passive infrared cameras to capture the behaviors of terrestrial vertebrates at the intermittent streams at Pinnacles National Park. I assessed terrestrial vertebrate biodiversity at the intermittent streams of Pinnacles National Park while identifying habitat preferences and common behaviors in response to seasonal changes. Many species interacted with the streams (n = 32) and I coded wildlife interactions into five habitat categories and ten behavioral categories. Species preferred to interact with the stream while positioned along the streambank over directly entering the streambed. I recorded traversing, which contained behaviors such as moving through the habitat while eating and drinking was recorded to be the highest level of behavioral interactions. Species interacted with the streams overall more during the dry seasons (n = 1257) and the overall frequency of visitation was 1.2 visits per day throughout all the reaches I studied. Interactions helped to highlight the frequency of which terrestrial vertebrates come into contact with intermittent streams throughout a temporal period of nine months.</t>
  </si>
  <si>
    <t>non-perennial, terrestrial vertebrate, climate change, Mediterranean climate, biodiversity</t>
  </si>
  <si>
    <t>GonzalezA_2024-page1.pdf</t>
  </si>
  <si>
    <t>May He</t>
  </si>
  <si>
    <t>Assessing Climate Change Accountability: A Comparative Study of High and Low Income Groups in a Middle-Income City- Dublin</t>
  </si>
  <si>
    <t>Climate change is one of the global problems caused by the rise of carbon dioxide levels in the atmosphere. Climate change leads to more social problems that need to be solved by people, thus causing social problems. This study investigates the distribution of responsibility for climate change across income groups and ethnicities in the city of Dublin, California region, using a combination of survey approach and secondary data. The paper reveals significant disparities in CO2 emissions between different income groups. The economic status of different groups of people leads to different abilities of different groups of people to address climate change. In addition to examining the economic dimension of the different abilities of the residents of the Dublin area to address climate change, this paper also examines the impact on carbon emissions at the cultural level. This paper focuses on carbon emissions in terms of both lifestyle and renewable energy. The results of the study show that higher income groups have higher levels of income but higher levels of CO2 emissions and a greater ability to address climate change. The opposite is true for low-income groups. The findings of this paper emphasize the need for the U.S. to develop environmental policies that target people of different races, income groups, and cultural backgrounds to ensure equitable mitigation of climate change. The study emphasizes the integration of social equity and justice into climate action and calls for the participation of all groups in society to reduce the impacts of climate warming.</t>
  </si>
  <si>
    <t>responsibility, equity, policies, carbon emissions, society</t>
  </si>
  <si>
    <t>HeM_2024-page1.pdf</t>
  </si>
  <si>
    <t>Chloe Hess</t>
  </si>
  <si>
    <t>Modeling the effects of dynamic marine environments on Atlantic Salmon (Salmo salar) populations raised in aquaculture pens</t>
  </si>
  <si>
    <t>Aquaculture offers a unique opportunity for the growing salmon industry and is an effective alternative to commercial fishing. The maintenance of different water quality parameters is important in the rearing of aquatic organisms until adulthood. A combination of polynomial regressions and generalized additive models help show how these dynamic marine environments impact fish behavior. I defined fish behavior as the depth at which fish swam and related it with the temperature, dissolved oxygen, and salinity levels of the water. The relationships between fish behavior and the three predictor variables were not consistent with the original hypothesis that if conditions were not ideal, fish would swim at depths that increase their chance of survival. However, this study was based on a specific dataset from a cage at a SalMar farm in Norway and did not include many data points that were outside the Atlantic Salmon tolerance range. Based on the best produced generalized additive model, I found that temperature had the strongest impact on the depth fish swam followed by dissolved oxygen then salinity. Overall, this study has important implications for future research on the role of water quality regulation and maintenance in fish farms.</t>
  </si>
  <si>
    <t>fish farming, environmental analysis, temperature, dissolved oxygen, salinity</t>
  </si>
  <si>
    <t>HessC_2024-page1.pdf</t>
  </si>
  <si>
    <t>Gretel E. Huber</t>
  </si>
  <si>
    <t>Backyard Boldness: Investigating how Urban Landscape Heterogeneity Affects Mesopredator Risk-Taking Behavior</t>
  </si>
  <si>
    <t>As urbanization continues, wildlife are increasingly faced with novel challenges imposed by changes to their habitats. Consequently, urban wildlife have been observed as behaviorally different than their non-urban counterparts, often exhibiting greater boldness towards novel or risky situations. However, landscape variation driven by societal inequities (e.g., pollution, infrastructure, vegetation) creates habitat patches of differing quality that could influence an animal’s risk perception. Although largely unexplored, the effects of societal inequity may be especially pronounced for generalists who capitalize on anthropogenic resources and are subsequently managed as pest species. In this study, we surveyed the risk-taking behavior of three common North American mesopredators (raccoons- Procyon lotor, striped skunksMephitis mephitis, opossums- Didelphis virginiana) towards a novel foraging task (“puzzle”). In partnership with urban residents and organizations, we deployed 123 puzzles in yards and public green spaces across California’s East Bay to evaluate how interspecies and intraspecies boldness variation relates to (1) habitat quality and (2) human presence. We then assessed whether the occurrence of agonistic interactions among conspecifics could be influenced by urban heterogeneity. Our results suggest that landscape heterogeneity has little to no impact on boldness and agonism; however, we discuss that this conclusion could be premature due to our small sample size. By analyzing our full dataset, our results would give a clear understanding of urban impacts which would contribute to a better understanding of how societal inequities spill over to shape urban wildlife ecology, with applications for improving human-wildlife coexistence and conservation in cities.</t>
  </si>
  <si>
    <t>applied animal behavior, inter/intra species conflict, urban ecology, remote sensing, anthropogenic change</t>
  </si>
  <si>
    <t>HuberG_2024-page1.pdf</t>
  </si>
  <si>
    <t>Megan Y. Hur</t>
  </si>
  <si>
    <t>Classifying Blue Oaks through Geographic Object-Based Image Analysis for Biomass, Canopy Cover, and Evapotranspiration Estimations</t>
  </si>
  <si>
    <t>As our environment changes, there is an increased need to quantify the effects on our ecosystems and verify the nature-based climate solutions combating them. The current indicative measures, such as biomass estimates, are largely dependent on field-based measurements. However, trees can be detected and characteristics can be measured in remote sensing images, allowing for more data to become available. This study focused on the extent to which computer vision algorithms' classification of blue oak trees (Quercus douglasii) in remote sensing images could help in understanding the carbon and water dynamics within oak woodlands. Geographic Object-Based Image Analysis (GeOBIA) was optimized to classify an oak savanna in the lower Sierra Nevada foothills by testing parameter combinations of segmentation functions: `slic` segments responded the best to the spectral features of the landscape, while the addition of an edge class between trees helped with breaking up clumps of trees. The development of a crown area-based biomass equation with initial values estimated from field diameter at breast height measurements was unsuccessful due to the difficulties in isolating individual oak trees. Analyzing land cover type and evapotranspiration yielded expected relationships, and the ability of generalized additive models to predict evapotranspiration demonstrates how a GeOBIA classification can be upscaled for ecosystem modeling. The classification and measurements from a GeOBIA classification has potential to fill gaps in data, but will require a multi-step approach of image processing algorithms and initial field measurements to develop accurate relationships.</t>
  </si>
  <si>
    <t>oak savanna, segmentation, machine learning random forest classifier, NAIP imagery, OpenET</t>
  </si>
  <si>
    <t>HurM_2024-page1.pdf</t>
  </si>
  <si>
    <t>Patrick T. Jacobson</t>
  </si>
  <si>
    <t>Remote Sensing of Conifer Encroachment in Marin County Oak Woodland</t>
  </si>
  <si>
    <t>California oak woodlands provide ecological and cultural benefits through their acorns and the unique habitat they create for native California species. The fire tolerance of oak trees relative to conifer species allowed oak woodlands to thrive under the 12-year median fire return interval of the pre-settlement California fire regime. The advent of fire suppression in California during the 1870s opened opportunities for shade tolerant conifer species to establish in, pierce, overtop, and eventually shade out oak canopies. This conversion process, called conifer encroachment, has been observed throughout California in small, individual field studies but has not been quantified over large areas. In this study I used a remote sensing approach to investigate the extent, severity, and spatial pattern of conifer encroachment in Marin County oak woodland. I created a Marin County canopy shapefile that contained canopy type and height data by applying zonal statistics to a canopy shapefile derived from a 2019 Marin County canopy height model (CHM) and Random Forest (RF) classified 2020 NAIP imagery. I found that 59.02% of oak canopies in Marin County were experiencing conifer encroachment, and that 23.22% of these oak canopies were in the overtopping (severe) phase of conifer encroachment. However, the conifer encroachment and overtopping findings were derived from an image classification and zonal statistics canopy labeling process that could not accurately identify conifer and oak canopies. Therefore, these findings are not yet accurate enough to be used as a reliable management tool. However, this study serves as a starting point for future remote sensing studies of conifer encroachment in Marin County and California oak woodland.</t>
  </si>
  <si>
    <t>National Agriculture Imagery Program, succession, tree crown delineation, land cover classification, random forest classifier</t>
  </si>
  <si>
    <t>JacobsonP_2024-page1.pdf</t>
  </si>
  <si>
    <t>Ivanni Jamin</t>
  </si>
  <si>
    <t>Trends on the Social Cost of Carbon from 2008 - 2023: A Review of Environmental Damage Valuation and Possibilities for Future Applications</t>
  </si>
  <si>
    <t>Throughout 2008 and 2023, the United States Environmental Protection Agency (EPA) and Interagency Working Group (IWG) published several technical documents estimating the social cost of carbon dioxide (SCC), a monetary measure of long-term damage done by one metric ton of carbon dioxide. These estimates have greatly fluctuated throughout those years, making it difficult for environmental policy to consistently be implemented. In this paper, I evaluate the factors that contribute to measuring the social cost of carbon within the United States, as well as compare trends within the 2008 to 2023 SCC estimates, nominalized to 2020 dollars. The results show that there has been a larger change in estimates of SCC between the years 2010 and 2013, and again in 2021 and 2023, due to an increase of scientific literature incorporated within damage functions for integrated assessment models, as well as changes in discount rates used and agendas from different political administrations. Additionally, this paper compares three case studies on estimates of the cost of averting one metric ton of CO2, and finds there is a large range of estimated values [$2.6 - $1,000+] for the cost of one metric ton of CO2 emission reduction, depending on the policy and target method of abating. These findings suggest that the SCC depends greatly on what policies are implemented and how it is calculated. I conclude that there is insufficient standardization and room for improving the SCC estimates by standardizing parameters related to its estimates, as well as possibilities of implementing the social cost of carbon outside of legislative cost benefit analysis that would help society internalize environmental damages, improving welfare towards more socially optimal levels.</t>
  </si>
  <si>
    <t>externalities, climate change impact, carbon emission reduction, welfare, environmental economic valuation, environmental policy</t>
  </si>
  <si>
    <t>JaminI_2024-page1.pdf</t>
  </si>
  <si>
    <t>Margaret Kalaw</t>
  </si>
  <si>
    <t>Identifying Contributors to Green Gentrification: A Comparative Study of Atlanta and San Francisco</t>
  </si>
  <si>
    <t>Urban green space (UGS) developments, though beneficial for environmental and public health, are often sited in areas that can have the unintended consequence of increasing housing costs in areas surrounding the green spaces. This could lead to gentrification and displacement of existing residents, which paradoxically would harm the nearby low-income and BIPOC neighborhoods that UGS are meant to benefit. Existing research on green gentrification (GG) are mostly case studies that point to site-specific factors of gentrification, making it difficult to broadly approach UGS planning with a common set of anti-gentrification factors. Thus, this study aims to use calculations of change and geographically weighted regression in ArcGIS to identify a common feature of green space that most strongly explains gentrification occurring across two cities which have experienced varying levels of GG. I found that the number of green spaces in a census tract was the most consistent, but not the strongest explanatory factor for green gentrification occurring across both cities, while proximity to UGS was indicative of GG occurring in San Francisco, but not Atlanta. These results are consistent with Atlanta being a “leading” GG city and suggest that other factors or combinations of factors, such as uses or maintenance of green spaces, should also be considered in UGS planning to avoid gentrification and displacement of low-income and BIPOC residents.</t>
  </si>
  <si>
    <t>Urban green spaces, green space equity, displacement, ArcGIS</t>
  </si>
  <si>
    <t>KalawM_2024-page1.pdf</t>
  </si>
  <si>
    <t>Kylen Kennedy</t>
  </si>
  <si>
    <t>How Human Population Density Affects the Frequency of Wildlife-Vehicle Collisions</t>
  </si>
  <si>
    <t>Human activities have damaged ecosystems through habitat fragmentation and degradation for decades. Part of habitat fragmentation is the construction and use of roads in which wildlife-vehicle collisions (WVCs) often occur. This study aimed to better understand which factors contribute to variations in the frequency of wildlife-vehicle collisions. I used San Francisco County, Kern County, and Inyo County in California to represent urban, suburban, and rural areas. Within those counties, I examined the U.S. Route 101 and CA State Routes 58 and 395. I compared the roadkill incidence rates of each of the three counties using an ANOVA test to determine if human population density influenced roadkill incidence frequencies. I found that roadkill incidence rates increased with increasing human population densities. I performed a similar test to determine whether seasonality influenced roadkill incidence rates and found that it did not. Further, I found that mule deer was the species most often involved in WVCs. However, racoons surpassed mule deer in highly urban settings as the species most often involved in WVCs. This study’s findings suggest that anthropogenic activities have the largest effect on roadkill incidence rates. The findings that roadkill incidences are highly influenced by external factors demonstrates the importance of understanding the problem of wildlife-vehicle collisions in all its contexts. Future research on this topic would benefit from exploring the effect that specific roadway conditions have on WVC frequencies, such as speed limit, traffic volume, or presence of wildlife crossings.</t>
  </si>
  <si>
    <t>habitat fragmentation, roadkill incidence rates, mule deer, motorist safety, California Roadkill Observation System</t>
  </si>
  <si>
    <t>KennedyK_2024-page1.pdf</t>
  </si>
  <si>
    <t>Tasneem Khalak</t>
  </si>
  <si>
    <t>Wildfire Factors Affecting Grid Resilience in PG&amp;E Electrical Distribution</t>
  </si>
  <si>
    <t>Wildfire prone weather conditions have become more extreme and common across the West Coast, including California. Simultaneously, the electrical grid across the state is ever expanding and essential to power our lives. These two factors combined can be a recipe for disaster as seen in the Paradise Fire in 2018, where a degrading PG&amp;E power line sparked a deadly wildfire. The result of this led to the creation of Public Safety Power Shutoffs (PSPS) where the utility turns off power during inclement weather. This means that some communities are forced to live without electricity. To understand this problem, I compiled a variety of datasets from the California Public Utilities Commission, the California Energy Commission, PSE Healthy Energy, Landfire, Pyrologix and CalEnviroscreen 4.0 to create spatial maps on ArcGIS Pro and a correlation matrix on Python. I found that tree cover is highly positively correlated (93-72%) with outage impacts, more so than wind speeds (50-46%). Additionally, at risk transmission line miles are correlated with increased outage frequency (63%). However, there are no stark correlations with outage duration. This means that a focus on vegetation management remains critical to reducing the risk of outage as wildfire prone conditions are heavily dependent on tree cover surrounding the power line. As well, the lack of factor correlating to outage duration indicated that microgrids are a good option to mitigating the effects of outage on communities.</t>
  </si>
  <si>
    <t>Electrical Grid, Power Outage, Public Safety Power Shut Off, Vegetation Management, Microgrid, Burn Risk</t>
  </si>
  <si>
    <t>KhalakT_2024-page1.pdf</t>
  </si>
  <si>
    <t>Angela A. Kou</t>
  </si>
  <si>
    <t>Assessment of Embodied Water Impacts for Landscape Architecture Strategies: A Life Cycle Assessment Approach</t>
  </si>
  <si>
    <t>Addressing the pressing issue of water scarcity and environmental impact, this research investigates the embodied water impacts of landscape architecture strategies. Employing life cycle assessment (LCA) and water footprint methodologies, the study explores hardscape, vegetation, and building elements within urban landscapes. Through a case study of the Bauer Wurster Hall East Courtyard at UC Berkeley, various landscape design scenarios are analyzed for their embodied water impacts. The findings reveal large differentials in embodied water between scenarios. The original site design showcases an embodied water total of 1440 kL, while the remodeled version amplifies to 5820 kL. Notably, concrete and steel emerge as primary contributors to embodied water, despite their relatively low mass proportions on-site. Concrete paving, in particular, demonstrates a significant impact, outweighing other paving materials like asphalt and brick. The findings emphasize the need for informed decision-making in landscape architecture, considering both operational and embodied water impacts. The observed increase in embodied water post-remodeling highlights the necessity for sustainable design choices, especially concerning material selection. Future research directions could focus on refining embodied water analyses, including vegetation impacts, and validating regional data sources. By integrating these insights into practice, landscape architects can steer towards more sustainable and water-efficient design paradigms, crucial for mitigating water scarcity and bolstering environmental resilience in urban landscapes.</t>
  </si>
  <si>
    <t>Embodied water, landscape architecture, life cycle assessment, sustainable design, water footprint</t>
  </si>
  <si>
    <t>KouA_2024-page1.pdf</t>
  </si>
  <si>
    <t>Hayley A. Lai</t>
  </si>
  <si>
    <t>The Development and Economic Viability of Offshore Wind in the US: Assessing Current Challenges and Charting Policy Solutions</t>
  </si>
  <si>
    <t>Offshore wind (OSW) is becoming a critical energy solution for the US, offering a sustainable solution to meeting growing energy demands while addressing decarbonization targets. In 2021, the Biden administration set an ambitious target of reaching 30 GW of OSW energy by 2030. However, progress toward this goal has been sluggish, with various challenges hindering deployment. The lingering impacts of the COVID-19 pandemic and the resulting macroeconomic shifts have further complicated deployment efforts. Given the recent nature of these events, existing literature has not comprehensively identified the underlying factors behind slow OSW development. Against this backdrop, this study combines case studies and secondary data analysis to examine the difficulties faced by OSW projects from January 2021 to December 2023 due to macroeconomic uncertainty, complex permitting processes, and supply chain disruptions. Furthermore, I conducted interviews with industry experts to investigate potential policy solutions to address domestic infrastructure, financing, permitting, transmission, and community benefits concerns. Findings show multi-year delays for OSW projects and lengthened timelines for near-term development. My results also indicate the main recent barriers to US OSW development are unfavorable macroeconomic and geopolitical environment, lack of adequate infrastructure for construction and operations, and aggressive seabed lease bidding behavior. The findings of this study aim to inform policymakers and relevant stakeholders about both the opportunities and challenges within the OSW sector, focusing on adaptive strategies that can advance future development amidst ongoing economic headwinds.</t>
  </si>
  <si>
    <t>COVID-19 pandemic, energy transition, stakeholder engagement, project financing, policy</t>
  </si>
  <si>
    <t>LaiH_2024-page1.pdf</t>
  </si>
  <si>
    <t>Kelsey L. Leet</t>
  </si>
  <si>
    <t>Baltic Blue Carbon Systems Under Global Change: Assessing Soil Reduction Potential</t>
  </si>
  <si>
    <t>As anthropogenic climate change increases in severity, carbon removal from the atmosphere is essential to mitigate global impacts. Blue carbon systems, coastal systems that are known for their high carbon sequestration potential, are key to mitigating global climate change. Coastal marshes, a type of blue carbon ecosystem, have a great potential for carbon sequestration and are particularly under-studied in Europe’s Batic region. Five Northern European Universities founded the NordSalt experiment to better understand carbon fluctuations, plant biodiversity, and soil biogeochemistry of the Baltic coastal marshes of Denmark, Finland, and Sweden in response to climate change. This project specifically investigates the biogeochemistry of these soils using the Indicator for Reduction in Soils (IRIS) method to assess soil reduction potential and resulting oxygen availability. Using this reduction data we found no significant impact of warming on soil reduction potential with an ANOVA P-Value of 0.57750, indicating a degree of ecosystem resilience in the face of global change. We did find a significant impact of cattle grazing on soil oxygen availability (P-Value of 0.04233) as well as significant differences between soil country origin (P-Value of 0.00239). Our results indicate that Baltic blue carbon systems will likely demonstrate resilience to global temperature rise, but only if they are protected from land use practices such as cattle grazing.</t>
  </si>
  <si>
    <t>coastal marshes, climate change, soil biogeochemistry, IRIS method, coastal land management</t>
  </si>
  <si>
    <t>LeetK_2024-page1.pdf</t>
  </si>
  <si>
    <t>Alexander J. Levy</t>
  </si>
  <si>
    <t>Assessing Environmental Changes Following Restoration Along Strawberry Creek</t>
  </si>
  <si>
    <t>Ecological restoration is the process of reversing environmental degradation by restoring natural ecosystem structure and function, including the reintroduction of native plants and rehabilitation of ecosystem services. Stream ecosystems are common restoration targets due to their widespread degradation and ecological significance. Riparian and stream systems are known to respond well to restoration, however studies on the success of restoration over time are limited. Strawberry Creek in Berkeley, CA offers a unique opportunity to study the impacts of restoration on stream health over time due to its forty-year history of urban stream restoration. This study used modified methods from monitoring surveys conducted at two restoration sites managed by the Creeks of UC Berkeley along Strawberry Creek to better understand changes in stream structure and vegetative communities following restoration. I found the restored channels had “good” stability, and demonstrated insignificant change following restoration. The vegetation survey results included significant decreases in species richness and diversity, and increases in total cover with significant increases in invasive cover. The channel stability analysis indicated that restoration was successful in creating physically stable systems, although previous studies disagree about the extent to which physical stability is an important metric in stream restoration, indicating the need for further research. The vegetative community results indicated pressure from human traffic and competition from invasive species, informing a need for more active management following restoration. Although limited, the results of this study can be used to inform current restoration management practices in urban areas, specifically highlighting needs for active weeding and protection from trampling.</t>
  </si>
  <si>
    <t>urban streams, channel stability, native plant diversity, vegetation cover, invasive species</t>
  </si>
  <si>
    <t>LevyA_2024-page1.pdf</t>
  </si>
  <si>
    <t>Paige C. Lieblich</t>
  </si>
  <si>
    <t>Assessing Rationale for Community Engagement in San Francisco Bay Area Conservation Groups</t>
  </si>
  <si>
    <t>It’s agreed among scientists that there are many benefits from community engagement in local projects, although it’s only been in recent decades that the scientific world has begun to look towards the community for input on their work. Community engagement is extremely beneficial to conservation in particular, and is known to lead to higher success in a project. Even so, there are many barriers for researchers to effectively engage the community in local projects. In the San Francisco Bay Area, there are many local conservation groups that have varying degrees of community engagement within their projects. This study seeks to understand how these conservation groups prioritize community engagement in their projects. To do so, I interviewed eight leaders of different organizations regarding their experiences with community engagement. The most common barriers to community engagement could be summarized in three points: education, resources, and volunteer makeup. The organizations’ current practices have been effective in engaging the public, although they have room to improve through education, community relations, and capacity. However, these improvements are dependent on funding and overall public interest for the environment and conservation.</t>
  </si>
  <si>
    <t>Public engagement with science (PES), preservation, environmental education, local stewardship, environmental accessibility</t>
  </si>
  <si>
    <t>LieblichP_2024-page1.pdf</t>
  </si>
  <si>
    <t>Claire Liu</t>
  </si>
  <si>
    <t>Impacts of Predicted Sea-Level Rise and Coastal Inundation on Power Infrastructure in the San Francisco Bay Area</t>
  </si>
  <si>
    <t>As climate change progresses, the San Francisco Bay Area, a key economic and technological hub, faces increasing risks from sea-level rise (SLR) and coastal inundation. Although no immediate risks are identified associated with the power infrastructure in the Bay Area, future projections of SLR and related extreme events could increase the vulnerability of key power infrastructures such as transmission lines, electric substations, and power plants. Using a Geographic Information System (GIS), the study mapped and analyzed the vulnerability of the power infrastructure to various projected SLR scenarios (2 ft, 4 ft, and 6ft). It employed the most updated inundation maps from the National Oceanic and Atmospheric Administration to simulate moderate to extreme SLR scenarios, providing a comprehensive assessment of risk across the Bay Area. The analysis identified significant portions of the Bay Area's power infrastructure at increased risk of flooding, including approximately 19% more inundation areas, up to 12% of power plants, 10% of electric substations, and 3-5% of transmission lines. This could lead to operational disruptions, elevated maintenance costs, and a higher need for emergency restoration services. The study highlighted the critical need for integrating climate change projections into current and future infrastructure planning to minimize risks and prepare for inevitable environmental changes. It offered actionable insights for policymakers, urban planners, and utility providers, aiming to fortify the region's infrastructure against the encroaching tides and ensure sustainable operation and service continuity.</t>
  </si>
  <si>
    <t>Climate change, infrastructure planning, inundation models, geographic information systems, climate adaptation</t>
  </si>
  <si>
    <t>LiuC_2024-page1.pdf</t>
  </si>
  <si>
    <t>Tate P. Luoma</t>
  </si>
  <si>
    <t>Forest Management in Plumas County: Exploring Stakeholder Collaboration</t>
  </si>
  <si>
    <t>This research delves into the interaction between forest management stakeholders in addressing wildfire mitigation and post-wildfire restoration. These facets of forest management have taken precedence given the current landscape: wildfires of unprecedented severity and size. Plumas County has long been the focus of private and public forest management stakeholders, as communities nestled in a forested landscape have been hit by multiple major fires. Through identification and analysis of stakeholders' experiences, solutions can be formulated and implemented for forest management improvement. Interviews with stakeholder leadership and employees were conducted, as well as a review of environmental policy. Results found that although many stakeholders shared similar goals, there is a clear need for enhanced partnerships. Collaborative meetings among stakeholders must be initiated and continued for collective impact. The United States Forest Service (USFS), suffering from understaffing and employee turnover, is one of the biggest impediments to effective forest management, both with internal USFS projects and in instances of joint ventures. The National Environmental Policy Act and California Environmental Quality Act were both described in interviews as having necessary and important environmental review processes, but the environmental assessment timelines of these policies directly conflict with post-fire restoration windows. Categorical exclusion can be expanded to address this issue. Local agencies have significantly more and swifter success in implementing forest management projects compared to larger agencies. More monetary and workforce investments should be made to propel local agencies further. To best elevate forest management, changes must be made at the local, state, and federal levels.</t>
  </si>
  <si>
    <t>wildfire mitigation, post-wildfire restoration, categorical exclusion, local agency investment, United States Forest Service</t>
  </si>
  <si>
    <t>LuomaT_2024-page1.pdf</t>
  </si>
  <si>
    <t>Rachel Lyon</t>
  </si>
  <si>
    <t>Cyanobacteria Biotherapeutic Protein Production: Phycocyanin-Interferon Fusion Constructs</t>
  </si>
  <si>
    <t>Cyanobacteria can be utilized for biotherapeutic protein production. Cyanobacteria’s ability to use photosynthesis can be exploited as a host organism for biotherapeutic protein production, offering a cheaper alternative to traditional hosts; E. coli and yeast. Limitations on steady state protein production in cyanobacteria must first be overcome. By using novel DNA fusion constructs, there is hope for higher yields of desired biotherapeutic proteins. Phycocyanin is an ideal highly-expressed endogenous protein for fusion with foreign proteins to overcome degradation in the cell. Interferon is used as a case study to make phycocyanin-interferon constructs. The central research question asks, how can we increase biotherapeutic protein production in cyanobacteria? And our sub-question answered in this paper is, Can Cyanobacteria produce phycocyanin-interferon fusion constructs? Key results include 45% of phycocyanin present in phycocyanin-interferon transformant. Growth rates of phycocyanin-interferon strain are slowed showing a more gradual slope when compared to the wild-type strain. These DNA fusion constructs are indeed shown to stably accumulate interferon fusion constructs, taking a step towards implementing cyanobacteria as a cell factory for biotherapeutic protein production.</t>
  </si>
  <si>
    <t>Over-expression, Recombinant Protein, Synechocystis sp. PCC 6803, Biopharmaceutical proteins, Synthetic Biology</t>
  </si>
  <si>
    <t>LyonR_2024-page1.pdf</t>
  </si>
  <si>
    <t>Nina S. Mabasa</t>
  </si>
  <si>
    <t>How Modeling Can Be Used to Predict the Effects of Climate Change on Philippine Coral Reef Ecosystems</t>
  </si>
  <si>
    <t>Climate change will amplify the effects of ocean acidification and coral bleaching, the two main threats to the health of coral reef ecosystems. However, it is uncertain as to what extent climate change will harm coral reef ecosystems within the next decade. Modeling studies have been conducted to understand the future possibilities to predict the effects of climate change on coral reef ecosystems and evaluate the outcome. Here I conduct a literature review on predictive studies that could be used to examine the effects of climate change on coral reef ecosystems in the Philippines. These studies show that while predictive modeling has been used to guide climate policies, they are ultimately limited by the inability to account for factors external to each model. These studies work for specific trends, such as observing the increase in species biomass in a given study area but are ultimately unable to realistically reflect the future on a larger scale due to the unpredictable nature of climate change and its effects.</t>
  </si>
  <si>
    <t>ocean acidification, coral bleaching, emissions scenarios, predictive study, literature review</t>
  </si>
  <si>
    <t>MabasaN_2024-page1.pdf</t>
  </si>
  <si>
    <t>Elijah Macalinao</t>
  </si>
  <si>
    <t>Exploring Aerosol Exposure from Motorsport Events and Routine Activities</t>
  </si>
  <si>
    <t>Exposure to particulate matter (PM) is a health risk everyone experiences nearly on a daily basis. However, for motorsport fans, especially drifting fans, this risk seems to be elevated at a large scale due to the massive amounts of smoke drift cars can make. While it's widely understood that aggressive driving and alterations to emissions equipment can elevate PM levels in the air, there is a lack of data regarding the potential health and environmental impacts of drifting. Therefore, this study aims to address some of the gaps in knowledge in the drifting world by asking: How does aerosol exposure during drift events compare to other routine activities? I used a Particles Plus 8000 Series Handheld Particle Counter to measure concentrations of particle number (PN) and mass concentrations of fine and coarse PM (PM2.5 and PM10, respectively) at two types of drift events and during routine activities such as cooking, occupational hazards such as sanding, and recreational activities such as bonfires. Average PN, PM2.5, and PM10 concentrations o were calculated and compared across all activities to look for statistically significant differences. Activities like cooking and grilling resulted in higher concentrations than almost all drift scenarios. These more everyday activities likely contribute to a person's overall aerosol exposure more than infrequently attending a drift event as a typical spectator Measured exposure concentrations were X–Y times lower with increasing distance from the emission source and up to Z times lower under racing conditions when the track surface was wet rather than dry. Overall, the PN and PM concentrations measured for a typical spectator during drifting events was comparable to those that most participants might experience from other common sources on a more daily basis.</t>
  </si>
  <si>
    <t>Particle Number (PN), Fine Particulate Matter (PM2.5), Coarse Particulate Matter (PM10), Grassroots Drift Event (G.D.E), Professional Drift Event (P.D.E)</t>
  </si>
  <si>
    <t>MacalinaoE_2024-page1.pdf</t>
  </si>
  <si>
    <t>Anna Magruder</t>
  </si>
  <si>
    <t>The Effects of Climate on Mast Seeding Behavior in Single-Leaf Pinyon Pine (Pinus monophylla)</t>
  </si>
  <si>
    <t>Climate change poses a threat to the forested ecosystems of California and pinyon-juniper woodlands are particularly vulnerable. Pinyon pine trees conduct “mast seeding,” which is a reproductive pattern characterized by high interannual variability and high synchronicity in seed production. This project outlines how masting behaviors of single-leaf pinyon pine trees (Pinus monophylla) coincide with variations of important climatic variables. Over a decade of reproduction was examined using the cone scar method and mast seeding patterns were quantified by calculating the coefficient of variation on both individual and population levels. The pinyon seed production timeline is a 26 month process with cone initiation occurring at the beginning and pollination occurring towards the middle. No significant correlation exists between cone production and branch growth during the year of cone maturation for this sample population. There is a negative relationship between cone production and late summer vapor pressure deficit (VPD) during the year of cone initiation, yet no significant relationships were found between VPD during pollination or precipitation during either initiation or pollination. The negative relationship between cone production and VPD has alarming implications when climate change projections are considered. The reproductive success of this population of single-leaf pinyon pines may be compromised soon as temperatures rise.</t>
  </si>
  <si>
    <t>masting, predator satiation, pollination efficiency, vapor pressure deficit, cone scar</t>
  </si>
  <si>
    <t>MagruderA_2024-page1.pdf</t>
  </si>
  <si>
    <t>Dhruthi S. Mandavilli</t>
  </si>
  <si>
    <t>Winged Witnesses: Gentrification’s Impacts on Bird Biodiversity in San Francisco</t>
  </si>
  <si>
    <t>Gentrification, an increase in a neighborhood’s affluence, cost-of-living, and amenities leading to displacement of those of lower socioeconomic status, poses challenges for both human communities and urban wildlife, such as birds. Birds play crucial roles as urban predators, prey, pest controllers, pollinators, and ecosystem engineers. However, the relationship between gentrification and bird biodiversity in San Francisco remains uncertain. San Francisco, with its rapidly gentrifying neighborhoods, serves as an important case study for understanding this phenomenon. Leveraging eBird citizen science data (2015 – 2019) and the Urban Displacement Project's SF Bay Area Gentrification Map (2018), this study investigates the impact of gentrification on reported bird observations and bird biodiversity via species richness and Shannon diversity. I also explore differential impacts on generalists versus non-generalists. I found that neither gentrification nor change in time significantly affected the overall number of observations. However, gentrification did have an impact on bird species richness and diversity. Moreover, I found that for species richness, NDVI is a stronger predictor of species richness compared to gentrification, whereas the opposite pattern was found for Shannon diversity. Finally, gentrification decreases species richness solely in generalist species, whereas it impacts Shannon diversity in both generalist and non-generalist species. These results underscore the importance of prioritizing conservation efforts safeguarding vulnerable bird populations in gentrified areas by incorporating gentrification as a non-ecological metric in these efforts. Policymakers are urged to integrate such wildlife biodiversity considerations into urban planning processes that could result in gentrification to ensure sustainable development supporting human and ecological well-being.</t>
  </si>
  <si>
    <t>citizen science, land-use change, socio-environmental interactions, urbanization, urban wildlife</t>
  </si>
  <si>
    <t>MandavilliD_2024-page1.pdf</t>
  </si>
  <si>
    <t>Isabel M. Martín</t>
  </si>
  <si>
    <t>Identifying Pathways to Strengthen Tribal Capacity for Natural Resource Management</t>
  </si>
  <si>
    <t>Now more than ever, federal public land agencies are recognizing the importance of collaborating with Native American Tribes in conservation management. The concept of “Tribal capacity” has been identified as a barrier to equity, but prior to this study, this phrase remained undefined. This lack of understanding is leading to underinvestment in strengthening Tribal capacity. This study aims to define Tribal capacity in the context of the relationship between federally recognized Tribes and the U.S. federal government regarding natural resource management. Through a secondary analysis of interviews with federally recognized Tribes nationwide, I found Tribal capacity can be broadly defined as factors that influence a Tribe's sovereign right to manage, monitor, or conserve natural and cultural resources and work with partners. Tribal natural resource departments are operating on a spectrum of capacity nationwide. Understanding the strengths, barriers, and opportunities unique to each Tribe is crucial to effectively address Tribal capacity. Moreover, this is a two-sided relationship: federal agencies also must bolster their internal capacity to collaborate with Tribes. I analyzed two Biden administration policies and interviewed employees from four federal public land management agencies to understand their efficacy. Recent policies and leadership changes have spurred agencies to take Tribal stewardship seriously, but they are at the starting point of bolstering internal capacity to work with Tribes. Federal comprehension of Tribal capacity remains elusive despite these policies. To effectively collaborate with Tribes the federal government needs programs specifically designed to address the root barriers to Tribal capacity, not the symptoms.</t>
  </si>
  <si>
    <t>Traditional ecological knowledge, Indigenous co-stewardship, self-determination, Tribal trust responsibility, Tribal policy</t>
  </si>
  <si>
    <t>MartinI_2024-page1.pdf</t>
  </si>
  <si>
    <t>Jade Marum</t>
  </si>
  <si>
    <t>Blue Spaces and Identity: Interactions, Usage Factors, and Experiences among Undergraduate Students of Color</t>
  </si>
  <si>
    <t>Blue spaces, a type of outdoor space characterized by the presence of water, provide numerous benefits to human health and wellbeing. Individuals interact with blue spaces in a variety of ways and due to a myriad of factors. The experiences had in blue spaces are just as diverse. For people of color, experiences in blue spaces can be shaped by cultural traditions, historic access to outdoor space, and interactions with others. To explore the experiences of students of color in blue spaces, I asked the following question: How are UC Berkeley undergraduate students of color experiencing on-campus and off-campus blue spaces? I conducted nine semi-structured interviews of UC Berkeley students of color who frequently interact with both on-campus and off-campus blue spaces. I found that students of color are intentionally interacting with blue spaces for mainly personal and inter-social reasons. I also found that the majority of students of color in these spaces are experiencing benefits to their emotional health. Lastly, I found that generational access to blue spaces, present blue space accessibility, and current diversity within blue space environments strongly influence the type of experiences had by students in blue spaces. The findings from this thesis emphasize the benefit potential of blue spaces, the accessibility challenges that students of color face when interacting with blue spaces, and the various factors that influence the experiences that students of color are having in blue spaces.</t>
  </si>
  <si>
    <t>environmental justice, outdoor access, students of color, human health, therapeutic landscapes</t>
  </si>
  <si>
    <t>MarumJ_2024-page1.pdf</t>
  </si>
  <si>
    <t>Yinuo Ma</t>
  </si>
  <si>
    <t>Impact of Heat Exposure on Human Health</t>
  </si>
  <si>
    <t>This systematic review delves into the significant impacts of heat exposure on human health, focusing on vulnerable groups, such as individuals with asthma, pregnant mothers and infants, and outdoor workers. By examining current literature, the study sheds light on the growing challenge of heat events triggered by climate change, revealing the varied health effects of heat exposure and the heightened vulnerability of specific groups. The findings highlight a troubling trend of more frequent and severe heat events, posing increased health risks for people from diverse backgrounds. Pregnant women, infants, outdoor workers, and people with asthma are particularly at risk, facing higher rates of heat-related illnesses and negative health outcomes. For mothers and infants, higher temperatures are related to smaller fetal growth measures, higher odds of small for gestational age, and severe maternal morbidity. Additionally, the review identifies gaps in research, emphasizing the urgent need for comprehensive strategies to mitigate climate change's impact on health. Proposed mitigation measures include targeted interventions for vulnerable populations, improved workplace safety measures, and increased public awareness about heat-related illnesses. This study underscores the pressing need to address climate change to protect public health and manage the growing risks associated with extreme heat events. It contributes valuable insights into the complex relationship between climate change and human health, informing efforts to build resilience and adaptation in the face of a warming world.</t>
  </si>
  <si>
    <t>Climate change, extreme heat, environmental health, heat-related illnesses, systematic review</t>
  </si>
  <si>
    <t>MaY_2024-page1.pdf</t>
  </si>
  <si>
    <t>Allison M. Mays</t>
  </si>
  <si>
    <t>The Effects of Climate Change on the Northern California Oyster Industry</t>
  </si>
  <si>
    <t>The increase in global temperatures and atmospheric carbon dioxide concentrations is proving to have alarming effects on ocean temperatures and pH in Northern California leading to negative implications on oyster populations and thus the oyster industry at large. Here we focus on Tomales Bay and Humboldt Bay, specifically the Hog Island Oyster Company hatchery located in Marshall, CA. The data was collected via CeNCOOS in Tomales Bay, while simultaneously focusing on industry survey literature centered around Humboldt Bay. Data and surveys were supplemented by an interview with Hog Island Oyster Company in order to identify strengths and weaknesses in companies’ ability to adapt their processes and procedures to both protect their business and oyster health. Across a three year period from January 2020 to December 2022, it was proven that there was a decrease in ocean pH paralleled by an increase in ocean temperatures. Industry surveys showed that businesses are concerned about a decrease in oyster seed availability which is largely decreasing oyster abundance as the consequences of climate change overtake the hatcheries. Hog Island representative, Gary Fleener, added that farms are seeing large die off events largely caused by temperature or ocean acidification events. Moreover, the oyster industry is at risk for losing sufficient income as a result of the decrease in growable, harvestable, and sellable oysters across all life stages: larval, juvenile, and adult.</t>
  </si>
  <si>
    <t>ocean acidification, ocean warming, water temperature, water pH</t>
  </si>
  <si>
    <t>MaysA_2024-page1.pdf</t>
  </si>
  <si>
    <t>Ayra Z. Moin</t>
  </si>
  <si>
    <t>Assessing the Inflation Reduction Act’s Impact on Renewable Energy Adoption and Industry in the United States</t>
  </si>
  <si>
    <t>Changing weather and temperature patterns occur on a global scale and threaten the stability of our natural environment as a result of greenhouse gas emissions and the historic dominance of fossil fuels. Federal renewable energy policies are employed as a tool to limit national greenhouse gas emissions by encouraging a transition to renewable energy sources including solar and wind. The latest federal renewable energy initiative created in 2022 was the Inflation Reduction Act (IRA). While the IRA is widely regarded as the most ambitious federal renewable energy policy in history, it is currently unknown how the provisions of the IRA will actually impact renewable energy adoption. In order to determine the IRA’s capacity to stimulate renewable energy adoption, I conducted a policy assessment that included regression analysis to predict how the IRA will financially support domestic renewable energy generation projects, tax model simulations to stimulate the profit capability of the IRA, and a survey of the popular opinion of solar energy companies in the United States regarding their view of the IRA. Through these methods, I found that the IRA’s larger budget successfully promotes renewable energy generation and generates profits at an unprecedented level compared to past federal policies. In addition, the overwhelming majority of solar energy companies view the IRA’s initiatives and economic strategies positively. These findings support the development of additional federal policies that can use similar economic strategies to further invest in renewable energy technology and phase out fossil fuels.</t>
  </si>
  <si>
    <t>policy assessment, solar energy, profit margins, business survey, domestic energy manufacturing</t>
  </si>
  <si>
    <t>MoinA_2024-page1.pdf</t>
  </si>
  <si>
    <t>Isha Murali</t>
  </si>
  <si>
    <t>Identifying Key Factors in Decarbonization Policy from India’s National Action Plan on Climate Change</t>
  </si>
  <si>
    <t>Despite the correlation between India’s rapid economic growth and rapidly increasing greenhouse gas (GHG) emissions, there has been little research on decarbonization policy in the area. In efforts to reduce carbon emissions, governments tend to utilize market-based tools to promote low-carbon operations and decrease pollution-heavy practices. Despite India’s heavy reliance on these market-based tools, these tools have mostly been studied in countries with more stable economies. In 2008, India published the National Action Plan on Climate Change (NAPCC), a document encompassing 8 national missions that focus on different areas related to sustainability. This document also included a range of “ongoing initiatives” that date back to 2001. The NAPCC has received mixed opinions from experts, despite it being proclaimed as a roadmap for climate policy in India. In this factor analysis, I identified and analyzed key features of the NAPCC and the frequency at which they show up in policy from 2001-2023. The results of my analysis showed that the NAPCC mainly focuses on the international distribution of burden, which can be seen as a way to push responsibility for climate action onto higher-emitting countries. My analysis also showed that key features from the NAPCC are minimally included in Indian climate policy.</t>
  </si>
  <si>
    <t>Factor analysis, National Action Plan, India, climate change, policy</t>
  </si>
  <si>
    <t>MuraliI_2024-page1.pdf</t>
  </si>
  <si>
    <t>Kai N. Nittenberg</t>
  </si>
  <si>
    <t>Investigating the Nitrogen Fertilization Potential of Human Hair</t>
  </si>
  <si>
    <t>The widespread use of synthetic nitrogen fertilizers in agriculture poses significant environmental and health risks including groundwater contamination and greenhouse gas emissions. This study investigates the potential of human hair, an organic material with a high nitrogen content of 15%, as a sustainable alternative to synthetic nitrogen fertilizers. An incubation experiment was conducted to evaluate the decomposition of human hair in low-nutrient California grassland soils and its impact on soil nitrogen availability and greenhouse gas emissions. Results indicate that human hair amendments can act as a slow-release nitrogen fertilizer, increasing plant-available nitrogen in soils over time. Microbial shifts revealed the involvement of keratinophilic fungi in breaking down hair and the potential importance of soil characteristics and fungal availability to hair decomposition. The calculated global warming potential from the hair-treated incubated soils was larger than that of typical cropping systems, mainly attributed to the large N2O emissions in the incubation experiment and the lack of plants to take up the produced soil inorganic nitrogen. Further research should investigate the decomposition of hair in field settings to evaluate its impact on crop yield and climate change. The large-scale use of hair waste in agriculture could provide a sustainable and regenerative alternative to synthetic fertilizers.</t>
  </si>
  <si>
    <t>Human Hair, Decomposition, Keratinophilic Fungi, Agriculture, Nitrogen Fertilizer</t>
  </si>
  <si>
    <t>NittenbergK_2024-page1.pdf</t>
  </si>
  <si>
    <t>Zcjanin A. Ollesca</t>
  </si>
  <si>
    <t>Using Citizen Science to Understand Human Disturbances on Philippine Coral Reefs</t>
  </si>
  <si>
    <t>The Philippine region of the Coral Triangle houses the third-largest reef system in the world and largely relies on these marine ecosystems for the livelihoods of its inhabitants. Climate change is driving the severe degradation of these vital reef systems which are further impacted by the lack of long-term studies monitoring and analyzing the long-term impacts of human activities on reef health. Citizen science, like Reef Check and CoralWatch, is a collaborative approach that attempts to mitigate this knowledge gap by engaging volunteer scientists in large-scale data collection. To understand the capacity of citizen science to convey the relationship between anthropogenic disturbances and reef health, I identified the top three most prominent disturbances documented in Reef Check over a twenty-year period (2000-2020): tourism, overfishing, and industrial pollution. I contextualized these findings by conducting a literature review. Then, I used CoralWatch to visualize the study sites and their color distribution, a proxy for coral bleaching, across space and time. Using a Pearson correlation analysis to understand the relationship between coral reef health and the presence of anthropogenic disturbances, results showed that there is significant negative relationship (ρ = −0.876) that illustrates that sites that experience a high amount of human activity are also the most degraded reefs. Investigating the potential for best practices of robust citizen science data will be essential for supplementing traditional monitoring methods and guiding data-driven decision-making aimed at restricting the most prominent human activities impacting reef systems in the Philippines.</t>
  </si>
  <si>
    <t>volunteer monitoring, Marine Protected Areas, The Coral Triangle, coral bleaching, marine ecosystems</t>
  </si>
  <si>
    <t>OllescaZ_2024-page1.pdf</t>
  </si>
  <si>
    <t>Bethany Ou</t>
  </si>
  <si>
    <t>Indoor Air Ventilation Issues in California Childcare Facilities</t>
  </si>
  <si>
    <t>Indoor Air Quality (IAQ) significantly affects public health, particularly for children who are highly susceptible to its adverse effects due to their vulnerable immune system, and considerable time spent indoors in childcare facilities. Acknowledging the pivotal role of IAQ in affecting children's health and educational outcomes, this research aims to highlight discrepancies between subjective assessments and actual air quality metrics within educational settings. This study focuses on the IAQ in childcare facilities across California, emphasizing those in the Bay Area due to its specific environmental challenges, including frequent wildfires and industrial pollution. The research identifies common ventilation situations in California classrooms and childcare facilities and policies around indoor air quality mitigation. This study employed a mixed-methods approach, including literature review on recent IAQ studies and policy review and qualitative surveys regarding ventilation practices. Additionally, the study considers the impact of current policies and the pivotal role of educators in recognizing and addressing IAQ issues. The findings reveal a critical need for comprehensive policy reform and enhanced resources to support effective IAQ management in educational settings, aiming to safeguard children's health and optimize their learning environments. Suggestions for future research include expanding the scope of study locations to enhance the applicability of findings, conducting longitudinal studies to evaluate the prolonged effects of indoor air quality (IAQ), and employing advanced monitoring technologies to better align interventions with the actual conditions of IAQ.</t>
  </si>
  <si>
    <t>Indoor air quality (IAQ), children’s health, air quality improvement, policy reform, childcare facilities and classrooms</t>
  </si>
  <si>
    <t>OuB_2024-page1.pdf</t>
  </si>
  <si>
    <t>Ricky Pankratz</t>
  </si>
  <si>
    <t>Viruses of Mason Bees in the Sierra Nevada</t>
  </si>
  <si>
    <t>Bees play a vital role pollinating a wide variety of flowering plants, including commercial crops. The movement of honey bee colonies for the purpose of commercial pollination has distributed viruses across the globe. These viruses have the potential to spillover to native bee populations, although these dynamics are often poorly understood for many different types of bees. In this study I aimed to understand the viruses of a native bee genus, Osmia, in the Tahoe National Forest region of the Sierra Nevada. Honey bee hives were experimentally placed at three sites and bees were sampled at sites with and without apiaries before and after honey bee arrival. Taxonomic experts identified thirty-one species of mason bee, representing over a quarter of North American Osmia diversity. Bee RNA was processed and pooled samples were sequenced using a metatranscriptomic approach. From this data we identified three viruses: Deformed wing virus (DWV-B), Chronic Bee Paralysis Virus (CBPV), and Andrena-associated Bee Virus (AnBV-1). This is the first time that AnBV-1 has been found in Osmia bees to our knowledge. Nine individuals were infected with DWV-B and 5 were infected with CBPV. In CBPV, an 892.54% increase of prevalence was found to be associated with the arrival of honey bee colonies to the study area. A baseline understanding of the viruses infecting mason bees in this region provides a starting point for future analysis of the impacts that commercial honey bee colonies have on native bees.</t>
  </si>
  <si>
    <t>Mason bees (Osmia), Disease Ecology, Native Bee Viruses, Deformed Wing Virus, Chronic Bee Paralysis Virus</t>
  </si>
  <si>
    <t>PankratzR_2024-page1.pdf</t>
  </si>
  <si>
    <t>Tia F. Pappas</t>
  </si>
  <si>
    <t>Annual Energy Production Loss at US Wind Facilities from Turbine Curtailment for Bats</t>
  </si>
  <si>
    <t>Wind energy is responsible for hundreds of thousands of bat deaths annually from collisions with wind turbines. To minimize bat deaths, many wind facilities use turbine curtailment (slowing down the rotation of turbine blades) during periods of expected bat activity–mainly at night during the summer and early fall when wind speeds are low. Turbine curtailment effectively reduces bat deaths, however researchers have not examined the implications of curtailment on energy production and wind facility revenue at a national scale. This study simulated wind energy production at existing wind facilities across the contiguous United States (US) under varying curtailment scenarios. We received annual energy production under varying scenarios and analyzed the impact on net present value (NPV) of each wind facility. We found a median 0.12% to 1.91% AEP loss with our low and high curtailment scenarios, corresponding to a -6,262,996 and -101,795,692 kWh loss from curtailment across the US. For many wind facilities, this AEP loss could affect their financial viability, as under high scenarios, curtailment resulted in a negative NPV for over 13% of wind facilities. Our findings suggest that curtailment with low cut-in speeds will not alter AEP significantly, but more stringent curtailment could negatively affect wind facility financials. Future directions for this research may focus on other financial metrics for viability of wind facilities and could examine AEP loss from different smart curtailment technologies to better understand how wind facilities can pursue cost-effective curtailment to reduce bat fatalities.</t>
  </si>
  <si>
    <t>wind energy, conservation, financial viability, smart curtailment, modeling</t>
  </si>
  <si>
    <t>PappasT_2024-page1.pdf</t>
  </si>
  <si>
    <t>Krishna Parekh</t>
  </si>
  <si>
    <t>A Tale of Two Habitats: Habitat Restoration and Its Impact on Biodiversity, Wildlife Use, and Human Presence in the Presidio, San Francisco</t>
  </si>
  <si>
    <t>Growing urbanization is drastically changing urban environments and impacting urban wildlife. Habitat restoration is being used with a greater frequency. Urban green spaces are vital to urban ecosystems but are often overlooked in restoration efforts. This study looked at the effects of habitat restoration on when wildlife use urban green spaces, when humans are present in urban green spaces, and biodiversity. I found that wildlife frequented the partially and fully restored sites much more than the unrestored site. On the other hand, human presence was greater at the unrestored site than the restored sites. The only non-human mammals detected across the sites were rodents, coyotes, and raccoon. There was not a significant difference in which mammals visited which sites, except that the partial restoration was the only site with rodents detected. The unrestored site had an overlap between human and wildlife visitation that was not observed in the restored sites. Species richness and the Shannon’s index were highest in the partially restored site, but the unrestored site had the greatest Simpson’s index. These observations indicate that human presence and restoration status both have influence wildlife and human presence alike. In my study I found that there was a significant difference between wildlife presence in urban green spaces across the site types. However, I found that there was no significant difference between human presence in urban green spaces across the site types. All in all, these findings indicate that habitat restoration influences wildlife but not humans, further research needs to be done to understand why human presence is not influenced by restoration.</t>
  </si>
  <si>
    <t>Habitat restoration, biodiversity, urban green spaces, temporal analysis, human impact</t>
  </si>
  <si>
    <t>ParekhK_2024-page1.pdf</t>
  </si>
  <si>
    <t>Jiho Park</t>
  </si>
  <si>
    <t>Promoting Proper Waste Behavior with Packaging Design</t>
  </si>
  <si>
    <t>Single-use, nonbiodegradable plastic and “use and throw” packaging are pervasive in everyday packaging applications, and the boom in e-commerce sites such as Amazon further increased the demand for single-use, durable packaging. According to the UN, it is estimated that we produce 400 million tons of plastic waste a year. The recovery of plastic waste through recycling programs is low, with the United States recycling only 14.8% of recyclable waste. To address these issues, there is a potential to inform the consumer about how to properly sort waste through the design of the packaging with both explicit and implicit cues. Everything from the words on the packaging to the tactile feeling of the package influences customer purchase behavior. In this study, I found that the plastic resin code system was insufficient for identifying recyclables, it was difficult for respondents to determine how to separate their waste, and cleaning the containers was the most difficult part of separating recyclables. I found that the major points that could be addressed with packaging are establishing a standard for recycling and waste sorting labels, using these labels on all goods sold in the United States, improving the design of existing recycling labels, and making packaging that is easy to empty, clean, separate, and fold.</t>
  </si>
  <si>
    <t>packaging design, waste-sorting behavior, labeling standards, UX/UI Design, habitual behaviors, sorting package waste, sustainable behavior, plastic waste</t>
  </si>
  <si>
    <t>ParkJ_2024-page1.pdf</t>
  </si>
  <si>
    <t>Akshay S. Patel</t>
  </si>
  <si>
    <t>Impacts of Prescribed Burning on Landscapes and Species in the California Sierra Nevada</t>
  </si>
  <si>
    <t>The California Sierra Nevada is an ecologically fire-dependent, historically fire-excluded ecoregion that is a common candidate for prescribed burns (i.e., mixed-severity, managed fire events) to minimize wildfire risk. Treatments benefit biodiversity and forest structure, but also negatively impact species richness and vegetation composition through alien plant invasion. To understand the behavior and magnitude of degradation on a system-wide scale, I conducted the first spatial review of prescribed burns in the California Sierra Nevada ecoregion using CAL FIRE and LANDFIRE data, quantifying change in vegetation composition characteristics and vegetation departure across 154 initial treatments from 2017 to 2020. Additionally, I assessed the risk to conservation value on land selected to burn with permutation tests of four key metrics from the California Department of Fish and Wildlife. My results revealed a 324% average increase in exotic plants after 18% of treatments. Plant species richness did not generally increase as expected, and was characterized by unexpected variability. Burned vegetation most commonly shifted to chaparral and invasive grassland. Vegetation departure changed insignificantly after treatment, indicating additional management is needed to revert landscapes to their pre-European conditions. Every measured conservation value metric – species biodiversity, habitat connectivity, significant habitat, and climate resilience – was significantly different between land selected to burn and the greater ecoregion (p = 0.000). My findings suggest that a single treatment generally did not yield positive landscape change, and sometimes introduced highly impactful plant invasion. Ecosystem-specific strategies must be further refined for Sierra prescribed burning to be effective and ecologically responsible.</t>
  </si>
  <si>
    <t>Rx burns, invasive plant dynamics, conservation planning, remote sensing, fire ecology</t>
  </si>
  <si>
    <t>PatelA_2024-page1.pdf</t>
  </si>
  <si>
    <t>Karis Polfer</t>
  </si>
  <si>
    <t>Analysis of Rhizospheric Denitrifying Microbial Communities Along the Aliso Creek Estuary</t>
  </si>
  <si>
    <t>California estuarine ecosystems have faced increased stress due to the effects of climate change. Aliso Creek is a degraded watershed in Laguna Beach, CA that leads to the Pacific Ocean. Polluted waterways are detrimental to the health of humans and aquatic and terrestrial biomes. Excess nutrients such as nitrogen from anthropogenic sources continually pose a threat to water and sediment quality. Water quality must be maintained in the estuary by monitoring total nitrogen (TN), salinity, C:N ratios, and the diversity of the denitrifying microbial community associated with the rhizosphere. I collected rhizospheric sediment samples from Pulicaria paludosa along a transect gradient within the Aliso Creek Estuary Restoration Project boundaries. I used an Oakton CON 550 Benchtop Conductivity Meter to obtain the salinity level of each sample. I used an Elemental Analyzer to find TN concentrations and C:N ratios of each sediment sample. I used DNeasy Powersoil Kits for DNA extraction and conducted PCR to prepare a library sample pool, transferring them to the QB3 Sequencing Center at UC Berkeley to analyze the microbial communities in each sequence. I conducted statistical analyses to determine the microbial community diversity of bacteria along the transect gradient. I found that the alpha-diversity of each transect bound was not statistically significant when compared to salinity, TN, and C:N ratios (p &gt; 0.05), whereas there was statistical significance in the beta-diversity of each transect bound when compared to salinity (p = 0.039). This research will provide valuable insight into the future monitoring of the estuary to improve water quality for years to come.</t>
  </si>
  <si>
    <t>denitrification, 16S rRNA sequencing, salinity, C:N ratios, biogeochemistry</t>
  </si>
  <si>
    <t>PolferK_2024-page1.pdf</t>
  </si>
  <si>
    <t>Priya Riley</t>
  </si>
  <si>
    <t>Identifying Inefficiencies in California’s Grain Supply Chain</t>
  </si>
  <si>
    <t>The California grain supply chain is widely unresearched because grain is not a top-ten revenue crop for the state. However, Californian grain operations continue to hold and provide value throughout the state. Key stakeholders along the grain supply chain, defined in this study as grain growers, millers, and bakers, have faced challenges that have the potential to be fixed or improved if enough attention is allocated to their experiences. This research situates the state’s supply chain with qualitative and quantitative methods and investigates how it could be improved to better support the key stakeholders that provide us with local grain. Most wheat-flour-bread literature focuses solely on quantitative analysis of grain supply chains, mainly through mathematical models and yield efficiency. Through surveys, geospatial modeling, and an expert interview, I explore the geospatial makeup of the existing supply chain, the inefficiencies that key stakeholders experience, and how we can envision an efficient supply chain. Results show that most grain growers in the state operate on a small scale, but infrastructure along the supply chain is built for large-scale systems. Likewise, grain millers and bakers feel that there is an inadequate supply of high-quality, affordable, local grain. All three stakeholders of the supply chain would prefer a more local system. Results reveal the need for infrastructure and cooperation along the supply chain that can support those that uphold it. These findings can impact the creation of new or improved grain infrastructure, increase opportunities for stakeholder connections, and support the need for funding in the grain community or nonprofits.</t>
  </si>
  <si>
    <t>Wheat, whole grain, local, small-scale, sourcing and distribution</t>
  </si>
  <si>
    <t>RileyP_2024-page1.pdf</t>
  </si>
  <si>
    <t>Mina P. Rossman</t>
  </si>
  <si>
    <t>Urban Green Space and Social Cohesion at Nicholl Park in Richmond, CA</t>
  </si>
  <si>
    <t>Strong social cohesion in a community is important for human well-being. It is established that access to urban green spaces is associated with greater social cohesion for residents, but the specific physical green space features that contribute to this relationship and the mechanisms by which the effect happens are unclear. I conducted semi-structured interviews with people who use Nicholl Park in Richmond, CA, to understand their park use patterns, perceptions of the park, and how they interact with others in their community. Using frameworks from previous literature on social cohesion, I used these results to assess the state of social cohesion between people who use Nicholl Park. I found that people are drawn to the park because of its variety of recreational spaces and facilities, but that people are deterred from using the park due to its need for better maintenance, lighting, and access to restrooms. People who visit Nicholl Park more often, involved in structured recreation programs or community service at the park, feel more connected to the park and others who use it, which contributes to greater social cohesion overall. The findings of the study will be useful for determining what improvements can be made to the park's programs and management to bring more people to the space and strengthen social cohesion among local residents.</t>
  </si>
  <si>
    <t>perception, place attachment, community, [one more keyword], semi-structured interviews</t>
  </si>
  <si>
    <t>RossmanM_2024-page1.pdf</t>
  </si>
  <si>
    <t>Nayeli V. Rubio</t>
  </si>
  <si>
    <t>Understanding Consumer Perceptions of an EBT Incentive at a Student-run Grocery Collective in Berkeley, California</t>
  </si>
  <si>
    <t>SNAP incentive programs aim to make produce more accessible for SNAP users, who are shown to purchase and consume less fruits and vegetables than food secure individuals. However, a majority of these incentives are offered at farmers’ markets, which may not be accessible, convenient, or welcoming for SNAP users. This study investigated the use of an EBT incentive program called Fresh Creds offered at the Berkeley Student Food Collective, a nonprofit student-run grocery store in Berkeley, California. I collected 26 survey responses, conducted 5 participant interviews, and used storefront purchase data to illustrate trends and correlates of program use. I found that the convenience the storefront offers was the most important factor for storefront shopping, cited in 25 survey responses. However, I also found that this view of the BSFC as a convenience-style store limits the applicability of produce-centered programs. In most ways, program use was more limited by weaknesses of the storefront, while the program itself is generally appreciated. In agreement with existing literature, the incentive program offered at the BSFC is overall underutilized, making up 7% of total SNAP purchases. Program use could be increased with increased advertising, but greater use of the program will likely be best achieved through changes to the storefront overall. Greater product consistency and cultural inclusion of foods will likely bring in more customers and subsequently, lead to greater incentive use.</t>
  </si>
  <si>
    <t>Food security, Berkeley Student Food Collective, SNAP, Calfresh, nutrition</t>
  </si>
  <si>
    <t>RubioN_2024-page1.pdf</t>
  </si>
  <si>
    <t>Sabi Can Ruso</t>
  </si>
  <si>
    <t>Post-Fire Vegetation Recovery Dynamics of the Rim Fire in California, 2013-2021</t>
  </si>
  <si>
    <t>The increasing severity and frequency of wildfires have heightened the need for comprehensive analyses of their ecological impacts. This research conducts a temporal analysis of the 2013 Rim Fire, one of California's most severe wildfires. The data was calculated and summarized in Google Earth Engine (GEE). Firstly, burn severity maps were obtained from the RAVG program, and CBI was selected as the index to classify severity. High-severity patches were defined as pixels surrounded by eight immediate neighbors, each with a Composite Burn Index (CBI) of 4, where the patch size exceeded 0.5 hectares. A USGS Digital Elevation Model (DEM) was used to examine topographical effects, comparing south-facing slopes to north-facing slopes where the slope exceeded 15%. Finally, the Wang 2022 dataset was used to derive maps of fragmented land cover types. The results indicate that tree cover declined significantly more in areas of high burn severity. Most of the pixels were converted to shrubs, and bare fields decreased after a significant increase in the immediate year after the fire. Furthermore, south-facing slopes had a higher decrease in tree cover and increased shrubs. Finally, areas of high-severity patches had a significantly higher decrease in tree cover and bare fields, with shrubs taking over in these areas. Herbaceous pixels increased equally regardless of patch presence. This research underscores the critical need for targeted post-fire restoration strategies that consider the heterogeneity of burn severity, landscape features, and the impact of high-severity patches to facilitate effective recovery and resilience of fire-affected ecosystems.</t>
  </si>
  <si>
    <t>Burn Severity, High-Severity Patch, Slope, Aspect, Land Cover Change Analysis</t>
  </si>
  <si>
    <t>RusoS_2024-page1.pdf</t>
  </si>
  <si>
    <t>Abi Shiva</t>
  </si>
  <si>
    <t>Carbon Conscious Capital: Private Equity and Net Zero</t>
  </si>
  <si>
    <t>Balancing fiduciary responsibility with the integration of global climate considerations into investment decision-making presents a growing challenge for private equity firms. In the absence of strict governmental enforcement of environmental externalities, firms navigate varying strategies to reconcile long-term financial viability with climate concerns. Through interviews with six investment decision-makers, analysis of firm ESG/investment documents, and discussions with a Branch Chief of the Securities and Exchange Commission, this paper aims to delineate the current approaches of private equity firms towards climate issues, highlighting key challenges and identifying strategic approaches for investors to advance environmental goals. The research indicates that 13% of the top 50 firms have committed to full portfolio decarbonization by 2050, while 18% have set targets for median carbon intensity reduction in future investments. Furthermore, approximately $35 billion in private equity fund capital from top-50 firms were held in thematic investment funds focused on climate and social issues. This research implies that, while action on climate is forthcoming, the degree of credibility and impact of such action remains uncertain. Moving forward, investors must leverage three strategies to accelerate their climate ambitions: (1) develop the economic rationale for decarbonization within their portfolio companies, (2) collect and supply benchmarking data from private sector peers for their portfolio, and (3) utilize their market position to negotiate discounts on climate tools and forge coalitions.</t>
  </si>
  <si>
    <t>Carbon Emissions, Private Equity, ESG (Environmental, Social, and Governance) Impact Investing, Investment Firms</t>
  </si>
  <si>
    <t>ShivaA_2024-page1.pdf</t>
  </si>
  <si>
    <t>Mara G. St. Amant</t>
  </si>
  <si>
    <t>Wildfire Fuel Treatments and Long-Term Carbon Storage in California Mixed Conifer Forests</t>
  </si>
  <si>
    <t>Forest carbon storage has been identified as a major component of global climate change mitigation, but fire suppression and climate change has resulted in forests that are extremely vulnerable to catastrophic wildfire events in California. Fuel reduction treatments, like mechanical thinning and prescribed fire, require initial carbon removal, but can effectively mitigate wildfire behavior, resulting in reduced wildfire carbon loss. At the Blodgett Forest Research Station in the central Sierra Nevada, the Fire and Fire Surrogate study has been ongoing since 2001, in which identical units of mixed conifer forests have been randomly assigned one of four treatments: control, mechanical thin only, prescribed burn only, or mechanical thin and prescribed burn. I analyzed observed aboveground carbon stocks from 2001-2020, modeled wildfire mitigation effects of treatment on stable carbon stocks, and net carbon stocks using increasing estimates of annual wildfire probability. According to my results, net carbon stocks of the mechanical thin and prescribed burn treatment should exceed those of the control treatment when annual burn probability reaches 0.055, and all active treatments should exceed the control when annual burn probability reaches 0.075. My results indicate that as wildfire risk increases, the reduction in modeled wildfire emissions from fuel treatments outweighs the upfront carbon costs of treatment. Incentivizing short-term carbon storage in CA forests in the current carbon offset program framework is unsustainable. Forest carbon offset protocols should consider long-term net carbon storage of forests and the net effects of wildfire fuel treatments in offset credit issuance.</t>
  </si>
  <si>
    <t>Forest carbon offsets, net forest carbon storage, prescribed fire, mechanical thinning, annual burn probability</t>
  </si>
  <si>
    <t>StAmantM_2024-page1.pdf</t>
  </si>
  <si>
    <t>Qi Jia Sun</t>
  </si>
  <si>
    <t>Using Carbon Fluxes and Spectral Bands to Model Ecosystem Processes in Wetlands</t>
  </si>
  <si>
    <t>Wetlands serve as significant carbon sinks in global climate dynamics. However, their sensitivity to climate variability can convert them quickly into carbon sources under adverse climate conditions. This study explores the efficacy of lidar technology in providing high-resolution data to model wetland carbon flux and vegetation structure. By employing a combination of UAV-based LiDAR surveying and multispectral imaging, this research gathered extensive ecological and topographical data from three wetland sites within the Sacramento San Joaquin River Delta: Twitchell Island, Mayberry Slough, and Dutch Slough. This paper focused on three primary objectives: 1) to evaluate the potential of LiDAR data in calculating NDVI, 2) to evaluate the potential of LiDAR data in estimating carbon flux within wetlands and 3) to develop and test a graph neural network designed to predict carbon fluxes through lidar statistics and multispectral imagery data. Data processing and exploratory analysis were conducted using software tools to process, analyze, and visualize LiDAR and multispectral data, revealing significant correlations between LiDAR-derived features such as point density, intensity, and elevation with carbon flux. The findings demonstrate that LiDAR offers a promising tool for ecological modeling and carbon flux estimation in wetland ecosystems. By modeling the data with a graph neural network, the study highlights the challenges associated with the data and emphasizes the potential of remote sensing technologies to elevate ecological monitoring and conservation strategies.</t>
  </si>
  <si>
    <t>LiDAR, wetlands, carbon flux, NDVI, graph neural networks, LiDAR statistics, modeling</t>
  </si>
  <si>
    <t>SunQJ_2024-page1.pdf</t>
  </si>
  <si>
    <t>Xiangrong (Mark) Sun</t>
  </si>
  <si>
    <t>Short-term Responses of Terrestrial Ants Populations to Forest Thinning in the Santa Cruz Mountains</t>
  </si>
  <si>
    <t>As wildfires increase in frequency and intensity in California, forest thinning has emerged as a pivotal silvicultural strategy to mitigate fire risks and enhance ecosystem resilience. This study examined the ecological effects of forest thinning on terrestrial ant populations within Santa Cruz, California. Employing ants as bioindicators, we set up pitfall-traps to sample them over four sampling periods in two years of time. We then assessed changes in their abundance, species richness, and community composition across nine sites using a randomized block design. Our results reveal that post-thinning, the total abundance of ants significantly declined, with the most substantial decrease observed in the high canopy retention treatment. Similarly, species richness consistently diminished across all thinning intensities. Notably, statistical analysis highlighted a significant relationship between environmental factors and ant abundance pre-thinning, with temperature positively correlated and humidity negatively correlated. However, these effects lessened post-thinning, indicating that thinning alters microclimatic conditions influencing ant populations. Seasonal analysis further demonstrated significant variations, with ant abundance significantly reduced in winter compared to spring. Despite extensive thinning, the ants community composition showed moderate but not statistically significant shifts. These results underline the intricate dynamics between forest management practices and ant population responses, suggesting that both anthropogenic and natural factors should be carefully considered to sustain biodiversity and ecosystem health. Future research should continue to explore the interactive effects of seasonality and environmental management practices to refine our strategies for biodiversity conservation in forested ecosystems.</t>
  </si>
  <si>
    <t>forest ecology, ant biology, population ecology, ecological management, seasonal variations</t>
  </si>
  <si>
    <t>SunX_2024-page1.pdf</t>
  </si>
  <si>
    <t>Violet Tahsini</t>
  </si>
  <si>
    <t>Debugging Bat Tracking on a Central Iowa Wind Farm: Support Vector Machine for Flying Object Classification</t>
  </si>
  <si>
    <t>Wind energy development can threaten migratory species of bats, due to often fatal collisions with turbines. Estimates of fatalities at facilities in the United States were placed at 15.3-41.1 bats per megawatt of installed capacity per year. Thermal cameras used to track bat activity often capture other objects, namely flying insects, that are indistinguishable from bats in the footage. Thus, I attempted to use Support Vector Machine to sort objects on a central Iowa wind farm into two domains – one for each class. Using the objects’ reconstructed flight tracks, I found that one class generally had 50 or more points per track and a value of 5-10 for distance between points, which I suspected were bats, while the other class had 40 or less points per track and a range of 5-30 for distance between points. Additionally, I found that shutting down turbine operation at low wind speeds has shown success at reducing bat fatalities by approximately 60%. My results could be used to sort flying object tracks in the future based on their location in one domain or the other, and improve the efficiency of bat tracking and mitigation.</t>
  </si>
  <si>
    <t>supervised learning algorithm, wind energy, machine learning, object identification, bat fatalities</t>
  </si>
  <si>
    <t>TahsiniV_2024-page1.pdf</t>
  </si>
  <si>
    <t>Jiawen Tang</t>
  </si>
  <si>
    <t>Atmospheric River and Precipitation: Climate Change and Land Surface Temperature Impact, 1995-2015</t>
  </si>
  <si>
    <t>Atmospheric rivers (ARs) were the focus of my study, as they are narrow corridors of water vapor transport that played a crucial role in delivering precipitation to the west coast of North America. Unlike tropical cyclones, ARs possessing relatively low energy but have significant socio-economic impacts through intense precipitation. Recent studies had identified a strong correlation between sea surface temperature (SST) and atmospheric water vapor content, which is a key factor in AR intensity ratings. Under climate change, land surface temperatures (LST) exhibited more pronounced fluctuations than SST, yet the implications of these changes on precipitation dynamics remained underexplored. I utilized the Atmospheric River Catalog SIO-R1 and the reanalysis model MERRA-2 to investigate the precipitation caused by landfalling ARs on North America's west coast from 1995 to 2015. I focused on how variations in LST influenced precipitation and the efficiency of water vapor conversion to precipitation. My findings revealed a marked seasonality in ARs, with peak precipitation intensities occurring at intermediate temperatures. There was a notable inconsistency between water vapor and precipitation in seasonal variation. During the rainy season, higher pre-precipitation LSTs were linked to an increased likelihood and intensity of extreme precipitation events, especially at higher latitudes. The intensity of extreme precipitation increased by over 7%/K, above the rate of increase in water vapor, highlighting the critical role of local LST in predicting precipitation from ARs. This research underscored the need for a more systematic investigation into the interplay between LST changes and precipitation conversion in the context of warming climates.</t>
  </si>
  <si>
    <t>Extreme weather events, Water vapor transport, Temperature anomaly, Climate change, Atmospheric modeling</t>
  </si>
  <si>
    <t>TangJ_2024-page1.pdf</t>
  </si>
  <si>
    <t>Carrie Thang</t>
  </si>
  <si>
    <t>Measuring the Total Microplastics in Marsh Creek– Upstream and Downstream of the Brentwood Wastewater Treatment Plant</t>
  </si>
  <si>
    <t>Microplastic pollution in freshwater ecosystems is a growing concern with detrimental impacts on aquatic ecosystems and human health. There is limited research on microplastics in freshwater ecosystems and challenges to detect and efficiently remove microplastics from wastewater due to lack of standard protocol and removal technologies. This study investigates the presence and distribution of microplastics in Marsh Creek, focusing on the potential contribution of WWTP effluent to microplastic pollution. I took surface water and benthic samples and physical and chemical assessments at 4 sites along Marsh Creek, upstream and downstream of the discharge point on February 11, 2024. To process the samples, I performed filtration, digestion, density separation, quantification, and sorting. Surface water and benthic samples revealed higher total microplastics in the benthic zone (78.02 MP/g) than the surface water (51.90 MP/m3). The benthic zones contain different substrates with varying capacities to hold microplastics, while surface water microplastics are easily transported with less time to settle. Fibers were the predominant type of microplastic (99.77% of the total microplastics in the surface water, 98.79% in the benthic zone). Upstream sites exhibited higher total microplastic counts than downstream sites, suggesting that the WWTP is not contributing much microplastics. Despite downstream containing half as many microplastics compared to upstream, factors such as flow rate, discharge volume, seasonality, substrate type, and other potential sources of microplastics to the stream should be considered. Nonetheless, downstream sites with WWTP-contributed effluent contained microplastics, indicating the need for improved filtration methods.</t>
  </si>
  <si>
    <t>Freshwater systems, pollution, urban stream, effluent discharge, plastic contamination</t>
  </si>
  <si>
    <t>ThangC_2024-page1.pdf</t>
  </si>
  <si>
    <t>Jane Tovar</t>
  </si>
  <si>
    <t>Harvesting Food Insecurity: Exploring Food Access Challenges Among Gilroy's Farmworkers and the Role of SB 1000</t>
  </si>
  <si>
    <t>Food insecurity is a widespread public health and environmental justice issue. Despite the abundance of food in the United States, 12% of the U.S. population experienced food insecurity in 2022. Food insecurity arises due to various factors categorized within the 5 A's of food security: availability, accessibility, adequacy, acceptability, and agency. Farmworkers, who form the backbone of the U.S. agricultural economy, consistently face some of the highest rates of food insecurity. This study explored food insecurity challenges among Gilroy’s farmworkers and examined the potential of a new environmental justice land use policy, SB 1000, to address these issues. Through a survey assessing food insecurity, the study found significant levels among farmworkers, with 79% of Hispanic respondents and 100% of Hispani farmworkers experiencing food insecurity in the past 12 months. Accessibility emerged as a primary concern, with farmworkers struggling with physical and economic access to food. Semi-structured interviews with SB 1000 policy researchers revealed that the implementation of SB 1000 provides an opportunity to prioritize food justice at the local level. These interventions include prioritizing land for affordable housing and community gardens. By examining the situation in Gilroy, the study offers insights applicable to other agricultural communities and emphasizes the importance of promoting food security and equity.</t>
  </si>
  <si>
    <t>Food security, environmental justice, food justice, land-use planning, agricultural labor, local policy</t>
  </si>
  <si>
    <t>TovarJ_2024-page1.pdf</t>
  </si>
  <si>
    <t>Jenny C. Tseng</t>
  </si>
  <si>
    <t>Rethinking School Lunch Oakland: School Meal and Farm to School Program Reform</t>
  </si>
  <si>
    <t>The National School Lunch Program is the second largest federal food assistance program. It is a unique setting to determine how we can environmentally improve our food system, which is driving both a rise in environmental degradation and diet-related illnesses, because it serves a large population of grade school students, whose future eating habits are shaped by dietary patterns formed in adolescence. Farm to school programs, which increase access to fresh, healthy foods in school meal programs through local food purchasing and strengthen students’ connections to local food systems, are now established at over half of U.S. schools. My thesis explores how current work to implement comprehensive school meal reform in Oakland Unified School District is responsive to school site level needs to support healthy eating and environmental literacy. I qualitatively analyzed 87 interviews from 16 different elementary schools across three academic years (before and after the COVID-19 pandemic and garden and kitchen facility renovations) from conversations with teachers, principals, parents, and administration. In the academic years 2016-18, interviewees expressed negative perception of school meal taste and appearance and a desire for more scratch-cooked, culturally relevant meals. They highlighted a general disconnect between farm to school and school meal programming. In academic year 2023-24, participants expressed positive perceptions of the salad bars, which are now in every elementary school, but still expressed desire for more nutritious and scratch-cooked meals. The new garden and kitchen facilities renovations have improved farm to school programming at elementary schools.</t>
  </si>
  <si>
    <t>National School Lunch Program (NSLP), school meal program, Oakland Unified School District (OUSD), food security, garden education</t>
  </si>
  <si>
    <t>TsengJ_2024-page1.pdf</t>
  </si>
  <si>
    <t>Jocelyn D. Uriarte</t>
  </si>
  <si>
    <t>The Potential of Bioremediation Techniques to Enhance Soil Revitalization in Degraded California Landscapes</t>
  </si>
  <si>
    <t>Rapid urbanization has led to significant technological advancements yet has altered ecosystems and influenced surrounding environments, notably affecting soil processes. Vehicular emissions contribute to soil pollution, disrupting soil equilibrium and nutrient balance, ultimately compromising soil health and ecosystem stability. This study investigates the complex dynamics between microbial communities, invasive species, and soil fertility, aiming to enhance understanding for sustainable land management practices. Employing a holistic approach, this research examines soil fertility in proximity to roads, where car emissions catalyze microfauna encroachment and invasive flora growth. Findings reveal that mixed inoculant treatment optimally enhanced soil fertility with NPK values reflecting optimal levels of nitrogen (MED-2) and phosphorus (M1-2: LOW-1 to M3-4: MED-2). The fungal treatment improved the most in soil texture and fertility, decreasing the number of microaggregates and improving macroaggregate formation stability, reflecting on the efficient photosynthesis uptake (Plot F4 Leaf SA 34.92 cm^2), and deep root penetration of Tall fescue (F4-12.41g) going into the rangeland with least amount of car emission impact. However, compaction impedes invasive Tall fescue growth (Plots B1-3) near roadsides. Implications of this study underscore the suitability of bioremediation techniques near roads and emphasize the importance of understanding plant-soil-microbe interactions for enhancing remediation efficiency. Establishing long-term monitoring and adaptive management strategies crucial for ensuring resilience and sustainability of roadside ecosystems against urbanization-induced degradation.</t>
  </si>
  <si>
    <t>NPK, microbial processes, invasive plant encroachment, organic amendments, macroinvertebrates, anthropogenic activity</t>
  </si>
  <si>
    <t>UriarteJ_2024-page1.pdf</t>
  </si>
  <si>
    <t>Elaine-Jane S. Viloria</t>
  </si>
  <si>
    <t>UC Berkeley Students’ Perceptions and Consumption of Green Cosmetics</t>
  </si>
  <si>
    <t>The cosmetics industry faces many environmental challenges and is transitioning to green cosmetic products that are made to be more sustainable. The switch to green cosmetics for the industry and students especially may be attributed to exposure to environmental education (EE), which is what my thesis aims to explore. I interview industry professionals to determine the extent of EE’s influence on the production of green products and I survey UC Berkeley students to determine their propensity to buy green products given their EE exposure (completion of the American Cultures requirement and sustainability courses) and existing consumer perceptions (value, ethicality, and green product knowledge). The interviews revealed the importance of consumer demand. Additionally, the responses demonstrated the necessity to integrate EE within the cosmetics industry and expose people to consumer-focused EE. The survey results showed that priority for green products varies, such as facial versus body products. Consumption of cosmetics also largely depends on socioeconomic factors (56.4% of students ranked price the most important factor) and individualized needs such as acne. There was also an insignificant difference in green product knowledge between students who are more exposed to EE and those who are less exposed. These results suggest the lack of consumer-focused EE at UC Berkeley, despite the large range of topics that the institution offers. This thesis can be applied to other academic institutions that are looking to improve their EE programs and even the general public’s exposure to consumer-focused EE.</t>
  </si>
  <si>
    <t>Environmental education (EE), sustainability, consumer packaged goods, consumer perceptions, greenwashing</t>
  </si>
  <si>
    <t>ViloriaE_2024-page1.pdf</t>
  </si>
  <si>
    <t>Isabel K. Wamsteker</t>
  </si>
  <si>
    <t>Wetland Restoration in the San Joaquin Delta: Modeling the Impacts of Seasonality and Variation of Water Levels on the Greenhouse Gas Budget</t>
  </si>
  <si>
    <t>Wetlands are very sensitive ecosystems that can switch from a carbon sink to a carbon source depending on key variables. Management and efficient water use by wetlands should be examined to determine which water regimes optimize carbon sequestration. These management decisions must be informed by the potential greenhouse gas budget (GHG budget) of the wetland and the factors influencing this budget: light availability, air temperature, and season. My study determines the impact of seasonality and varying water regimes on the methane released from wetlands through the input of air temperature, GPP (Gross Primary Production), Reco (ecosystem respiration), PAR (Photosynthetically Active Radiation), EVI (Enhanced Vegetation Index), and three different water level regime data into the PEPRMT model (Peatland Ecosystem Photosynthesis Respiration and Methane Transport) to produce the output of the methane pulse of the wetland. The units are then converted to represent the methane flux in terms of carbon and then converted again to represent the GHG budget in terms of carbon dioxide. There is a positive relationship between light availability and methane emitted as well as an exponential relationship between air temperature and the methane pulse emitted from wetlands. Furthermore, the model results in contradicting outcomes to most scientific literature on this subject by suggesting the original water table height produces the most methane emissions compared to the expected high water table height. In conclusion, this study could provide the East End wetland managers with key information about water usage in order to improve the efficiency of such an invaluable resource.</t>
  </si>
  <si>
    <t>PEPRMT model, carbon flux, light availability, air temperature, methanogenesis</t>
  </si>
  <si>
    <t>WamstekerI_2024-page1.pdf</t>
  </si>
  <si>
    <t>Ian S. Wang</t>
  </si>
  <si>
    <t>Identity &amp; the Environment: Social Factors that Shape Our Relationship with Environmental Spaces</t>
  </si>
  <si>
    <t>In order to fully address environmental problems of our time, we need diverse perspectives to take on leadership roles. To do so, we need to prime young children and students to help them feel comfortable in environmental spaces. However, if young children and students of different cultural or ethnic backgrounds have different experiences in environmental spaces, we might not be generating a diverse pool of environmental stewards we are looking for. My thesis asks the question, “How do culture and ethnic identity influence a person’s relationship with environmental spaces?”. My study includes a survey that collected over 400 responses, as well as information from 11 interviews of environmental professionals to explore personal experiences in navigating these spaces. The combination of doing a survey and interviews allowed for a comprehensive collection of both quantitative and qualitative data. My data shows that people of all cultural backgrounds and ethnic identities experience a variety of challenges with entering environmental fields. However, my data also shows that BIPOC individuals experience lower feelings of belonging, feelings of comfort outside, feelings of community, enthusiasm for environmental issues, exposure to nature while young, and support from family. In order to address both general challenges and POC-specific challenges, we need to focus on environmental education programming, better funding for public lands, parks, and environmental organizations, investment into outdoor recreation opportunities for children, and DEIBJ initiatives in environmental spaces.</t>
  </si>
  <si>
    <t>ethnic identity, culture, social science, environmental careers, outdoor recreation</t>
  </si>
  <si>
    <t>WangI_2024-page1.pdf</t>
  </si>
  <si>
    <t>Benjamin S. Weinberger</t>
  </si>
  <si>
    <t>Characterizing VOC Emissions and Plume Dynamics from an Oakland, CA Recycling Fire</t>
  </si>
  <si>
    <t>Air pollution in urban areas remains a major health hazard despite decades of regulatory progress to reduce emissions. Majority black and Hispanic communities experience disproportionately higher concentrations of ambient air pollution than white communities, sometimes because they are located closer to industrial sources of pollution. This study examines emissions from fire at a metal recycling facility in Oakland, CA that released substantial amounts of hazardous VOCs and impacted air quality in the San Francisco Bay Area. We combined VOC measurements from a Vocus proton transfer reaction time-of-flight mass spectrometer (PTR-ToF-MS) located near the fire (in Berkeley, CA) with particulate matter with diameter smaller than 2.5 micrometers (PM2.5) measurements from PurpleAir sensors located across the affected areas. The combination of data from higher-cost, low spatial-density instruments and lower-cost, high spatial-density sensors enabled the estimation of VOC concentrations in the immediate vicinity of the fire where direct measurements could not be collected. Source attribution of VOCs measured in Berkeley to the fire in Oakland was supported by model results from HYSPLIT. We estimated the 1-hour peak average concentration of multiple hazardous VOCs in the area nearest to the fire using the dilution factor (0.07) calculated from the PM2.5 measurements in both locations (benzene: 4.2 ppb, styrene: 4.8 ppb). While measurements did not support the conclusion that either PM2.5 or hazardous VOC regulatory standards were exceeded following the fire, the elevated concentrations of multiple pollutants concurrently could have led to adverse health effects for nearby residents.</t>
  </si>
  <si>
    <t>environmental justice, air pollution, lower-cost sensor networks, particulate matter with diameter ≤ 2.5 micrometers (PM2.5), proton transfer reaction time-of-flight mass spectrometer (PTR-ToF-MS), hazardous air pollutants (HAPs), benzene, styrene</t>
  </si>
  <si>
    <t>WeinbergerB_2024-page1.pdf</t>
  </si>
  <si>
    <t>Finnian Whelan</t>
  </si>
  <si>
    <t>Redlining’s Legacy and Gentrification in Urban Wilderness: Human Risk Perception of Coyotes in San Francisco, 2017-2022</t>
  </si>
  <si>
    <t>Research regarding urban human-wildlife conflict and human risk perception of urban wildlife has extended to encompass the dynamism of the social-ecological human-wildlife interface in our cities. Both human-wildlife conflict and risk perception of wildlife are correlated with certain socioeconomic identifiers. San Francisco has a complex socioeconomic history and landscape, molded by redlining and gentrification. In San Francisco, human-coyote conflict has been shown to have a significant association with neighborhoods of high household median income. To understand how city policy, development, and redesign impacts the human-coyote interface through spatial distributions of socioeconomic-related risk perception, it is critical to look at patterns of conflict over historic and current heterogeneous socioeconomic grades like redlining and gentrification. In this study, I used coyote observation reports detailing sightings and conflict that were sent to San Francisco Animal Care and Control from 2017 to 2022. Using Chi-Squared tests and Geographically Weighted Regression, I analyzed the relationship between conflict and redlining grades, and conflict and gentrification. While there was no significant correlation between redlining and instances of human-coyote conflict in both analyses (Chi-squared p = 0.0591), there was a positive correlation between instances of conflict and areas that are experiencing advanced gentrification or financial exclusivity (Chi-squared p &lt; 0.0001). Knowing these socioeconomic identifiers are related to higher instances of perceived conflict and, therefore, likely higher risk perception can inform the spatial distribution of future education campaigns to minimize risk perceptions of coyotes.</t>
  </si>
  <si>
    <t>urban human-wildlife interface, human-coyote conflict, financial exclusion, landscapes of socioeconomic heterogeneity, geospatial regression</t>
  </si>
  <si>
    <t>WhelanF_2024-page1.pdf</t>
  </si>
  <si>
    <t>Whiting W. Nicholas</t>
  </si>
  <si>
    <t>GIS-based Suitability Analysis for PV Site Selection in Switzerland</t>
  </si>
  <si>
    <t>The transition to renewable energy is crucial for addressing climate change and ensuring energy security, with Switzerland positioned to lead in this shift. This study focuses on identifying optimal locations for photovoltaic (PV) farms through a comprehensive analysis combining Geographic Information Systems (GIS), economic modeling, and policy evaluation. Using data from government and private sources, I examined key factors such as solar irradiation, land suitability, economic viability, and policy influences. The GIS-based analysis revealed that the southern regions of Switzerland, particularly the Alps, offer high solar exposure, moderate temperatures, and strong infrastructure connections, making them ideal for PV development. An economic assessment of comparable projects indicated that PV farms in these regions have competitive installation costs, with a levelized cost of electricity (LCOE) as low as $14.03/MWh, contributing to a favorable payback period. The policy review highlighted supportive measures, such as feed-in tariffs of $0.20 per kWh, decreasing over time, and tax rebates covering up to 30% of installation costs, while also noting potential regulatory hurdles. My findings suggest that Switzerland's southern regions are highly suitable for PV development, contributing to the country's sustainability goals, while legislative and public concerns regarding Alpine developments highlight the need for balanced solutions. My study's integrated approach offers insights for renewable energy development in Switzerland and similar contexts.</t>
  </si>
  <si>
    <t>renewable energy, photovoltaics, Geographic Information Science, economic modeling, policy review</t>
  </si>
  <si>
    <t>WhitingN_2024-page1.pdf</t>
  </si>
  <si>
    <t>Sandya Wijaya</t>
  </si>
  <si>
    <t>Harnessing Machine Learning Insights for Effective Policy Projections: A Study of Single-Use Plastic Bag Bans in Indonesia</t>
  </si>
  <si>
    <t>Plastic pollution poses a significant environmental challenge globally, prompting governments to implement policies aimed at mitigating its adverse effects. In this study, I employ predictive modeling techniques to predict the effectiveness of plastic policies in cities of Indonesia where such interventions have not been previously employed. Specifically, I explored single-use plastic bag bans. I explored 9 different models but the best performing one was a XGBoost model with default parameters. I also performed causal inference analysis, using outcome regression and inverse propensity weighting to confirm that there is a causal link between plastic bag bans and plastic pollution. My findings reveal population as a key determinant influencing the impacts of plastic bag bans on pollution levels, that there is a 2 year delay between when a ban is implemented to when reported numbers start to change, and that coastal cities are more likely to see decreases in plastic if a ban is implemented. By elucidating the impacts of plastic bag bans effectiveness, this study informs strategic resource allocation and policy formulation efforts, contributing to the advancement of environmental governance practices in Indonesia and beyond.</t>
  </si>
  <si>
    <t>Indonesia, policy, single-use plastic bag ban, predictive modeling, causal inference</t>
  </si>
  <si>
    <t>WijayaS_2024-page1.pdf</t>
  </si>
  <si>
    <t>Britney R. Wu</t>
  </si>
  <si>
    <t>Impacts on Santa Cruz County, California’s Landscape and Community from Major Flood Events</t>
  </si>
  <si>
    <t>As natural disasters continue to increase in frequency and intensity due to climate change, extreme hydrologic events have heavily impacted many communities. In December 2022 and January 2023, storms swept into the United States West Coast, bringing heavy precipitation, widespread flooding, and dangerous landslides. This study investigates how the California landscape, specifically Santa Cruz County, reacted to the December 2022 and January 2023 rainstorms. Most flood hazard maps depict only coastal storm surge flooding and fluvial (riverine) flooding, and not pluvial (rainfall) flooding, which is an issue with mapping flooding in urban areas. By mapping observed flood data, I identified areas of widespread flooding. I analyzed the flood maps in relation to land cover classifications, physical and geographic factors, and socioeconomic factors, finding common characteristics that suggest higher flood occurrence. I found that more flooding occurred in land types containing soils with less vegetation and more degradation, thus causing higher runoff. Within the physical and geographic factor analysis, agricultural areas flooded more (8.55% in January 2023) due to their proximity to the river floodplain. Within built areas, more flooding occurred in areas with higher percentages of impervious surfaces. Current literature about past flood events, along with media coverage of the flood event, suggested that flooding disproportionately affected those from disadvantaged populations. Overall, this study supports mitigation strategies for flood risk management by identifying area types (i.e. agricultural cropland, urban areas) to monitor closely during flood events, thereby reducing loss of life and property.</t>
  </si>
  <si>
    <t>flood modeling, GIS, pluvial flooding, fluvial flooding, Pajaro River</t>
  </si>
  <si>
    <t>WuB_2024-page1.pdf</t>
  </si>
  <si>
    <t>Ethan Xie</t>
  </si>
  <si>
    <t>The Influence of Dam-Induced Conditions on the Spatiotemporal Distribution and Size Structure of Rainbow Trout at Lower Putah Creek</t>
  </si>
  <si>
    <t>Dams exist throughout much of California’s watersheds to regulate freshwater resources for various societal functions. Although dams offer a number of benefits to carry out these services, they can act as physical barriers restricting fish dispersal and body development of important salmonids like rainbow trout. Using long-term fish monitoring and stream condition datasets, I investigated how the Putah Diversion Dam and a pivotal management act called the Putah Creek Accord have impacted the spatial distribution and size structure of two rainbow trout populations at lower Putah Creek from 1993 to 2018. I performed linear regressions to estimate the rate at which rainbow trout abundance, body characteristics (fork length and weight), and their corresponding stream conditions (discharge and temperature) have changed over time. I conducted a series of ANOVA tests to determine if site, time period, and stream conditions influenced differences in rainbow trout abundance and body characteristics. I found that the number of rainbow trout at site 1 (upstream) have increased at a 7 times faster rate than at site 2 (downstream). Rainbow trout at site 1 and 2 were significantly larger on average after 2000, but their body characteristics were not statistically different between sites. Stream temperature, rather than discharge, appeared to contribute to significant differences in both rainbow trout populations. I conclude that rainbow trout abundance and body composition has largely improved in more recent years. Findings from this study will help inform future dam operations to best serve societal water needs, while promoting rainbow trout recruitment.</t>
  </si>
  <si>
    <t>abundance, body condition, discharge, salmonid, temperature</t>
  </si>
  <si>
    <t>XieE_2024-page1.pdf</t>
  </si>
  <si>
    <t>Erinne K. Yoo</t>
  </si>
  <si>
    <t>Hydroclimate Impacts on Phytoplankton Community Composition and Abundance in the Lower Sacramento-San Joaquin River Delta, 2008-2022</t>
  </si>
  <si>
    <t>Phytoplankton, as the base of the trophic food web, plays a crucial role in supporting the freshwater ecosystem in the lower Sacramento-San Joaquin River (Delta). However, hydroclimatic fluctuations alongside altered water systems in the Delta waters have influenced phytoplankton dynamics. Studying spatiotemporal variation of phytoplankton communities in different hydrological settings was necessary to understand its productivity. I examined the long-term trends in the composition and abundance of six major phytoplankton taxa, the seasonal variations in the species density during both wet and dry water years, and the impact of hydrological parameters (conductance, salinity, temperature, turbidity, and velocity) on the population across three distinct water bodies (saline, brackish, and fresh). For the time series analysis of the phytoplankton communities and hypothesis testing, I used two datasets, phytoplankton (2008-2022) and hydrological parameters (2010-2022), to apply in the multivariate autoregressive model. I found that the extreme abundance of Cyanophyceae disrupted community diversity, while the other five taxa—Bacillariophyceae, Chlorophyceae, Coscinodiscophyceae, Cryptophyceae, and Fragilariophyceae—remained low in abundance across all sites. Phytoplankton generally flourished more in wet seasons during wet and dry water years. Conductance followed by salinity were the most critical drivers for the variations in community; each had the lowest AICc values with 663.15 and 666.18 respectively. These results suggest freshwater inflow and water quality management is impactful in regulating both the density and the diversity of phytoplankton within the Delta ecosystem, in light of anticipated hydroclimate anomalies.</t>
  </si>
  <si>
    <t>multivariate autoregressive model, population dynamics, primary productivity, spatiotemporal trends, time series analysis</t>
  </si>
  <si>
    <t>YooE_2024-page1.pdf</t>
  </si>
  <si>
    <t>Alina L. Zárate</t>
  </si>
  <si>
    <t>Assessment of Multivariate Drought Impacts on Agriculture in Central Chile for the Enhancement of Sustainable Adaptation</t>
  </si>
  <si>
    <t>Over the past decade, Chile has suffered under “Mega-drought” conditions placing significant pressure on agricultural production. In response to the crisis, the Chilean government has moved to promote sustainable agricultural practices to increase agricultural resilience in a changing climate. This research focuses on multivariate drought impacts on Chile’s most productive agricultural regions, the Región Metropolitana de Santiago and the Región O’Higgins, to spatially characterize priority areas for sustainable adaptation based on overall vulnerability to drought. To address this topic, I posed the following: (1) How have meteorological conditions, streamflow levels, and vegetation conditions in agricultural areas changed from non-drought years (2000-2009) to drought years (2010-2020)? (2) Based on meteorological, streamflow, and vegetation condition factors, which agricultural areas are most susceptible to drought conditions and where should Chilean sustainable agricultural development be focused? The Palmer Drought Severity Index, the Standardized Streamflow Index, and the Vegetation Condition Index were used to calculate changes in meteorological, hydrological, and agricultural drought severity respectively from 2000-2020 derived from the Catchment Attributes and Meteorology for Large Scale Studies, Chile Dataset and Landsat 5, 7 ETM+, and 8 satellite imagery. Index values were compared by running a suitability analysis in ArcGIS Pro. Overall, high vulnerability agriculture is located primarily in the Región Metropolitana de Santiago and did not correspond to areas identified by the Chilean government’s Ministry of Public Works as facing severe drought. This research improves our understanding of combining drought indices to determine agricultural vulnerability and inform the implementation of sustainable adaptation in Chile.</t>
  </si>
  <si>
    <t>remote sensing, PDSI, VCI, SSI, GIS</t>
  </si>
  <si>
    <t>ZarateA_2024-page1.pdf</t>
  </si>
  <si>
    <t>Yichen Zhao</t>
  </si>
  <si>
    <t>Managing Fukushima Daiichi Nuclear Wastewater: Exploring the Ocean Discharge Option</t>
  </si>
  <si>
    <t>The Fukushima Daiichi nuclear disaster of March 2011 precipitated a multifaceted challenge in managing the resulting contaminated water at the Fukushima Daiichi Nuclear Power Plant. Accumulation of contaminated water from cooling processes and groundwater seepage has necessitated urgent action to address limited storage capacity. One proposed solution is the ocean discharge of treated wastewater, which has sparked debates and raised concerns among stakeholders. This paper provides an overview of the Fukushima Daiichi disaster, examines the rationale behind the ocean discharge proposal, and assesses its potential benefits and drawbacks. Drawing on stakeholder perspectives, including those of the Japanese government, local residents, and the international community, the paper explores the complexities of decision-making in managing nuclear wastewater. It highlights the importance of balancing environmental, health, and economic considerations and emphasizes the need for continued dialogue, transparency, and collaboration in navigating this complex issue. By synthesizing available evidence and research findings, this paper contributes to a nuanced understanding of the environmental and societal implications of nuclear waste water release in Japan, emphasizing the importance of informed decision-making and effective risk communication in nuclear waste management.</t>
  </si>
  <si>
    <t>Nuclear waste disposal, Marine ecosystem health, Socioeconomic implications, Environmental risk assessment, Public perception and awareness</t>
  </si>
  <si>
    <t>ZhaoY_2024-page1.pdf</t>
  </si>
  <si>
    <t>Théa C. Adumitroaie</t>
  </si>
  <si>
    <t>Seasonal Dynamics of Soil Moisture Effects on Vegetation Productivity of an Oak Woodland Savanna and Grassland Ecosystem in Northern California</t>
  </si>
  <si>
    <t>Climate change continues to cause extreme weather patterns through droughts or excessive rainfall, affecting the functioning of terrestrial ecosystems. This study delves into the impacts of weather variation and soil moisture levels on the productivity of two distinct ecosystems: oak woodland savanna and grassland. It uncovers the variability and complexity in the relationship between soil moisture, vegetation productivity, and other environmental and biophysical variables, with a specific focus on energy balance fluxes and gross primary productivity (GPP) using eddy covariance data. In a wet year in an oak woodland savanna and grassland, the total amount of GPP assimilated over the growing season was 434.76 g C m-2 d-1 and 135.10 g C m-2 d-1 respectively, with SWC ranging from 3.89% to 52.91% and 4.28% to 50.12%. In the dry year, the total amount of GPP during the growing season for the oak woodland savanna and grassland reached 348.96 g C m-2 d-1 and 135.10 g C m-2 d-1 respectively, with SWC ranging from 4.28% to 50.12% and 1.40% to 52.94%. Through an analysis of different MODIS products and their correlations with vegetation indices, the study offers critical insights into the dynamics of soil moisture and GPP. In the oak woodland savanna and grassland, soil moisture lagged 17 days and lagged 16 days in the wet year and 28 days and 12 days in the dry year respectively. Overall, these findings call attention to the resilience of the oak woodland savanna ecosystem to soil moisture changes, in contrast to the grassland's overall lower productivity and resistance. This research provides an updated analysis of two Northern California ecosystem responses to environmental changes, informing ecological management strategies for maintaining ecosystem functioning and resilience.</t>
  </si>
  <si>
    <t>Water availability, eddy covariance, MODIS satellite data, ecosystem functioning, GPP</t>
  </si>
  <si>
    <t>AdumitroaieT_2023-page1.pdf</t>
  </si>
  <si>
    <t>https://www.ocf.berkeley.edu/~pkmendez/envsci/projects/2023final/</t>
  </si>
  <si>
    <t>Mariam Alsaid</t>
  </si>
  <si>
    <t>Groundwater Necrophagy: The Role of Dead Microbes on the Subsurface Microbiome</t>
  </si>
  <si>
    <t>Much of the earth’s carbon is stored underground due to microbes' significant role in carbon cycling. Recent studies have suggested that necromass (ie. non-living microbial biomass) may constitute a large portion of the subsurface carbon pool. This raises the question of how living subsurface microbes interact with necromass and whether they are a driving force in its turnover. The goal of this project is to investigate the dynamics of necromass consumption in groundwater microbial communities. In order to get an in-depth understanding of this phenomenon, I asked three main questions: 1) Does the chemical composition of artificial necromass differ depending on the cell lysate used to produce it? 2) Does variability in necromass composition influence microbial communities over time? 3) Which necromass-consuming microbes can be isolated from groundwater enrichments in artificial necromass? To investigate these questions, I produced artificial necromass derived from 5 subsurface bacterial strains and utilized it as a substrate to promote the growth of subsurface groundwater microbes. I then enriched groundwater microbial communities in this artificial necromass and observed as their community compositions varied in response to the type of necromass provided. Lastly, I isolated 17 distinct bacterial strains from these enrichment cultures. Results from this study indicate that necromass plays a significant role in shaping microbial communities and will help us in understanding how carbon is utilized in the subsurface environment.</t>
  </si>
  <si>
    <t>Soil ecology, microbiology, subsurface, necromass, carbon cycle</t>
  </si>
  <si>
    <t>AlsaidM_2023-page1.pdf</t>
  </si>
  <si>
    <t>Stella Ban</t>
  </si>
  <si>
    <t>Investigating the Mechanism for Copper Removal in Constructed Wetlands Using Batch Adsorption Isotherm Experiment</t>
  </si>
  <si>
    <t>This study investigated the adsorption behavior of copper (II) in anaerobic and aerobic conditions using soil and sand as substrates. The results showed that there was no significant difference in copper adsorption behavior between anaerobic and aerobic conditions when the soil was used as the substrate. The main mechanism of copper sorption was the electrostatic attraction between the sorbent and copper (II). In general, the soil had a higher surface area compared to sand, indicating a higher capacity for copper sorption. However, more experiments are needed to determine whether sand or soil is a better substrate for copper removal. Future directions include modifying the anaerobic environment to reach sulfide-reducing conditions, testing different types of clay for copper sorption, measuring the amount of pharmaceutical organic chemicals in soil, using phosphate buffer, and conducting more experiments at different concentration ranges. Overall, the study provides insights into the adsorption behavior of copper (II) in anaerobic and aerobic conditions and lays the groundwork for future research on soil and sand as substrates for copper removal. Analytical methods like Ion chromatography, Inductively coupled plasma mass spectrometry, FT-IR spectroscopy, Scanning electron microscope, and x-ray diffraction measurements are implanted to understand the chemical composition and surface morphology of the substrates.</t>
  </si>
  <si>
    <t>Horizontal Levee, copper sorption, electrostatic attraction, sulfide-reducing conditions, SEM</t>
  </si>
  <si>
    <t>BanS_2023-page1.pdf</t>
  </si>
  <si>
    <t>Jessica B. Blelloch</t>
  </si>
  <si>
    <t>Modeling Future Climate Change Risk in the California Ski Industry</t>
  </si>
  <si>
    <t>Climate change poses a significant and evolving threat to the sustainability and competitiveness of ski tourism worldwide, and California is no exception. Using historical climate data and future climate projections under low-to-high greenhouse gas emissions scenarios, this analysis estimates the changes in ski season length, snowmaking requirements, and economic viability for 19 ski resorts in California. The results indicate that under low and medium emissions scenarios, advanced snowmaking can limit mid-century season length losses to -17% and -24%, respectively, with losses increasing to -32% under high emissions scenarios. However, the three emission pathways diverge by late century, resulting in transformational impacts under high emissions scenarios, in which only a handful of ski areas can sustain financial stability. To understand the implications of these changes, the study explores the potential for intra-market redistribution of market share among ski resorts, highlighting the vulnerability of small, independent resorts. In response to the projected impacts, the paper examines adaptation and mitigation strategies employed by California ski resorts, including advanced snowmaking, year-round recreational offerings, and environmentally responsible practices. While these efforts may not completely protect the California ski industry from the impacts of climate change, they represent an important step towards increased resilience and sustainable tourism practices. The findings highlight the importance of the + 2°C Paris Agreement policy goal and a low-emission future for preserving California ski tourism. These outcomes underscore the need for ongoing research and collaboration between California ski resorts, mountain communities, and policymakers to effectively respond to the emerging challenges posed by climate change.</t>
  </si>
  <si>
    <t>California ski tourism, snow reliability, season length, artificial snowmaking, adaptation</t>
  </si>
  <si>
    <t>BlellochJ_2023-page1.pdf</t>
  </si>
  <si>
    <t>Julius Bronola</t>
  </si>
  <si>
    <t>Using Occupancy Models to Assess Illegal Wildlife Trade Patterns across the Philippines</t>
  </si>
  <si>
    <t>This study investigates the spatiotemporal patterns of illegal wildlife trade (IWT) in the Philippines from 2010 to 2019 and identifies influential physical and socioeconomic factors. The Philippines, a biodiversity hotspot with high levels of insular endemism and species-rich rainforests, faces a biodiversity crisis due to overexploitation of wildlife species. A multi-season occupancy model was employed to test hypotheses that examine the influence of accessibility, target richness, effort required to distribute illicit goods, and the quality of life of IWT participants on the occupancy, initiation, persistence, and detection of IWT activity. The top-ranking model indicated that the probability of IWT initiation decreases with increasing distance from a KBA to the nearest airport and increases with the log of human population density. Further, detection of IWT activity within a province increases with road density and the proportion of key biodiversity areas. These findings can guide the Philippine's anti-IWT strategies, pinpointing which provinces need targeted policies, initiatives, and public education programs to prevent, better detect, and understand IWT activity.</t>
  </si>
  <si>
    <t>Environmental criminology, GIS, human population density, illegal wildlife trade, key biodiversity areas, occupancy models, Philippines, road density, spatial analysis</t>
  </si>
  <si>
    <t>BronolaJ_2023-page1.pdf</t>
  </si>
  <si>
    <t>Jailine Cardenas</t>
  </si>
  <si>
    <t>How does Socioeconomic Status affect a Victim's Recovery through the Scope of New Orleans and New York/ New Jersey after Hurricane Katrina and Hurricane Sandy</t>
  </si>
  <si>
    <t>Natural disasters such as Hurricane Katrina and Hurricane Sandy have highlighted the important role socioeconomic status plays in disaster recovery. The intentions of this research project is to examine how socioeconomic status correlated with response and long-term recovery in impacted study sites of New Orleans, New York, and New Jersey. Through a comprehensive review of secondary literature and conducting surveys and interviews, I analyzed the challenges faced by disadvantaged community members and their struggles in recovery. I performed a comparative analysis between the similarities and differences shown in the impact of socioeconomic status on recovery in these two urban areas. The study finds that socioeconomic status is a crucial determinant of a victim’s recovery. The victims experience greater disadvantages and slower recovery rates compared to nonpeople of color and higher-income communities. I performed an analysis of stakeholder influence, and government intervention to provide aid at the local, state, and federal levels. I endeavor to underscore the necessity of improved and more robust infrastructure to minimize social and environmental harm to vulnerable communities. Overall, this study emphasizes the significance of addressing social inequalities in planning for disasters and recovery. The results provided insight into the impact that socioeconomic status had on recovery while aiming to make changes to policies in order to promote more equitable and resilient communities in the case of natural disasters.</t>
  </si>
  <si>
    <t>Environmental Justice, Vulnerable Populations, Climate Resilience, Post-disaster recovery, Health Disparities</t>
  </si>
  <si>
    <t>CardenasJ_2023-page1.pdf</t>
  </si>
  <si>
    <t>Madeline Chapman</t>
  </si>
  <si>
    <t>Assessing Fuel Treatment Strategies for Decreasing Fire Risk in Sonoma County, CA</t>
  </si>
  <si>
    <t>The western United States has experienced an increase in forest fire activity over the past few decades, with record-breaking wildfires becoming more frequent and intense. Climate change, drought conditions, and human activities such as land-use changes and fire suppression are some of the factors contributing to this trend. To address this issue, forest managers and policymakers are working to develop strategies to reduce the risk of catastrophic wildfires and promote the resilience of forest ecosystems. In this study, I assessed how three different management treatments change fuel loading, fire behavior, mortality, and consumption via a modeling analysis using BehavePlus5 and First-Order Fire Effects Modeling. I found notable differences across measured variables including fuel loading, rate of spread, and mortality. In all modeled scenarios, treatment greatly reduced the intensity and severity of wildfire behavior and fire effects. My results demonstrate the need for forests to undergo management treatments to decrease fuel loading and increase resiliency to fire and other disturbance effects.</t>
  </si>
  <si>
    <t>Mechanical thinning, pile burning, prescribed fire, BehavePlus5, First-Order Fire Effects Modeling</t>
  </si>
  <si>
    <t>ChapmanM_2023-page1.pdf</t>
  </si>
  <si>
    <t>Madison Chi</t>
  </si>
  <si>
    <t>Climate Impacts of Particulate Matter Levels and Land Surface Temperature</t>
  </si>
  <si>
    <t>In the last three decades, urbanization has rapidly accelerated. The growth of cities has contributed to the increase of resource consumption and air pollution. Current and past studies have shown evidence that most cities around the world are caught in the loop of population growth, urbanization, and increase of air pollution and land surface temperature. With particulate matter (PM 2.5) levels and land surface temperature (LST), they have become important predictors of air pollution and climate change. This study investigates the correlation of PM 2.5 and LST when using Local Climate Zones (WUDAPT) and National Landcover Data (NLCD). I have found that there is a spatial overlap between high values of PM 2.5 and high values of LST in the eastern portion of San Francisco. On the other hand, there was a common pattern of low values of PM 2.5 and LST in areas with green infrastructure, as well as the northwestern part of San Francisco. I also found that the high average values of PM 2.5 and LST belong to the high intensity developed areas and LCZ classes 1-3, which are the compact and open building sites. The findings also suggest that high density-built areas will contribute to high values of PM 2.5 and LST. With these results, it can contribute to improving planning of cities and infrastructure to better the health of the environment for the people inhabiting them.</t>
  </si>
  <si>
    <t>Local Climate Zones, National Landcover Data, Urbanization, ArcGIS, Air Pollution</t>
  </si>
  <si>
    <t>ChiM_2023-page1.pdf</t>
  </si>
  <si>
    <t>Julia Choi</t>
  </si>
  <si>
    <t>Look Both Ways: The Influence of Floral Orientation on Feeding Behaviors of the Anna's Hummingbird</t>
  </si>
  <si>
    <t>Feeding from pendent flowers is much more costly than horizontal flowers. However, in nature there is a large proportion of hummingbird-pollinated pendent flowers. To better understand how the individual decision making impacts pollination efficiency, this paper answers how floral orientation influences the feeding behaviors of the Anna’s hummingbird, by examining the differences of handling time, feeding time, and nectar depletion. Handling time was tested in a semi-controlled experiment with two male hummingbirds, where approaches to the feeder were filmed and measured for both horizontal and vertical orientations. Feeding time was tested in an observational experiment with an open access feeder of horizontal or vertical orientation. Nectar depletion was calculated from a controlled binary choice experiment with captive male hummingbirds. Differences in handling time were not statistically significant between orientations. Hummingbirds fed for significantly longer durations and consumed significantly more at horizontal feeders when given the choice between both orientations.</t>
  </si>
  <si>
    <t>Calypte anna, pollination efficiency, handling time, feeding time, nectar consumption</t>
  </si>
  <si>
    <t>ChoiJ_2023-page1.pdf</t>
  </si>
  <si>
    <t>Caroline H. H. Combs</t>
  </si>
  <si>
    <t>Field Study of Ground Rock and Compost Amendments for Climate Change Mitigation at a Sonoma Dairy Farm</t>
  </si>
  <si>
    <t>Climate change mitigation pathways include possible carbon dioxide removal strategies, one of which is enhanced weathering (EW). Theoretically, finely ground silicate rock applied to agricultural land can react with atmospheric carbon dioxide (CO2) to produce inorganic carbon (IC) compounds that can result in long-term atmospheric CO2 removal if the IC is transported to the ocean via leachate. However, field studies are needed to determine the efficacy of EW in the real world. We tested the effect of amending a field at a dairy farm in Sonoma County, CA with ground rock and compost amendments by measuring soil total carbon (TC) and IC content at the beginning and end of two growing seasons using elemental analyses of soil samples, and soil inorganic nitrogen concentrations weekly for one growing season. The first growing season was a drought year (273.1 mm precipitation) and the second growing season was non-drought (605.1 mm precipitation). This difference in precipitation played an important role in soil TC gains at the end of each growing season: TC and IC increased only over the course of the non-drought growing season under the ground rock treatment and the compost plus ground rock treatment respectively. However, there was no difference in TC and IC between the treatments and control for either growing season. This suggests that EW products may have leached out of the soil, that EW may occur at longer timescales than that of our experiment, or that EW is ineffective in this ecosystem. The nitrate concentrations measured during the non-drought growing season were lower under the ground rock treatment than under the control during the middle third of the growing season when nitrate concentrations were peaking for all treatments. Our results raise questions about the short-term efficacy of ground rock amendments and suggest that ground rock may inhibit the process of nitrification in soils or lead to high nitrate leaching.</t>
  </si>
  <si>
    <t>Carbon dioxide removal, carbonate, basalt, agriculture, California</t>
  </si>
  <si>
    <t>CombsC_2023-page1.pdf</t>
  </si>
  <si>
    <t>Ridge J. Coughlin</t>
  </si>
  <si>
    <t>Themes in Residential Garden Design in Berkeley, CA</t>
  </si>
  <si>
    <t>Urban expansion has increased the prevalence of single-family residences with gardens that provide various ecosystem services to both humans and the environment. However, to optimize the benefits of these gardens, residents must consider both the design choices and subsequent benefits. I surveyed 308 residents in Berkeley, California, to determine how residential gardens can be designed to provide the most welfare for homeowners and their communities. I analyzed three pathways: (1) What are the motivations and outcomes for residents who have adopted low-input or native landscape design practices? (2) What aspects of a garden are associated with greater benefit (overall satisfaction or improvements in stress relief) for the resident? (3) How can we qualitatively understand residents' relationships with and aspirations for their gardens? Sixty percent of respondents who had replaced at least some plants in their garden with native or drought resistant varieties did so in order to reduce water use. However, fewer than half of this group reported an actual reduction in water consumption, representing a disconnect between the perceived and actual benefits of implementing a native or low-input design strategy. When examining the relationships between garden characteristics and indicators of benefit, I found that the time each respondent spent in their garden each week positively impacted reported stress relief. Moreover, individuals who are most satisfied with their garden most often expressed a desire to be more involved, suggesting that taking the time to establish a relationship with one's garden is the most effective way to derive benefit from it.</t>
  </si>
  <si>
    <t>Native yardscape, water use, garden relationships, low-input, stress-relief</t>
  </si>
  <si>
    <t>CoughlinR_2023-page1.pdf</t>
  </si>
  <si>
    <t>Riley C. Croghan</t>
  </si>
  <si>
    <t>Artificial Light at Night(ALAN): Impacts on Carabid Beetle Movement</t>
  </si>
  <si>
    <t>Geophysical cycles of light and darkness have remained constant for all of life's evolutionary history. Correspondingly, mechanisms for perceiving and responding to light are ubiquitous in nature. In the past few centuries, Artificial light at night(ALAN) has acted as a novel environmental change across much of the earth's surface, with disruptive effects from the molecular to community levels that are just starting to be uncovered. Particularly sensitive to light are nocturnal insects with supposition eye structures that can perceive extremely low levels of light. In this study, I conducted laboratory experiments to test how two species of Carabid beetles respond to ALAN in terms of their activity output when under a stimulated light-dark cycle. Beetles under ALAN experienced continuous lighting over a 24-hour period, while those treated with a control experienced a natural cycle with darkness during the nighttime hours. In Pterostichs californicus, I found that ALAN increases the frequency of nighttime activity events, with a significant effect in females but not males. I found no significant effects of ALAN on the duration and frequency of Calathus ruficollis. These results show that ALAN can alter movement behaviors, with certain species and sexes more sensitive to changes. Management practices that reduce the extent, intensity, and spectra of ALAN are likely to be effective means of reducing the disruptive effects of ALAN on beetles and other affected species.</t>
  </si>
  <si>
    <t>light pollution, portable locomotion activity monitor(pLAM), photosensitivity, raspberry pi, movement</t>
  </si>
  <si>
    <t>CroghanR_2023-page1.pdf</t>
  </si>
  <si>
    <t>Daniel A. Escajeda</t>
  </si>
  <si>
    <t>Student Perception of Access to the California High-Speed Rail</t>
  </si>
  <si>
    <t>In this study, I investigated the potential perceived benefits of the California High-Speed Rail, with respect to the utilization by registered students at the University of California, Berkeley. Specifically, I assessed how an infrastructure project of this magnitude and marketed efficiency would impact student travel decisions. Sample data was collected by creating qualitative surveys,, resulting in 179 responses received. The study is divided into three parts: the frequency and reasons students take long-distance trips, the mode of transportations that is used most often to go on these trips, and their preferred modes of transportation for such trips. My central research question was determining probability of student utilization once the High-Speed Rail once is built. I used Python and Microsoft Excel to analyze the results and found that a considerable number of students would use this rail system if available. The potential benefits of using the High-Speed Rail include saving time and money, improved air quality, and reduced greenhouse gas emissions. As the state of California seeks to emerge itself as a leader against the climate crisis, this study seems to underscore how the younger generation takes into consideration their individual actions to assist, if provided alternative options. The study concludes with suggestions for further possible research and suggest that students could actualize several advantages by using the California High-Speed Rail.</t>
  </si>
  <si>
    <t>California, alternative transportation, UC Berkeley, cost-benefit analysis, accessibility</t>
  </si>
  <si>
    <t>EscajedaD_2023-page1.pdf</t>
  </si>
  <si>
    <t>Danielle Fujimoto</t>
  </si>
  <si>
    <t>Factors affecting California Wildfires: Ownership, Ecoregion, and Forest Types' Impacts on Forests and the likelihood of Wildfires</t>
  </si>
  <si>
    <t>In the face of changing climate, California and the Western United States are seeing increased occurrences and severity of wildfires. Previous authors investigated the factors contributing to wildfires, yet investigations into how ownership, ecoregion, forest type, and reserve status impacts fire probability are limited. California's diversity and roughly equal split between private and public ownership of California's forests allowed for a series of regression models to explore the impacts of different factors on wildfire occurrence. All of the linear regression models showed an increased probability of fire under publicly-owned lands. The relationship between ownership and fire probability changed depending on ecoregion and forest type.Ownership effects varied between California Conifer and Western Oak forests, relative to other forest types. There was also variation in fire probability across ownerships for California's different ecoregions. Reserved lands showed a lower probability of fire compared to unreserved lands. The decreased fire occurrence for private lands as well as reserved forests, calls for discussions about forest management strategies for public land and unreserved forests that are more vulnerable to fire.</t>
  </si>
  <si>
    <t>forest management, linear regression, reserve status, fire occurrence, interaction</t>
  </si>
  <si>
    <t>FujimotoD_2023-page1.pdf</t>
  </si>
  <si>
    <t>Karina Gadkari</t>
  </si>
  <si>
    <t>The Characterization of Growth Curves and Evolutionary Trajectories in Hosts of Xylella fastidiosa</t>
  </si>
  <si>
    <t>Xylella fastidiosa is a gram-negative and non-flagellated bacterium that is detrimental to a variety of plants. This plant pathogen lives in the xylem vessel where nutrients are transported throughout the plant host and is transmitted via insect vectors that feed on xylem fluid. Since Xylella fastidiosa is the first plant pathogen with a fully sequenced genome, there has been incredible progress in studying the process by which it spreads. It was discovered that different phylogenetic groups of Xylella fastidiosa have similar transmission mechanisms. In insects, the pathogenicity mechanisms in plants are not yet understood. Thus, this study aims to observe the growth patterns and adaptations of Xylella fastidiosa towards characteristics that broadly mimic an insect host or a plant host by the use of the presence of polysaccharides in culture media. This will require cell culturing on various types of media and determining the extent of growth by observing and creating growth curves over a period of seven days through the presence and concentration of cells measured using a spectrophotometer.</t>
  </si>
  <si>
    <t>pathogen, evolution, chitin, pectin, optical density</t>
  </si>
  <si>
    <t>GadkariK_2023-page1.pdf</t>
  </si>
  <si>
    <t>Martha L. Gomez Mateo</t>
  </si>
  <si>
    <t>Biological Adaptations Assessed by Morphological Changes within Zonotrichia Taxa: A Focus on Climate Change Impacts</t>
  </si>
  <si>
    <t>Delving into the evolutionary diversification process occurring within a species in response to climate change unveils how organisms are adapting and evolving. In this study, I employed a comparative approach to examine the White-crowned Sparrow (Zonotrichia leucophrys) and three of its subspecies (nuttalli, gambelii, and pugetensis) in relation to the Golden-crowned Sparrow (Zonotrichia atricapilla). I measured bill surface area, wing length, and tarsus length to analyze the differences between a bird species with multiple subspecies and one without subspecies to observe whether there is evidence of adaptation to climate change through time. I measured a total of 473 skin study samples from around the Bay area of California using the taxa's study skins gathered from museums over a span of 137 years. Using statistical analysis, significant morphological changes were discovered in the gambelii subspecies of the White-crowned Sparrow and the Golden-crowned Sparrow, consistent with predicted responses to climate change. In the gambelii subspecies, there was an increase in bill surface area and a decrease in wing length. Furthermore, the Golden-crowned Sparrows exhibited a decreased wing length over time. The findings of this study provide insight into the adaptive responses of bird species to environmental influences, particularly climate change, emphasizing the importance of Allen's and Bergmann's rules in avian morphology. By investigating the variables that drive changes in avian morphology, researchers gain a deeper understanding of the intricate relationships between organisms and their environments to preserve biodiversity and support more sustainable conservation methods.</t>
  </si>
  <si>
    <t>evolution, museum collections, environmental changes, Arctic, Allen's and Bergmann's rules</t>
  </si>
  <si>
    <t>GomezMateoM_2023-page1.pdf</t>
  </si>
  <si>
    <t>Mauricio González</t>
  </si>
  <si>
    <t>Chemical and Biological Health Assessment of Urban Streams in the Richmond and San Francisco Bay Area</t>
  </si>
  <si>
    <t>Urban streams’ importance is typically overlooked as they are mostly seen by the average person as a commodity that exists to beautify an urban community. Yet, they are also beneficial in reducing the impacts from flash flooding due to heavy rain storms and reducing contaminants through dilution. I studied three creeks located within very active urban neighborhoods, and all have undergone or are currently undergoing some form of restoration effort. This study examined the water chemistry and benthic macroinvertebrate assemblages of each of the three creeks over a period of two months to assess water quality. Although each creek was visibly different, water chemistry analyses revealed that they did not vary much chemically. ANOVA tests demonstrated insignificant (p&gt;0.05) differences in terms of water chemistry and most benthic macroinvertebrate community structure metrics between all three sites. Using Strawberry Creek as a reference site on the UC Berkeley campus, the two off-campus sites exhibited differences such as lower diversity and EPT presence than the reference site, and phosphate levels being near or slightly below the EPA standards for preventing algal blooms in flowing waters. The literature revealed that further studies in chemical analyses and emphasis on community function rather than structure could potentially provide clearer results of urban stream health.</t>
  </si>
  <si>
    <t>Benthic macroinvertebrates, Water chemistry, EPT, rainfall, urban streams</t>
  </si>
  <si>
    <t>GonzalezM_2023-page1.pdf</t>
  </si>
  <si>
    <t>Julia R. Goswick</t>
  </si>
  <si>
    <t>Evaluation of Compost Application in Mediterranean Climates and The California Healthy Soils Program Demonstration Projects</t>
  </si>
  <si>
    <t>The California Healthy Soils Program (HSP) prioritizes the goals of reducing greenhouse gas emissions (GHG) and improving soil health to increase agricultural productivity. There is limited research looking at compost application in CA and the outcomes of the compost only component of HSP. Approximately a third of the demonstration program grant funding ($40.5 million) is allocated towards compost application. Compost application improves the soil's ability to retain water and cycle nutrients. A literature review confirmed that compost application improves soil's ability to retain water and cycle nutrients. Compost application demonstration sites via HSP have led to more GHG sequestration in California. Participants are also skeptical about the reduction in GHG compost application as there are many additional factors that counteract the carbon sequestration abilities; two thirds of the interviewees agreed that in theory compost application can reduce GHG reductions. However, participants are not seeing any statistically significant changes in overall soil health within the three year span of the program because significant change doesn't occur in such a short time period. More information and research is needed to conclude any long term benefits from the HSP.</t>
  </si>
  <si>
    <t>Healthy Soils Program (HSP), compost application, organic carbon, soil health, Greenhouse Gas Emissions (GHG)</t>
  </si>
  <si>
    <t>GoswickJ_2023-page1.pdf</t>
  </si>
  <si>
    <t>Kenneth Guan</t>
  </si>
  <si>
    <t>Environmental Health Impacts on Asian American Elders in San Francisco</t>
  </si>
  <si>
    <t>In 2020, the Asian American population in the United States reached nearly 20 million, making it one of the largest growing racial and ethnic groups in the country. My thesis paper focuses on Chinese, Filipino and Korean identifying Asian American elders in San Francisco while examining if the healthcare system is affecting their overall health and workspace area at home. My Central Research Question addresses ‘How is the healthcare system in San Francisco affecting Asian American elders' workspaces; in terms of their health, environment, environmental equity, and cleanliness?’ To gather data, I created an anonymous Google Survey, and over 200 responses were collected from elders taking my survey. Additionally, I conducted 10 interviews over a 2-week time period with local San Francisco residents living in San Francisco Chinatown and Portola District; specifically the San Bruno/Visitation Valley area. The responses from my anonymous Google Survey were collected, and analyzed, yet presented in multiple bar graphs via Google Sheets highlighting differences between the two sites and different Asian American races. From my findings, more elders living in San Francisco Chinatown have a larger environmental health impact than elders living in the Portola district due to limited housing spaces, language barriers, no direct transportation to the nearest hospital, environmental racism, and not having access to a clean and safe water source.</t>
  </si>
  <si>
    <t>Environmental Issues, Environmental Equity, AAPI, Cleanliness, Healthcare</t>
  </si>
  <si>
    <t>GuanK_2023-page1.pdf</t>
  </si>
  <si>
    <t>Wanees N. Hannan</t>
  </si>
  <si>
    <t>Urban Green Spaces as a Tool to Combat Loneliness</t>
  </si>
  <si>
    <t>Loneliness in urban and suburban areas is a growing issue, with subsequent significant mental and physical health consequences. Green spaces have been shown to improve the social cohesion and connectivity of communities, and so could potentially diminish the widespread loneliness that is present in cities. I surveyed individuals in the San Francisco Bay Area about their relationship with green spaces, and their self-reported loneliness levels. I further formed two groups— green space and urban space— to observe if simply being in green spaces had a lowering effect on feelings of loneliness. I then interviewed experts in the fields of green spaces and their social impacts, loneliness, and city planning, to learn important nuances in urban green space implementation and improvement. Frequency of visits to green spaces, reasons for visiting, and distance to closest green space all were important factors that affected loneliness levels in individuals. Further, I found that individuals that were present in green spaces—even when not interacting with others— reported feeling less lonely than those in an urban space group. Experts reiterated that comfortable spaces to gather and consistent programming were vital to increasing frequency of visits to green spaces. Further, parks authorities working with housing authorities to ensure affordable housing plans coincided with new green spaces are vital in avoiding gentrification.</t>
  </si>
  <si>
    <t>social isolation, social connectivity, subjective well-being, environmental health, urban planning</t>
  </si>
  <si>
    <t>HannanW_2023-page1.pdf</t>
  </si>
  <si>
    <t>John H. Hopkins</t>
  </si>
  <si>
    <t>The Potential for Microcystis Growth and Microcystin Exposure in the San Francisco Bay Estuary</t>
  </si>
  <si>
    <t>Microcystis is a genus of freshwater cyanobacteria responsible for causing harmful algal blooms (HABs). HAB’s are typically caused by eutrophication from sewage contamination and agricultural runoff into bodies of water. Microcystis and some other species of cyanobacteria produce microcystin, a potent liver toxin, which reaches dangerously high concentrations in bodies of water during HAB’s. Microcystins can upset diatom diversity leading to upsets in trophic dynamics, and can harm/kill several species of fish, shellfish, and mammals to include humans. It is common to see signs warning of toxic algae in the water at East Bay Regional Parks and many lakes close their swimming beaches annually as a result of HABs. Despite Microcystis being a primarily freshwater genus, researchers in the past decade have detected microcystins in the brackwater areas of the San Francisco Bay estuary and have determined microcystins to be the cause of death of some marine fish and mammals. Several salt tolerance experiments conducted on Microcystis in different areas of the world have had varying results based on region, and therefore there was no distinct salinity tolerance of the local strain of Microcystis to the East Bay. To address this gap I conducted a salt shock laboratory experiment with Microcystis collected from East Bay Regional Parks, and found the upper salt tolerance for survival and colony formation to be between 16 &amp; 18 PSU. I then used salinity and flow data from the EPA, USGS, and my own measurements to map the salinity gradient of the San Francisco Bay area. By identifying regions of low salinity in the bay, I was able to predict where Microcystis blooms are likely to occur.</t>
  </si>
  <si>
    <t>Cyanobacteria, Harmful Algae Blooms, Estuary, San Francisco Bay, Runoff, Microcystins</t>
  </si>
  <si>
    <t>HopkinsJ_2023-page1.pdf</t>
  </si>
  <si>
    <t>Taylor Kavieff</t>
  </si>
  <si>
    <t>A Silent Pandemic: Intersectionality and Eco Anxiety Among College Students at UC Berkeley</t>
  </si>
  <si>
    <t>Eco anxiety refers to heightened concern regarding the state of the environment and is a growing topic of importance when considering the holistic scope of environmental violence in the modern age. This study explores how individuals’ perception of their privilege in relation to their intersectional identities exacerbates eco anxiety among college-aged students at UC Berkeley. This study utilizes intersectional framework in order to gain nuanced insight into how identity can influence students’ experiences of eco anxiety. Additionally, this study investigates where students primarily get their information about environmental issues and how students cope with their eco anxiety. To answer these questions, I conducted a comprehensive survey, sent out to classes and clubs at UC Berkeley which included questions from the Hogg’s Eco Anxiety Index and Intersectionality Index in order to quantify students’ responses. The survey results show that a majority of students experience some level of eco anxiety. Additionally, the results indicate a positive correlation between intersectional discrimination and eco anxiety, indicating that individuals who experience higher levels of discrimination based on their personal identity are more likely to experience greater eco anxiety. Results also revealed that students often obtain their information about environmental issues from classes in school and social media and that most students participate in pro-environmental behavior in order to cope with eco anxiety. These findings provide valuable insights into the complex relationship between identity, discrimination, and eco anxiety, with important implications for mental health and environmental policies.</t>
  </si>
  <si>
    <t>climate grief, intersectionality discrimination index, hogg eco anxiety index, mental health, environmental justice</t>
  </si>
  <si>
    <t>KavieffT_2023-page1.pdf</t>
  </si>
  <si>
    <t>Sophia L. Kennedy</t>
  </si>
  <si>
    <t>Assessing Water Use for Almond and Alfalfa Fields in the San Joaquin Valley Using Remote Sensing</t>
  </si>
  <si>
    <t>As droughts threaten the future of agriculture in California’s San Joaquin Valley (SJV), studying the changing water use of the region’s thirstiest crops is imperative. Remote sensing via satellites is a cost-effective and increasingly precise method for tracking land use and associated water use at large spatial and temporal scales. In this study, I investigated water use dynamics for almond orchards and alfalfa fields in the SJV using remotely sensed data. I first observed government statistics to determine how land use for almonds and alfalfa has been changing state-wide and within each county of the SJV. I analyzed five years of evapotranspiration (ET) data to compare the water use per unit area for both crops. Finally, I determined the effect of drought on relative almonds and alfalfa water consumption and water use efficiency (WUE) using an aridity metric. Results showed that almond acreage has steadily expanded while alfalfa acreage has steadily declined across nearly all counties and operation sizes. I found that almonds use more water than alfalfa; on average annual almond ET was greater than alfalfa ET by 108.95 mm. I found that during drought, almond ET increases and the crop becomes less efficient at using water. These results have implications for water management, since what little water is available during drought should be used intentionally and efficiently. Expanding almond acreage in place of more water-efficient annual crops threatens to exacerbate water shortages during a climatic era where steady water flows are no longer a guarantee.</t>
  </si>
  <si>
    <t>OpenET, evapotranspiration, drought, climate, Google Earth Engine</t>
  </si>
  <si>
    <t>KennedyS_2023-page1.pdf</t>
  </si>
  <si>
    <t>Shifali Kerudi</t>
  </si>
  <si>
    <t>The Impact of Social Media on Consumer Perceptions of Fashion Sustainability and Ethics</t>
  </si>
  <si>
    <t>Fast fashion is a business model by short production and distribution lead times to match supply with uncertain demand and highly fashionable product designs. The purpose of this study was to understand how consumers engage with topics of sustainability and fast fashion and interact with fashion brands via social media, specifically Twitter. This study also aimed to identify sustainability themes fashion brands highlight on their social media platforms and how these correlates to their overall sustainability and environmental performance, as well as how consumers discuss fashion brands on Twitter. Through a survey distributed to University of California Berkeley students, I determined that social media was the primary platform through which consumers engaged in topics of sustainability. “Sustainable fashion” was most often associated with words such as “long-lasting”, “thrifting”, and “expensive”. The primary theme found via thematic coding of fashion brands Twitter accounts was providing a platform to other individuals, organizations, and initiatives focused on sustainability. No statistically significant correlations were found between the number of sustainability tweets, or tweets among specific themes, outputted by any brands. The sentiment analysis performed on consumer tweets revealed that consumer tweets were, on average, overwhelmingly positive. The findings of this study show that consumers cannot rely on brands’ sustainability social media content to make judgements regarding brands’ sustainability practices. Twitter may serve as a valuable platform for brands to perform crisis management and interact with consumers during times of critical or negative attention towards the brand.</t>
  </si>
  <si>
    <t>corporate social responsibility, consumer behavior, fast fashion, greenwashing, sustainability reporting</t>
  </si>
  <si>
    <t>KerudiS_2023-page1.pdf</t>
  </si>
  <si>
    <t>Justin S. Kim</t>
  </si>
  <si>
    <t>Environmental Human Health Effects of Chlorpyrifos in the Central Valley</t>
  </si>
  <si>
    <t>The use of pesticides, specifically chlorpyrifos (CPF), has been prevalent in the Central Valley for many decades due to its high effectiveness in combating agricultural pests. With the intensive use of pesticides, there has been a wide range of health problems for Central Valley residents. My research aims to study the human health impacts of CPF on brown adipose tissue, gut microbiota, and obesity caused by CPF. I used a systematic review approach, where I obtained and evaluated current scientific literature. Then, I applied the results to the Central Valley to see how they are affected. Similarly to in-vivo studies, where mice experience severe health problems, Central Valley children and workers also experience severe health problems. The health problems stemmed from many biological mechanisms, such as failure of acetylcholine degradation due to competing organophosphates (OPs) and acetylcholinesterases and poor thermoregulation and communication of brown adipose tissues with metabolic functions. In addition to biological mechanism malfunctions, socioeconomic factors play a huge role in the health burdens that workers and children face in the Central Valley. Many residents affected are often undocumented and are in the bottom percentiles in terms of economic wealth and many have inadequate access to healthcare and treatment when needed. Such inequities to resources result in high mortality rates and reduced lifespans. Moving forward, the health of workers and children must be addressed and work towards a future with less pesticide use and increased access to resources.</t>
  </si>
  <si>
    <t>environmental justice, agriculture, obesity, brown adipose tissue, gut microbiota</t>
  </si>
  <si>
    <t>KimJ_2023-page1.pdf</t>
  </si>
  <si>
    <t>Hoi Nam Hellas Lee</t>
  </si>
  <si>
    <t>Optimizing Spatial Planning of Small-scale Green Infrastructure to Mitigate Urban Heat Islands in Hong Kong</t>
  </si>
  <si>
    <t>With rising surface temperatures due to climate change, especially in urban areas, regulators have turned to green infrastructure (GI) to effectively adapt to urban heat islands (UHIs) and increase climate resilience. Small-scale implementation is of particular focus in Hong Kong due to limited land space, but the extent to which they effectively mitigate urban heat is highly dependent on their physical characteristics and spatial connectivity. This study evaluates the current GI network’s ability to mitigate UHIs in two Hong Kong districts: Tuen Mun and Yau Tsim Mong, finding that the vegetation configurations between the two districts vary substantially, hence affecting the range of land surface temperature (LST), hotspots, and coldspots observed. Characterizing the GI based on the following landscape network metrics: vegetation percentage, perimeter-area ratio, vegetation area, nearest neighbor distance, and largest patch dominance, I analyzed their relationships with (LST) in hotspots and coldspots in the study areas. From my correlation analysis, I identified perimeter-area ratio and vegetation percentage to be major metrics of consideration for the future planning of GI to address UHIs. However, the large variability in correlation strengths between the two districts, hotspots, and coldspots highlights the need for careful evaluations in ensuring that GI networks contribute to reducing UHIs in Hong Kong.</t>
  </si>
  <si>
    <t>landscape network metrics, street-level greenery, geospatial analysis, hotspot analysis, linear regression</t>
  </si>
  <si>
    <t>LeeH_2023-page1.pdf</t>
  </si>
  <si>
    <t>Anthony Migliacci</t>
  </si>
  <si>
    <t>Incorporating the Unincorporated: Environmental Violence and Resistance in the Warehouses of the Inland Empire</t>
  </si>
  <si>
    <t>Centering a warehousing project approved for development in San Bernardino County, California, I have compared environmental violence in incorporated and unincorporated communities, a perspective that is rarely used in environmental justice literature. In a case study of warehouse development in Bloomington, an unincorporated community, and the City of Rialto, I analyzed government records and reports, news articles, city and county data, and interviews with organizers, residents, and warehouse workers, seeking to understand whether the growth of the logistics industry in the Inland Empire has affected unincorporated communities and cities in different ways. This thesis makes three claims, based on my initial findings. First, comparing land use procedures and transformations in Bloomington and Rialto, I argue that development in cities tends to maintain existing residential areas despite increasing warehouse development, while the County aids violent forms of dispossession in favor of new warehousing in unincorporated communities. Second, I analyzed warehousing practices and found that unincorporated areas, due to their lack of developed infrastructure, face more intense environmental harms caused by warehousing, such as increased pollution burden and diminished community safety. Third, I found more resistance and protests against new warehouse construction in unincorporated areas. However, organizers face unique hurdles to promoting resistance in unincorporated areas, such as inaccessible County meetings, making struggles against warehouse development more difficult than parallel struggles within city boundaries. Ultimately, I argue that a community’s status as “unincorporated” largely determines the means through which dispossession and other forms of environmental injustice, subsequent resistance, and development narratives manifest on local scales, expanding the literature in place-based political ecology and bringing forward the specific experiences of people living in unincorporated communities.</t>
  </si>
  <si>
    <t>Environmental Justice, Land Use, Logistics Industry, Unincorporated Communities, Political Ecology</t>
  </si>
  <si>
    <t>MigliacciA_2023-page1.pdf</t>
  </si>
  <si>
    <t>Annie Miller</t>
  </si>
  <si>
    <t>Incorporating Community Science into Arctic Sea Ice Models: Validation of Ice Watch Data</t>
  </si>
  <si>
    <t>Understanding the wide-reaching impacts of climate change in the Arctic is difficult due to the remoteness of the region. This makes it difficult to create comprehensive, accurate climate models in complex boundary regions. This project investigates the use of community science in the Arctic and its potential use in creating more just models. The central research question for this project is: What is the potential impact of community science on Arctic sea ice models? This study analyzed Arctic sea ice measurements that were collected by Ice Watch, a community science organization. The analysis of accuracy between Ice Watch and National Snow and Ice Data Center (NSIDC) data found that Ice Watch data was not highly accurate in the short term, but demonstrated greater accuracy for seasonal and long-term trends. This makes Ice Watch a valuable dataset. The development of a decision tree model was able to predict the accuracy of individual data points with a high specificity. Ice Watch data, with the incorporation of a validation model, can provide useful information to communities and scientists by filling Arctic data gaps. It could also contribute to the use of community science in models and make the process community oriented. The use of community science can address issues of equity and justice in scientific spaces, engage communities historically excluded from the scientific community, and increase the accuracy of regional climate models in the Arctic.</t>
  </si>
  <si>
    <t>climate modeling, environmental justice, machine learning, Arctic trends, climate change, community engagement</t>
  </si>
  <si>
    <t>MillerA_2023-page1.pdf</t>
  </si>
  <si>
    <t>Maxine A. Mouly</t>
  </si>
  <si>
    <t>Thermoregulatory Physiology and Behavior of the Northern Elephant Seal, Mirounga angustirostris, amid Environmental Change</t>
  </si>
  <si>
    <t xml:space="preserve">Unfettered anthropogenic activities are changing the earth’s climate, fueling more frequent anomalous temperature events that pose a unique thermal challenge to semi-aquatic species. Northern elephant seals spend most of their lives at sea and haul out on shore to reproduce and molt, a simultaneity that rests on adaptations for heat retention underwater and heat loss on land. When ambient temperatures exceed physiological limits, seals rely on behaviors that are facilitated by habitat heterogeneity. Little is known about how environmental variables and habitat quality influence thermoregulation of seals on shore. Here, we used infrared thermography to derive surface temperature and thermal window area of adult female and weanling elephant seals during the 2021 and 2022 breeding seasons at Point Reyes National Seashore, Farallon Islands National Wildlife Refuge, and A_x0010_no Nuevo State Park. Mean surface temperature was 24 _x0011_ 6 </t>
  </si>
  <si>
    <t>MoulyM_2023-page1.pdf</t>
  </si>
  <si>
    <t>Kimberly Pena Diaz</t>
  </si>
  <si>
    <t>A Case Study on the Effects of Environmental Racism on the Latine Community in California</t>
  </si>
  <si>
    <t>According to the Environmental Protection Agency (EPA) and the US Energy Information Administration (Silverman, 2022), from the 1990s up until the mid-2000s, the total greenhouse gas emissions in the United States seemed to be increasing consistently and CO2 emissions across all fuel types sectors – coal, natural gas, and petroleum – have also been in an upward trend since the year 2000. This, of course, excludes the decrease between the year 2019 and 2021 caused by the COVID-19 pandemic. The general world population is well aware of the increasing carbon emission levels and worsening climate, and whether they believe in it or not everyone has been affected. However, due to various circumstances outside of their control, low-income communities of color tend to be the most affected. Therefore in this study, we assessed the effects of global warming and pollution on the Latine communities across California with a special focus on the Latine community located in Richmond due to its proximity to the largest polluter in California – the Chevron Richmond Refinery. A particular emphasis was placed on the health effects of environmental racism on the aforementioned community, specifically in relation to preventable and treatable illnesses such as asthma, access to preventative and curative healthcare, and access to nutritious food.</t>
  </si>
  <si>
    <t>Food deserts, Polyfluoroalkyl substances, asthsma, chemical dumping, Richmond Chevron Refinery</t>
  </si>
  <si>
    <t>PenaDiazK_2023-page1.pdf</t>
  </si>
  <si>
    <t>Georgiana Prevost</t>
  </si>
  <si>
    <t>Impacts of Food Access on K-8 Education Analyzed through Proximity in Sacramento</t>
  </si>
  <si>
    <t>Food insecurity is an obstacle faced by all levels of society, however, children and their households are at higher risk for food insecurity. The impacts of food insecurity and poor diet quality are long-term for children, as it predisposes them to weaker school performance, social skills, and cognition. Students of color in urban areas, such as Sacramento, CA, are at a more severe low food access disadvantage due to socio-historical trends that caused food establishments to leave the neighborhoods they reside in. I conducted a literature review, mapping assessment, and a statistical test to understand if elementary schools’ proximity to nutritious food resources reflects trends in academic performances among their students in the Sacramento City Unified School District. I found that factors such as household income, personal vehicle access, universal school meal programs, and parental/guardian eating habits all influence a student’s diet quality and food security status and thus academic performance. I also found that, in the city of Sacramento, there are more K-5 schools located within walking distance and public transportation access than in food deserts. On average, schools located within food deserts have lower percentages of students meeting the ELA and Math standards than schools not located within food deserts. However, location within or not within a food desert is not a strong predictor of academic performance. The findings of this study may be beneficial in city planning and academic policy spheres, as well as for federal funding allocation for elementary schools in urban areas.</t>
  </si>
  <si>
    <t>Food Insecurity, Food Desert, K-5 Education, Diet Quality, Academic Outcomes</t>
  </si>
  <si>
    <t>PrevostG_2023-page1.pdf</t>
  </si>
  <si>
    <t>Isra Raza</t>
  </si>
  <si>
    <t>The Effect of Low pH and Nitrate on Microbial Growth and Community Interactions</t>
  </si>
  <si>
    <t>Bioremediation with microbial communities is considered an efficient and natural strategy for the removal of nitrogenous waste and acidity in soil. This ability has been demonstrated by microbes isolated from the ORFRC site in Oak Ridge, Tennessee. Removing nitrogenous waste is important as it is toxic to organisms and increases the risk of toxins leaching into groundwater. To implement bioremediation as effectively as possible, we need to know which microbes can tolerate and remediate stressful conditions, which we investigated by asking: how does low pH and nitrate affect microbial growth and interactions? To answer this, a microbial community isolated from the ORFRC site was grown in three conditions: (1) low pH, (2) high nitrate, and (3) low pH + high nitrate. The microbes were grown individually and in pairs. Low pH and high nitrate were found to have a significant effect on the growth dynamics of the microbes, where low pH + high nitrate had the lowest growth rate (14%) and high nitrate had the highest growth rate (20%). low pH had the lowest diversity of microbes (Shannon Diversity = 1.75) while high nitrate had the highest diversity (2.23). Pseudomonas strains grew well in the low pH, and Micrococcales strains grew well in the nitrate condition. Paired growth was much higher than individual growth in low pH (63% vs 19%), whereas paired growth was much closer to individual growth in high nitrate (30% vs 20%).</t>
  </si>
  <si>
    <t>Bioremediation, denitrifying bacteria, paired synthetic communities, predictive modeling, selective pressure</t>
  </si>
  <si>
    <t>RazaI_2023-page1.pdf</t>
  </si>
  <si>
    <t>Shea Rousseau</t>
  </si>
  <si>
    <t>Drought Disturbance Impacts on Sierra Nevada Ecosystems: A Remote Sensing Approach</t>
  </si>
  <si>
    <t>The western region of North America has been characterized by a recurrent and profound phenomenon of drought, with certain episodes spanning over decades. An instance of such severe droughts was witnessed in California from 2013 to 2016, which represents the most intense recorded dry spell in the state's history. The increasing frequency and intensity of droughts, compounded by additional disturbances, pose a threat to ecosystem integrity and present challenges to managing these areas for ecosystem services and multiple-use objectives. I found that using Landsat 8 satellite imagery, coupled with remote sensing technology and indices has proven to be a promising method for monitoring these drought disturbances. Results showed that the normalized difference vegetation index (NDVI) and the enhanced vegetation index (EVI) are strong indices for detecting vegetation loss due to drought, while the normalized difference water index (NDWI) performed well in identifying drought in areas with water covers. The study suggests that combining NDWI with a vegetation index like NDVI or EVI can provide a more comprehensive understanding of drought impacts. The effectiveness of these indices varies depending on ecosystem conditions, and EVI was particularly effective in monitoring the 2013-2016 drought in California. By utilizing these indices in tandem, it is possible to detect changes in ecosystem conditions, generate useful data for developing drought preparedness plans, pinpoint the optimal timing for water conservation initiatives, and facilitate the management of responses in land use.</t>
  </si>
  <si>
    <t>California Drought, Landsat 8, Normalized Difference Water Index (NDWI), Normalized Difference Vegetation Index (NDVI), Enhanced Vegetation Index (EVI), Ecosystem Integrity</t>
  </si>
  <si>
    <t>RousseauS_2023-page1.pdf</t>
  </si>
  <si>
    <t>Alexandra B. Santas</t>
  </si>
  <si>
    <t>Pollination Success and the Implications of Pollinator Decline</t>
  </si>
  <si>
    <t>Habitat loss, environmental degradation, and intensive agricultural methods have all contributed to serious declines in insect-pollinator populations worldwide. Additionally, the effects pollinator decline may have on natural and agricultural landscapes are poorly understood. I grew two sets of branching sunflowers with one group open to pollinator access and one group netted and closed to insect pollinators. After harvesting, I removed, counted and weighed the fully developed seeds to assess the effects of pollinator exclusion on crop yield. I also took a sample of the fully developed seeds from each group to assess germination and fitness of the second generation sunflowers. I found that the exclusion of pollinators caused extremely limited fully developed seed sets per flower head (77.57 open, 7.24 closed, p&lt;0.01) and reduced total fully developed seed weight (0.46 g open, 0.098 g closed, p&lt;0.01). However, the individual weights of seeds were higher in the closed group (8.19 mg open, 19.70 mg closed, p&lt;0.01). I also found that the closed group had a higher rate of successful germination and grew taller than seeds from the open group (1.76 cm open, 4.70 cm closed, p&lt;0.02). Pollen limitation and complementarity help explain the observed declines in crop yield, and energy allotment for reproductive assurance explains the health of the closed second generation. Results suggest that pollinator decline may severely reduce crop yields and limit natural success probability by limiting pollen transfer and fertilization success.</t>
  </si>
  <si>
    <t>complementarity, pollen limitation, Apis mellifera, agroecology, insect-pollination</t>
  </si>
  <si>
    <t>SantasA_2023-page1.pdf</t>
  </si>
  <si>
    <t>Christina R. Schulte</t>
  </si>
  <si>
    <t>Quality or Quantity? Corporate Environmental Disclosure and Third-party ESG Scores</t>
  </si>
  <si>
    <t>Climate change is one of the most pressing issues of our society. As some of the largest contributors, companies hold a large responsibility in engaging in more sustainable practices. Sustainability reporting is valuable for companies to track environmental activities through non-financial metrics. This reporting is oftentimes used for Environmental, Social, and Governance (ESG) scores given by third-party agencies that rate a company’s socially conscious efforts. However, it can be difficult to navigate these scores since each agency has their own rating methodology. It is unclear how much these scores vary among each other and how the level of corporate disclosure affects the scores companies received. I analyzed sustainability reports of the top 15 US companies by revenue to determine their extent of environmental disclosure and the relationship between number of reported metrics and their third-party ESG score. In my analysis, I found that ESG scores oftentimes differ greatly between rating agencies for companies with up to an 82 point difference out of 100 possible points and thus do not give the public a comprehensive picture of a company’s sustainability efforts and progress. Companies also report on a range of environmental metrics, however, far below the amount they could with an average of 18 reported quantitative environmental GRI metrics out of 113 possible ones. Ultimately, there is no clear relationship between ESG score and environmental disclosure with a regression analysis p-value greater than 0.05 for each agency, implying that a score relies more on quality than quantity of metrics.</t>
  </si>
  <si>
    <t>Corporate Social Responsibility, Environmental Social Governance score, Global Reporting Index, sustainability reporting, sustainable business</t>
  </si>
  <si>
    <t>SchulteC_2023-page1.pdf</t>
  </si>
  <si>
    <t>Runru Shen</t>
  </si>
  <si>
    <t>Impact of Treated Effluent Discharge on the Macroinvertebrate Community in the Los Angeles River, California</t>
  </si>
  <si>
    <t>Anthropogenic impact on the environment had created a negative impact on nature. However, possible positive impacts can result from treated effluent discharge to urban waterways. This study focuses on how treated effluent discharge impacts the water quality and health of the benthic macroinvertebrate community in the Los Angeles River. The study site focused on the major point source treated effluent discharge site of the Donald C. Tillman Water Reclamation Plant located on the main channel of the Los Angeles River. Water quality data were collected along 3 upstream sites and 3 downstream sites through fieldwork in July 2022. The benthic macroinvertebrate data retrieved from the CEDEN database from the year 2000 to 2022. Improvement in water quality downstream of the treated effluent discharge site was observed with indicators like a lower average temperature of 29.2 degree Celsius, lower specific conductance around 1100us/cm, and higher dissolved oxygen of an average around 190%. More healthy benthic macroinvertebrate communities occurred at downstream sites indicated by higher diversity and higher abundance of less pollution tolerant species with 29 %EPT score compared to 17% upstream and a Shannon’s diversity score average of 1.25 compared to 0.59 upstream. The difference between water quality and benthic macroinvertebrate community upstream and downstream of the treated effluent discharge site was most likely resulted from the input flow of treated effluent discharge, indicating a positive impact of treated effluent discharge for the Los Angeles River.</t>
  </si>
  <si>
    <t>CEDEN, freshwater ecology, water-quality, wastewater discharge, urban river</t>
  </si>
  <si>
    <t>ShenR_2023-page1.pdf</t>
  </si>
  <si>
    <t>Delaney Siegmund</t>
  </si>
  <si>
    <t>Impacts of High Severity Wildfire on Vegetation Type Conversion in Southern California Chaparral</t>
  </si>
  <si>
    <t>California has been experiencing more historically large, high severity wildfires, prompting managers to investigate the potential long-term impacts of this disturbance on biodiversity. There has been an emphasis on management within forested ecosystems, with less attention turned to historically infrequent, high severity fire regime ecosystems such as Southern California chaparral. To study the effects of a contemporary large-scale, high severity wildfire on chaparral, I investigated the effects of the 2017 Thomas Fire on vegetation type conversion within Santa Barbara and Ventura counties, extending into the adjacent Los Padres National Forest. This was accomplished through a combination of Random Forest supervised classification, burn severity analysis using dNBR, and a comparative analysis between burn severity classes and type conversion. I found that the classification schema I developed was 68% accurate. Overall, there was a similar proportion of vegetation change across the study area, but the areas burned that were classified as forested (Conifer, Hardwood) pre-fire had a greater occurrence of being type converted to Shrubland. The Shrubland class within the study region experienced a succession of varying vegetation types. The Thomas Fire was categorized as mostly low to moderate severity, and there was some correlation between higher burn severity classes and certain types of vegetation change. This validates other research that assesses the dynamics of post-fire vegetation succession and reaffirms the need for future study on the effects of changing spatial and severity patterns on chaparral.</t>
  </si>
  <si>
    <t>Remote sensing, supervised classification, Thomas Fire, vegetation mapping, dNDVI</t>
  </si>
  <si>
    <t>SiegmundD_2023-page1.pdf</t>
  </si>
  <si>
    <t>Anna C. Smith</t>
  </si>
  <si>
    <t>University Climate Impact: Comparing Modeling Approaches for Predicting Greenhouse Gas Emissions from Higher Education Institutions</t>
  </si>
  <si>
    <t>Carbon Footprint (CF) calculation and reporting allows companies and organizations to quantify their emissions of greenhouse gases (GHGs). Higher education institutions (HEIs) play an important role in promoting sustainable development and mitigating climate change, and are increasingly reporting their CFs. A major challenge in HEI CF reporting is that there is no international standard for GHG accounting in the higher education sector, which has resulted in notable gaps and inconsistencies in in reported CFs among HEIs. In order to address sub-scope level gaps in HEI CFs, this study compares average emissions intensity (EIs) and linear regression modeling as approaches to predict missing emissions. Data on GHG emissions and institutional characteristics was downloaded from the Sustainability Tracking, Assessment &amp; Rating System (STARS), and used to train five models to predict missing data for a total of thirteen emissions categories. The study found that multiple regression models produced the most accurate predictions for most emissions categories; however, the simple linear regression models using gross square footage of building space (GSF) or full-time equivalent student and employees (FTE) as the predictor variables offered similar accuracy for most emissions categories, while requiring only one input feature. The highest prediction accuracy was achieved for gross emissions (training R² = 0.798, testing R² = 0.765). It was concluded that average EI is not a robust modeling approach. HEI CF reporting needs to be expanded, and an international standard for GHG accounting in the higher education sector must be developed and formally adopted.</t>
  </si>
  <si>
    <t>Carbon footprint, average emissions intensity, linear regression, FTE, GSF</t>
  </si>
  <si>
    <t>SmithA_2023-page1.pdf</t>
  </si>
  <si>
    <t>Arianna E. Standish</t>
  </si>
  <si>
    <t>The Impact of Sheep Grazing on Spider Diversity and Abundance</t>
  </si>
  <si>
    <t>Rotational grazing is a livestock management technique known to benefit plant health, soil health (Smith et al. 2011), and pollinator diversity (Enri et al 2017). However, there is a gap in research concerning rotational grazing's benefit or detriment on spider communities. In this study, I investigated the impact of rotational sheep grazing compared to long-term sheep grazing on spider diversity and abundance in Hopland, California. I set pitfall and ramp traps to collect specimens in a long-term grazed pasture, a rotationally grazed pasture, and in an ungrazed control pasture. I collected data between late October and early November, with two cycles of sample collection. The long-term grazed pasture was found to have the highest spider population with 113 individuals in the first collection, and the highest family diversity with a Shannon Diversity Index value of 1.516. In the second round of data collection, the ungrazed area had the highest spider population with 73 individuals, slightly higher than the long-term area population of 69 individuals, while the rotationally grazed pasture had the highest family diversity with a Shannon Diversity Index value of 1.416. Despite aims to control stocking, the sheep stocking densities of the two treated pastures had not been controlled, which impacted the data. The rotationally grazed pasture had a much larger sheep population than the long-term grazed pasture, and it had lower spider abundance than the long-term grazed pasture in both rounds of data, with 83 individuals in the first round and 47 individuals in the second. If the rotationally grazed pasture had the same stocking density as the long-term pasture then it would likely have higher spider abundance. However, this study still provides evidence that some amount of grazing enhances spider communities compared to no grazing.</t>
  </si>
  <si>
    <t>Specimen collection, biodiversity, Hopland Research and Extension Center, functional groups, Shannon Diversity Index, Sorenson's Coefficient</t>
  </si>
  <si>
    <t>StandishA_2023-page1.pdf</t>
  </si>
  <si>
    <t>Fiona L. Starsiak</t>
  </si>
  <si>
    <t>Environmental Equity: Case Studies on Easy Bay Creek Restorations</t>
  </si>
  <si>
    <t>Creek restoration projects provide a variety of both ecological and social benefits, and these benefits are not mutually exclusive but rather interconnected. This paper explores creek restoration projects throughout the San Francisco East Bay Area. The case studies focused on Strawberry Creek, Wildcat Creek, and Lower Codornices Creek. The goal being to take an integrated look at the creek restoration sites and determine the impact on community access and use. Site assessments were completed to identify the layout and features that each site had. Semi-structured interviews were held with the planners and community members involved in the projects to determine the emergent themes. The community’s use and experience with the creek site was measured through activity snapshots and interviews. Each restoration project social connectivity and accessibility to its community members. Interviews held with those involved in the projects shared a variety of different perspectives with main themes that emerged were community involvement, creek interaction, socioeconomic inequity, as well as the long-term success of the project. Walking was the highest activity done at each site with sites also all displaying creek interaction with the public. Community members all appreciated and enjoyed the creeks restoration done to the sites, however there were some safety concerns brought up from the public at Lower Codornices and Wildcat Creek.</t>
  </si>
  <si>
    <t>Environmental justice, Community action research, Urban green spaces, Water revitalization, Participatory process</t>
  </si>
  <si>
    <t>StarsiakF_2023-page1.pdf</t>
  </si>
  <si>
    <t>Francesca Stepanov</t>
  </si>
  <si>
    <t>Understanding Ecological Implications of Mesoscale Climatic Impacts on Juvenile White Sharks (Carcharodon carcharias) and Southern Sea Otters (Enhydra lutris nereis) Along the California Coast</t>
  </si>
  <si>
    <t>Anthropogenic climate change has expansive effects on ecosystems. A mechanism of change stems from increasing sea surface temperatures (SST) shifting marine organisms’ habitat availability. Recent studies have shown increased Juvenile White Shark (Carcharodon carcharias) presence further northward along the California coast during marine heatwaves. With SST projections derived from climate models, juvenile C.carcharias, that are more susceptible to thermal shifts than their adult counterparts, may have limited thermal suitability in their current habitat range. As a result, juvenile C.carcharias may more permanently shift northward along the California coast. Increased presence of juvenile C.carcharias directly impacts a keystone species in the Monterey Bay Ecosystem, Southern Sea Otters (Enhydra lutris nereis), as they are often mistaken for prey. Studies examining levers that inhibit E.nereis population recovery rates point to C.Carcharias as a threat. With depleted E.nereis populations, Monterey Bay kelp forest ecosystems will suffer. This study aims to model and predict future juvenile C.carcharias habitat suitability using electronic tagging data and assess how future habitat availability will coincide with established E.nereis populations in California.</t>
  </si>
  <si>
    <t>Carcharodon Carcharias, SPOT and PAT Tagging, Enhydra lutris nereis Habitat, Thermal Suitability Model, SST Climatologies</t>
  </si>
  <si>
    <t>StepanovF_2023-page1.pdf</t>
  </si>
  <si>
    <t>Chloe Suarez</t>
  </si>
  <si>
    <t>Interactive Exhibits at the Lawrence Hall of Science as a Tool for Environmental Education</t>
  </si>
  <si>
    <t>Environmental issues remain critical concerns for our planet, and increasing environmental awareness and knowledge is crucial to motivate the public towards sustainable solutions. Informal learning environments, such as interactive science museums, have the potential to play a critical role in this process by providing visitors with immersive and engaging experiences that help them comprehend environmental concepts and their relevance in daily life. In this study, I investigated the effectiveness of 5 environmentally-driven exhibits at the Lawrence Hall of Science in Berkeley, CA, in educating visitors on relevant environmental topics. Through interviews, exhibit assessments, and visitor observations, I found that exhibits that incorporated real-world examples and contextual learning experiences had higher levels of visitor engagement and better learning outcomes. My findings also highlighted the importance of exhibit accessibility and strategic placement in promoting visitor engagement. These findings have significant implications for exhibit designers and museum curators, emphasizing the need for user-centered design, clear and concise displays, and accessible and engaging exhibits that cater to diverse audiences. Furthermore, my research highlights the role of informal learning environments, such as museums, in enhancing environmental education and awareness. My findings provide valuable insights into the design and evaluation of interactive exhibits for environmental education, reinforcing the need for continued efforts to increase environmental literacy among the public. By understanding the best practices for designing engaging and informative exhibits, interactive exhibits can play a crucial role in promoting environmental awareness and motivating the public to take action toward sustainable solutions.</t>
  </si>
  <si>
    <t>environmental awareness, interactive exhibits, visitor engagement, science museums, informal learning</t>
  </si>
  <si>
    <t>SuarezC_2023-page1.pdf</t>
  </si>
  <si>
    <t>Yichao Sun</t>
  </si>
  <si>
    <t>Using Remote Sensing to Assess the Effectiveness of Afforestation Projects in China</t>
  </si>
  <si>
    <t>This study explores the effectiveness of afforestation projects in China through the application of remote sensing. Due to the current research gap in evaluating the integrity and performance of afforestation projects in China, the Normalized Difference Vegetation Index (NDVI), which measures vegetation greenness, is employed as the primary indicator to assess the change in NDVI on the project lands to determine the effectiveness of the afforestation projects through linear regression analysis. The data in this study primarily encompasses basic project information collected from the Verified Carbon Standard (VERRA) and project lands’ NDVIs from the dataset “MOD13A2.061 Terra Vegetation Indices” retrieved from the database in Google Earth Engine. The results of linear regression analysis and statistical tests indicate that the changes in NDVI for all 12 projects after project implementation are statistically insignificant, meaning that the projects are ineffective if the performances are based on their NDVIs. The potential ineffectiveness of the afforestation projects calls for public and governmental attention because the climate crisis will worsen if the afforestation projects are not adequately managed. The Chinese government may promulgate relevant policies to impose strict control on the implementation and management of the projects to ensure their validity and effectiveness.</t>
  </si>
  <si>
    <t>Forest Carbon Offset, Nature-based Solutions, Normalized Difference Vegetation Index (NDVI), Linear Regression, Smoothing Function</t>
  </si>
  <si>
    <t>SunY_2023-page1.pdf</t>
  </si>
  <si>
    <t>Sofia M. Swatt</t>
  </si>
  <si>
    <t>Investigating Timescales of Causality within Fluxes of Greenhouse Gasses</t>
  </si>
  <si>
    <t>In the context of anthropogenic perturbations to greenhouse gas concentrations, understanding the biophysical processes that modulate such gasses is essential in accurately modeling Earth’s rapidly changing climate. Ecosystems are inherently nonlinear systems, in which the effects of causal variables cannot be separated or uncoupled from the variables that they influence. In order to uncover pathways of causality between variables, statistical methods must account for the associated asynchronous dynamics of time-delayed feedback loops that occur at different time scales. This study applies two algorithms for time-series analysis: (1) wavelet based time scale decomposition and (2) convergent cross mapping, in order to identify and quantify the extent to which contending environmental biophysical controls modulate fluxes of methane and carbon dioxide. Wavelet-decomposition and subsequent reconstruction of signals enabled isolated analysis at hourly, diel, multi-day, and seasonal time scales. These isolated signals were then inputted into a convergent cross mapping algorithm, for which the output correlation-coefficient was taken as the final quantifying parameter for causality. The following variables had the highest forcing capacity on methane flux at the (a) hourly, (b) diel, (c) multi-day, and (d) seasonal scale: (a,c) water vapor flux and (b,d) carbon dioxide flux. Analogously, the following variables had the highest forcing capacity on carbon dioxide flux: (a,b) water vapor flux, (c) methane flux, and (d) ecosystem respiration. Water vapor flux plays a dominant role in modulating fluxes of methane and carbon dioxide at shorter time scales, either directly via transpiration or indirectly via plant growth. At longer time scales methane flux is dominated by microbial populations and carbon dioxide flux is rooted in plant-mediated availability of oxygen. Wavelet decomposition proved to be a robust method for analyzing trends at different frequencies in a given signal, however, convergent cross mapping poses less reliability, in the context of noisy ecological data.</t>
  </si>
  <si>
    <t>ecological time-series, information theory, eddy covariance, tidal wetland, biophysical controls</t>
  </si>
  <si>
    <t>SwattS_2023-page1.pdf</t>
  </si>
  <si>
    <t>Hannah Sy</t>
  </si>
  <si>
    <t>Greener Grades: The Impacts of Green Schoolyards on Academic Achievement</t>
  </si>
  <si>
    <t>A large body of literature establishes the link between green space exposure and human health; such spaces have been known to yield benefits such as improving cardiovascular health, mental health, and self-reported general health. Research conducted in school settings hypothesizes that green space may boost academic achievement by improving the physical and emotional health of students. This study examines the impact of school green spaces on standardized English and math scores at 36 public elementary schools in the San Francisco East Bay area. Using a mixed-method approach, I conducted statistical analyses with secondary socio-demographic and geospatial data in addition to carrying out interviews with community stakeholders. My findings suggest that greater levels of disadvantage, an index combining poverty and minority status, is linked to lower academic achievement. Additionally, the more disadvantaged the student body, the fewer trees are found on school grounds. Other common educational determinants such as pupil/teacher ratio, school size, and % female students did not contribute to the greenness-performance link. Within the study sample, school tree cover was the most important predictor of academic performance compared to grass cover. Qualitative data indicate that green space can support child development through pathways of play, learning, and positive behaviors. Future research should be directed towards investigating the short and long-term value of trees in educational settings as well as developing policies to encourage more greening on a state level.</t>
  </si>
  <si>
    <t>education, environmental planning, landscape, children, elementary school</t>
  </si>
  <si>
    <t>SyH_2023-page1.pdf</t>
  </si>
  <si>
    <t>Charlynn Teter</t>
  </si>
  <si>
    <t>The Effects of Anthropogenic Activity in Forested Campgrounds on Stream Ecosystems</t>
  </si>
  <si>
    <t>Urbanization along stream banks is a key cause of river degradation, impacting streams by increasing run-off, decreasing natural filtration of run-off, and adding chemical and organic pollutants to the water. Natural spaces, open to the public, may ameliorate some of these ill-effects, but may also pose similar risks, and the impacts of disturbances from campgrounds on river health is much less understood. This study investigates the physical and fauna health of Pescadero Creek in a County Campground along the gradient of sites and human activity in memorial park. Sites at the park were characterized by clean water taxa such as Diptera, Ephemeroptera, Plecoptera, and Trichoptera. The most downstream site showed consistently poorer measurements of biological health, scoring more poorly than the other sites on: Richness (10), EPT Richness (1), Percent EPT (3.09%), FBI (7.12), and CSCI (0.25). In contrast, the two most upstream sites had, on average: Richness 21.75, EPT Richness 8.5, Percent EPT 20.3%, FBI 5.19, and CSCI 0.61. The CSCI metric showed a statistically significant and consistent decrease between Site 4 (the most upstream site) and Site 1 (the most downstream site). Beyond human influence, physical environmental factors did not show extreme variation between sites; although factors such as substrate and flow varied slightly between sites, they did not consistently change moving from upstream to downstream. These results suggest that the campground and other recreational activity detrimentally impacted the stream's health along the campground reach.</t>
  </si>
  <si>
    <t>Benthic macroinvertebrates, pollution, riparian ecosystems, campgrounds, biomonitoring</t>
  </si>
  <si>
    <t>TeterC_2023-page1.pdf</t>
  </si>
  <si>
    <t>Sharon Trisha</t>
  </si>
  <si>
    <t>Can Surface Water be an Alternative to Groundwater in Jakarta, Indonesia?</t>
  </si>
  <si>
    <t>Groundwater-induced land subsidence is experienced by many coastal cities around the world, including Jakarta. It is an issue occurs because of groundwater extraction that causes the porosity of sedimentary layers to reduce and compact causing the land to subside. Impacts of groundwater-induced land subsidence in Jakarta include flooding, damage to infrastructure, and the displacement of coastal communities. The government is currently deciding mitigation plans which include the movement of the capital city as well as the construction of a giant sea wall. However, many argue that these plans are only short-term solutions as it does not tackle the root source of the issue: groundwater extraction. Therefore, it is vital that the solution to this issue considers how the city can limit the amount of groundwater extracted. Surface water as an alternative source is a widely applied solution to the overextraction of groundwater which is why I ask whether there is enough surface water to sustainably meet the water demand of Jakarta, Indonesia’s household, agricultural, and industrial activities. I will begin by (1) determining the water demand of Jakarta, Indonesia through calculated deductions of secondary data, (2) determining the surface water availability of Jakarta, Indonesia through using secondary data and the ‘calculating watershed’ tool on GIS and (3) determining the current water quality status of Jakarta, Indonesia’s surface waters and its treatment potential through a case study. I found that there is enough surface water available to meet the current water demand of Jakarta, Indonesia but time and investment is needed to treat the surface water of Jakarta, Indonesia.</t>
  </si>
  <si>
    <t>Groundwater-induced land subsidence, environmental flows, digital elevation model (DEM), two-stage membrane filtration system, dissolved oxygen (DO)</t>
  </si>
  <si>
    <t>TrishaS_2023-page1.pdf</t>
  </si>
  <si>
    <t>Russell E. Trutane</t>
  </si>
  <si>
    <t>Analysis of the Effect of Grazing by Cattle on the Floral Communities of Grasslands in California</t>
  </si>
  <si>
    <t>In this study I examined the prevalence of plant functional groups in grazed and ungrazed fields and tested hypotheses about floral communities’ response to grazing by cattle. Data was collected for four groups - grasses, forbs, legumes, and rosettes - over 60 meters in both grazed and ungrazed pastures. Comparing differences in the groups of plants between the fields showed clearly that the amount of grazing present on the field did not significantly alter the Shannon-Weiner diversity of its floral community. Cattle reduce legumes (p=0.17) and increase rosette plants (p=0.06) where they are grazing. Spatial analysis showed that the disturbance from cattle grazing did not affect the floral community more than factors like soil type and seed distribution. Analysis showed that grazing may make grasslands more spatially homogenous, which has positive implications for management, though other studies have found that it may reduce diversity. These results are promising for the continuation of cattle grazing to reduce aboveground biomass. The grazed pasture had significantly less aboveground biomass than the ungrazed pasture, and without any negative effects on the diversity of the flora present. The cattle effectively reduced aboveground biomass without significantly impacting the diversity of the floral community at the pasture scale.</t>
  </si>
  <si>
    <t>Intermediate Disturbance Hypothesis (IDH), field heterogeneity, grassland management, NMDS, paired study</t>
  </si>
  <si>
    <t>TrutaneR_2023-page1.pdf</t>
  </si>
  <si>
    <t>Luis Vargas</t>
  </si>
  <si>
    <t>Salinity and Biogeochemical Dynamics at Eden Landing Ecological Reserve</t>
  </si>
  <si>
    <t>Coastal wetlands are vital ecosystems with a wide array of functions that benefit wildlife and human communities. The purpose of this study was to investigate the ways in which pond salinity influences the biogeochemical dynamics of a coastal wetland system, specifically at Eden Landing Ecological Reserve. To answer this question, I sought to determine whether pH, sediment denitrification capacity, and sediment carbon conversion capacity varied across samples collected from sites of three different salinity levels. To do this, I collected soil and water samples from these three sites for several weeks and conducted batch experiments with the soil to observe the evolution of the concentrations of nitrous oxide (N2O) , carbon dioxide (CO2), and methane (CH4) in these experiments. Then, I used ANOVA to determine whether measurements of pH, denitrification capacity, and carbon conversion capacity varied across the salinity groups and used regression analysis to determine whether these measures were correlated with the conductivity that was observed at each sampling point. Regression analysis demonstrated a moderate nonlinear correlation between denitrification capacity and conductivity, with the highest denitrification capacities being observed for low-conductivity samples. No significant differences were observed between salinity levels for all of the metrics and correlations with salinity were weak. However, the medium salinity site exhibited pH levels closest to the center of the ideal range established by the EPA and high salinity values were associated with lower levels of carbon conversion.</t>
  </si>
  <si>
    <t>greenhouse gasses, coastal wetlands, pH, denitrification, carbon sequestration</t>
  </si>
  <si>
    <t>VargasL_2023-page1.pdf</t>
  </si>
  <si>
    <t>Priyanka Venkatesh</t>
  </si>
  <si>
    <t>Implementation of Gray vs. Green Infrastructure in Urbanizing Cities in Emerging Countries: A Case Study of Perungudi, Tamil Nadu, India</t>
  </si>
  <si>
    <t>Water management has been a priority at an international scale with increasing water scarcity. There is a discernible difference in infrastructural implementation based on the economic background of each country: developed nations are opting into green infrastructure and emerging countries are investing in gray infrastructure. Perungudi is a small suburb of Chennai, the largest city of the Indian state of Tamil Nadu. Due to rising urbanization and poor land management practices, much of Perungudi’s natural wetland landscape has been reduced to provide space for new gray infrastructure for water management. This new infrastructure came into question in 2015 when Chennai experienced record-high levels of rain; new retention walls, dams, and levees were all overwhelmed, causing deadly floods. In order to contextualize the differences in infrastructure implementation, I conducted a case study of Perungudi. Using MODIS NDVI data and Landsat 5 images I quantified wetland reduction in the last decade to see if motivations to implement green technology had changed. I observed that in the last decade there has been a significant reduction in the amount of vegetation and wetland area. I used Google Trends to observe if attitudes towards infrastructure had changed in the region at a local and national scale and found that concerns about flooding were mostly at the state level. Finally, I surveyed a local community in Perungudi to understand the gravity of the 2015 floods and found that several residents of the community felt that government support was insufficient and that the current infrastructure was inadequate.</t>
  </si>
  <si>
    <t>stormwater management, urban floods, wetland loss, concrete, environmental engineering</t>
  </si>
  <si>
    <t>VenkateshP_2023-page1.pdf</t>
  </si>
  <si>
    <t>Ximena S. Verduzco-Villanueva</t>
  </si>
  <si>
    <t>Community-based Air Monitoring in Historically Underserved Communities of Eastern San Francisco</t>
  </si>
  <si>
    <t>Environmental justice communities are usually predominately people of color or low income, who are subjected to a disproportionate burden of environmental pollution and reduced quality of life. California has taken the initiative to address these disparities by passing Assembly Bill 617 which aims to address the disproportionate impacts of air pollution exposure in the most heavily burdened communities throughout California. Traffic congestion in cities is a public health concern due to the air pollutant emissions that contribute to poor air quality in the surrounding environment. A local community-based organization, Brightline Defense, and UC Berkeley researchers utilized low-cost air-quality sensors to measure traffic-related air pollutants, black carbon, and ambient particulate matter (PM2.5), in eastern San Francisco districts, Chinatown, Tenderloin, South of Market (SoMa), and Bayview-Hunters Point. We found through the CalEnviroscreen 4.0 indicator map that traffic patterns varied depending on location and average concentration levels for black carbon were associated with traffic patterns. The spatiotemporal trend for black carbon concentration levels had a strong weekday-to-weekend effect while PM2.5 had a relatively consistent trend. Bayview-Hunters Point and inner-city districts did not have distinct differences in average concentration levels for black carbon and PM2.5 with the exception of Tenderloin. The average hourly concentration levels for black carbon aligned with morning and evening rush hours while PM2.5 had a flatter trend. Based on CalEnviroScreen 4.0 data, asthma rates near highways and high-traffic zones were greater.</t>
  </si>
  <si>
    <t>Assembly Bill 617, environmental justice, spatiotemporal trends, black carbon, ambient particulate matter (PM2.5)</t>
  </si>
  <si>
    <t>Verduzco-VillanuevaX_2023-page1.pdf</t>
  </si>
  <si>
    <t>Agnes Villaroman</t>
  </si>
  <si>
    <t>Is The Water OK? Factors Influencing Treated Wastewater Acceptability</t>
  </si>
  <si>
    <t>As climate change depletes our water availability, finding methods for water conservation becomes increasingly crucial. As a result, water-governing agencies spanning local, state, and federal levels are conserving their potable water through recycling wastewater. Although water reclamation through this method is feasible, public acceptance is scarce due to lack of awareness, anxiety about health risks, and preconceived notions of disgust. For example, in the early 2000s, the Toilet-to-Tap campaign began in California in an effort to combat water scarcity as a result of a persistent drought. Because of public opposition, this campaign was shut down, along with its efforts to build new wastewater treatment plants. While existing research has studied the nature of this opposition in terms of stewardship, my study aims to find factors directly related to one’s willingness to drink recycled water. Additionally, this study attempts to find ways to change perceptions about treated wastewater. My study analyzed 130 survey responses and an interview with Michael Tovar, a retired Senior Project Manager for wastewater treatment plants. Results from the survey conclude that no matter a person’s religion, political affiliation, education, and income, 66.2% of people say that water can be treated highly enough that they would drink it. A person’s identity may serve as a justification for one’s willingness, but do not directly influence acceptability. I intersect the aforementioned variables with trends of willingness, to demonstrate how raising awareness among the public and improving leadership would enhance the feasibility of drinking recycled water.</t>
  </si>
  <si>
    <t>Direct potable water, recycled water, water reclamation, water conservation, public opposition</t>
  </si>
  <si>
    <t>VillaromanA_2023-page1.pdf</t>
  </si>
  <si>
    <t>Ana Wong</t>
  </si>
  <si>
    <t>Is it Really Zero Waste? Comparative Analysis Between Plastic and Compostable Plastic</t>
  </si>
  <si>
    <t>In the circular economy, products are made with the intention of reducing waste. Compostable plastic is an example of this and is designed to reintegrate easily back into the environment. Polylactic Acid (PLA) plastic is currently the most commonly used compostable plastic in food ware, but needs to be industrially composted to fully degrade. Because there aren't many industrial compost facilities, PLA plastic can end up as pollution just like petroleum plastic. I ask the question, “How does the circular economy implementation of compostable product design compare to current single-use drinkware in inputs and end-of-life outcomes” to analyze the true benefits and detriments of compostable plastic. Across four Life Cycle Assessments (LCA) comparing petroleum plastic to PLA, I found that for eight major impact categories, except Human Toxicity Potential and Abiotic Depletion of Fossil, petroleum plastic actually outperformed PLA. PLA requires less energy in production than petroleum plastic, but petroleum plastic needs less energy in end-of-life disposal scenarios. I found PLA has similar timelines in decomposing terrestrially and aquatically to petroleum plastic. I focused specifically on these end-of-life timelines because most LCAs do not factor pollution into their output calculations. Lastly, I found three compostable alternatives to PLA that use heat-pressed biomass and had backyard compost timelines of around two months, which all were shorter than the backyard compost timeline of PLA.</t>
  </si>
  <si>
    <t>PLA (Polylactic Acid), Petroleum Plastic, LCA (Life Cycle Assessment), Bioplastic, Circular Economy</t>
  </si>
  <si>
    <t>WongA_2023-page1.pdf</t>
  </si>
  <si>
    <t>Christiana S. Wong</t>
  </si>
  <si>
    <t>Stakeholder Mapping of California’s Precision Weeding Sector</t>
  </si>
  <si>
    <t>Precision weeding, a sector of agricultural technology in which drones and/or automated weeders use chemical, mechanical, or thermal means to eradicate weeds, has moved from academic research settings to commercialization. Because of labor shortage pressures, the push to gain competitive advantages, and the environmental impacts of excessive chemical inputs, many California growers have been interested in adopting precision weeding technologies in their operations. Using semi-structured qualitative interviews, this study investigated the viewpoints of three key stakeholder groups involved in the diffusion and adoption of precision weeding technologies: California growers, precision weeding startups, and agricultural technology venture capital firms. With the supplemental viewpoints of large agricultural firms and their corporate venture capital arms and government agencies, this study seeks to understand the compatible motivations between stakeholders, current collaborative models between stakeholders and their limitations, and the user journey for growers adopting precision weeding technology. Through thematic coding and analysis, the textual data was visualized using a chart and cognitive maps. The chart indicated that compatible motivations included addressing current labor issues, reducing costs, and the potential of precision weeding to transform agriculture. Less cited but still popular motivations included having more weeding options, meeting specific field needs, and environmental sustainability. The individual cognitive maps and stakeholder group maps found that the adoption of precision weeding technologies by growers is commonly limited by concerns about startup longevity, the high expenses of precision weeding machinery, and some startups lacking a direct connection to growers.</t>
  </si>
  <si>
    <t>California growers, Precision agriculture, Technology diffusion, Cognitive mapping, Agricultural technology</t>
  </si>
  <si>
    <t>WongC_2023-page1.pdf</t>
  </si>
  <si>
    <t>Emma Yakutis</t>
  </si>
  <si>
    <t>Orthohantaviridae in Barbados: the Effect of Tropical Climates on Viral Prevalence in the Caribbean</t>
  </si>
  <si>
    <t>Orthohantaviridae, or hantaviruses, are a family of enveloped, single-stranded, tri-segmented, negative-sense (-)RNA viruses of the order Bunyavirales and can be found in human and rodent populations globally. Hantavirus’ relationship to climate and ecosystems is well-studied in North America and Europe but is understudied in Latin America and the Caribbean–which are notably distinguished from other regions by their tropical climate. One such Caribbean country is Barbados, a small island in the east Caribbean that has experienced nearly 900 cases of hantavirus in the last 15 years–the same number of cases reported in all of the U.S. since 1992. This study aims to explore the relationship between climate and hantavirus prevalence through epidemiological methods. Correlation and regression, t-tests, and analyses of anomaly were performed to better understand how climate impacts transmission, reservoir populations, and human behavior. Significant results were limited to a weak, positive correlation between precipitation and hantavirus cases as well as greater amounts of precipitation in outbreak years both in the wet and dry seasons. These results suggest that the main climate measure influencing hantavirus prevalence in Barbados is precipitation. Higher precipitation increases viral prevalence by creating more favorable conditions for rodent breeding and altering rodent behavior to favor the home–increasing the potential for human-rodent contact. Challenges to diagnosing hantavirus cases in the region may potentially explain the lack of statistical significance of these results. Efforts to increase the accessibility of testing and longitudinal studies of hantavirus in rodent populations are needed to further explore this relationship.</t>
  </si>
  <si>
    <t>Hantavirus, climate, viral zoonosis, disease ecology, epidemiology</t>
  </si>
  <si>
    <t>YakutisE_2023-page1.pdf</t>
  </si>
  <si>
    <t>Yizhou Yang</t>
  </si>
  <si>
    <t>Creating and Characterizing Inducible BBM-WUS Transgenic Sorghum Lines to Improve Editing Efficiency</t>
  </si>
  <si>
    <t>Sorghum (Sorghum bicolor) is the fifth most important cereal crop in the world. Genome-editing techniques, such as CRISPR-Cas 9, can be applied to sorghum to improve its carbon fixation efficiency and drought tolerance ability. To increase editing efficiency and reduce the growth time of transgenic tissue arising from transformed immature embryos, morphogenic genes, specifically Baby boom (Bbm) and Wuschel2 (Wus2), can be incorporated into the transformation construct. Here, we report the creation and characterization of the inducible BBM-WUS transgenic sorghum lines. The inducible system was achieved by the sulfonylurea-responsive repressor that only in the presence of ethametsulfuron will the morphogenic genes be expressed. We observed that 50 ppb ethametsulfuron is optimal to induce the morphogenic genes while maintaining tissue growth. We identified the transgenic embryonic calli by detecting the yellow fluorescence protein but did not find the Bbm and ALS2 through PCR in the calli we sampled. We speculated that the transformation efficiency might be low due to the large size of the construct. We also suggested using antioxidant chemicals, such as ascorbic acid (ABA), polyvinylpyrrolidone (PVP), and lipoic acid (LA), to reduce the necrotic browning in the tissue culture. In the future, more optimization in the transformation procedure is necessary to be able to regenerate T0 plants, after which we would be able to introduce new constructs into the transgenic plants to test whether the introduction of this inducible system can speed up and simplify the transformation process by being able to introduce editing constructs directly into plants that already have CRISPR-Cas9 machinery.</t>
  </si>
  <si>
    <t>Sorghum transformation, morphogenic genes, Baby boom, Wuschel2, ethametsulfuron</t>
  </si>
  <si>
    <t>YangY_2023-page1.pdf</t>
  </si>
  <si>
    <t>Jenny Ye</t>
  </si>
  <si>
    <t>The Impact of Community Solar Legislation on Equitable Community Solar Access Within the United States</t>
  </si>
  <si>
    <t>Community solar has been identified as a way for low-moderate income (LMI) households to access renewable energy while alleviating household struggles with energy burden. However, community solar legislation can both help and harm the efforts of community solar projects to reach LMI communities. This paper examines if community solar legislation makes community solar more accessible to LMI households across the United States. To answer this question, I created a dataset and codebook for passed and failed community solar legislation across all 22 states and territories that have passed community solar policies. I compared the number of policies that considered LMI participation with the total number of pieces of legislation, finding that only a slight majority of states and policies had LMI considerations. Comparison of failed legislation found no significant correlation between why policies fail in each state. However, comparison of two significant types of legislation showed that community solar policies with LMI requirements built into the legislation were more beneficial to community solar programs than community solar policies that gave community solar rulemaking to state public utilities commissions (PUCs). The findings indicate a need for states to focus their legislative efforts on community solar policies that will directly consider allocations for LMI households. More research needs to be done into the amount of state-funded research that exists for community solar, as well as the rules made by various PUCs in regards to community solar.</t>
  </si>
  <si>
    <t>Low-moderate income (LMI), energy policy, energy burden, public utilities commision, shared solar</t>
  </si>
  <si>
    <t>YeJ_2023-page1.pdf</t>
  </si>
  <si>
    <t>Ashley Yip</t>
  </si>
  <si>
    <t>ESG in Asia: A Closer Look at Sustainability in the Asian Food System</t>
  </si>
  <si>
    <t>Asia contributes to 40% of global emissions from the agriculture industry. Its contribution roots itself in the imperialistic system of global trade, and manifests in severe environmental, social, and economic problems. This study examines the demand-side factors specific to three Asian countries (China, Singapore, and Thailand) influencing the recent developments towards a sustainable food system, as well as assess how industries have responded to governmental regulations, ENGOs, and global industrial standards in accordance to the sustainable food movement. Market valuation data show a strong positive relationship between market signals and consumer purchasing decisions. The data from the qualitative studies show that economic growth and foreign pressure are the most significant driving factors for sustainability policy in the assessed countries. Literature reviews highlight the need to identify unique strategies towards sustainability that are localized and catered to each nation within Asia. Nations like Singapore and China should continue to lead in the region's regulatory landscape, while ensuring inclusivity in multilateral processes. With transparency as a priority to address consumer food safety and health concerns, Asia should encourage the development of the novel foods industry. Financial institutions should strengthen engagement with investors in the industry. International, regional, and national action should be taken to encourage the growth of the industry while spotlighting local stakeholders, such as smallholder farmers and local geography. However, as the scope of this study is limited in data and countries assessed, the author recommends a more robust dataset for extrapolation to the Asian region.</t>
  </si>
  <si>
    <t>Food justice, decolonizing food systems, food politics, sustainability in Asia, green finance</t>
  </si>
  <si>
    <t>YipA_2023-page1.pdf</t>
  </si>
  <si>
    <t>Sarah Zhang</t>
  </si>
  <si>
    <t>Sensing Snow Over Arctic Sea Ice Using GNSS Interferometric Reflectometry</t>
  </si>
  <si>
    <t>GNSS Interferometric Reflectometry (GNSS-IR) is a technique that uses reflected GNSS signals, which interfere with direct signals at the GNSS receiver, to derive frequent measurements of reflector height – the distance between the receiver antenna’s phase center and the horizontal reflecting surface. This study explores the potential of GNSS-IR to measure and monitor snow on Arctic sea ice using a small-scale network of 12 identical GNSS instruments deployed in March 2021 as part of the Sea Ice Dynamics Experiment (SIDEx). Despite GNSS-IR traditionally requiring stationary receivers, this study demonstrates using a stationary receiver in Colorado that dynamic receivers still yield accurate reflector height observations. GNSS-IR using the SIDEx observations provided centimeter-level precision reflector heights, which can be further refined by accounting for azimuthal variation. The analysis of the reflector heights over time reveals seasonal trends on the sea ice. Comparison with in-situ ice mass balance buoy snow depth, air temperature, and water temperature observations further support the snow changes observed in GNSS-IR reflector heights. Future research should focus on converting reflector height measurements to snow depths, expanding the network of receiver stations, and incorporating remote sensing and additional in-situ data for validation purposes. Overall, GNSS-IR is a promising technique for studying the consequences of climate change in remote regions, such as the Arctic, that provides measurements more frequently and to higher spatial resolution than remote sensing.</t>
  </si>
  <si>
    <t>cryosphere, seasonal snow, sea ice dynamics, melt pond, remote sensing</t>
  </si>
  <si>
    <t>ZhangS_2023-page1.pdf</t>
  </si>
  <si>
    <t>Tianqi Zhou</t>
  </si>
  <si>
    <t>A Hybrid Approach to Climate Change: Comparing AB/SB-32 in California and the Global Warming Solutions Act of 2008 in Massachusetts</t>
  </si>
  <si>
    <t>This study presents a comparative analysis of California's cap-and-trade program and the Massachusetts Global Warming Solutions Act, exploring their impacts on pollution abatement and economic performance. The research leverages datasets such as the National Emissions Inventory (NEI) and the Annual Survey of Manufactures (ASM) to assess the effectiveness of each policy from both environmental and economic perspectives. Empirical evidence supports the Porter Hypothesis, demonstrating how stringent environmental regulations can stimulate economic activity, innovation, and sustainability concurrently. The contrasting outcomes in California and Massachusetts underscore the importance of context-specific regulations, indicating that these policies can serve as drivers of economic growth and environmental preservation. While the study suggests a promising symbiosis between environmental conservation and economic prosperity, it acknowledges its limitations and emphasizes the need for further research. Future studies should expand upon these findings by examining a wider range of jurisdictions and sectors and investigating the long-term effects and distributional impacts of such policies. This research provides a foundation for developing robust environmental economic policies that foster sustainability and economic growth.</t>
  </si>
  <si>
    <t>Greenhouse gas (GHG) emissions, comparative analysis, Porter Hypothesis, environmental economics, and environmental policies</t>
  </si>
  <si>
    <t>ZhouT_2023-page1.pdf</t>
  </si>
  <si>
    <t>Rezahn E. Abraha</t>
  </si>
  <si>
    <t>The Historic Legacy of Redlining on Spatial Outcomes of Superfund Sites Within LA County</t>
  </si>
  <si>
    <t>In the 1930s, the Home Owners’ Lending Corporation (HOLC) generated residential security maps using racist evaluations, known redlining, that contributed to discriminatory lending practices for decades. Today, redlining has been associated with patterns of home ownership in areas of increased risk of adverse health outcomes. Toxic waste sites, officially classified by the United States Environmental Protection Agency (US EPA) under the Superfund program, have also been associated with adverse health risks, particularly for historically marginalized communities. The objective of this study is to link the historic legacy of redlining maps with current Superfund site spatial distributions. Residential security maps were downloaded from the Mapping Inequality Project, 1940s census tract data through Individual Public Use Microdata Series National Historical Geographic Information Systems, and Superfund site data was collected through the Environmental Protection Agency. 1940s tract data was apportioned into HOLC neighborhoods to find distributions of relevant socio demographic variables. ArcGIS Pro near function was used to find median distances of closest Superfund Sites by HOLC neighborhood grading.</t>
  </si>
  <si>
    <t>toxic waste, segregation, space, GIS, environmental justice</t>
  </si>
  <si>
    <t>AbrahaR_2022-page1.pdf</t>
  </si>
  <si>
    <t>https://www.ocf.berkeley.edu/~pkmendez/envsci/projects/2022final/</t>
  </si>
  <si>
    <t>Julian A. Batz</t>
  </si>
  <si>
    <t>Humans, Dogs, and the Biodiversity of Las Trampas</t>
  </si>
  <si>
    <t>Ecosystem disturbance often affects the biodiversity of species within that ecosystem. However, depending on the disturbance it is often hard to know the extent or nature of how disturbances influence biodiversity. Previous studies have shown that when there are dogs or humans in an area, wildlife species are impacted in various ways. I studied the effects of humans and dogs on the biodiversity of the pond ecosystems on Las Trampas. Using four different camera traps, I examined the date, time, species, and abundance of species that appeared at two different ponds over a five-month period(September 2021 to February 2022). There were more humans and dogs at site 1 than at site 2. I separated the data by day and ran a t-test to see if human interaction contributed to a significant difference in the biodiversity at each pond site. The t-value is 2.54651 and the p-value is .00628 which means biodiversity was significantly different between ponds with differing levels of human activity. Specifically, ponds with more human activity had lower biodiversity. By understanding how humans and dogs affect biodiversity, we can figure out how to make sure biodiversity is affected less by opening trails seasonally or closing off pond areas to the public.</t>
  </si>
  <si>
    <t>Species, ecosystem, occurrence data, urban ecology, California Tiger Salamanders</t>
  </si>
  <si>
    <t>BatzJ_2022-page1.pdf</t>
  </si>
  <si>
    <t>Claire J. Bernd</t>
  </si>
  <si>
    <t>Pharyngeal Jaws: An Explanation to the Rapid Diversification of Seven African Cichlids</t>
  </si>
  <si>
    <t>Understanding the evolution of species is very important because it allows us to know how animals interact with their environment over time. To better understand the evolution of a famous adaptive radiation of fish, I compared both the upper and lower pharyngeal jaws of seven cichlid species from lake Barombi Mbo in Cameroon. The goal of this research was to see if there was significant variation in the tooth density between jaws of different species. I was able to fully extract the jaws using tweezers, measure the standard length of each fish and take a photo of the specimen. Using an AmScope microscope, both lower and upper pharyngeal jaws were captured with high resolution so that the teeth could be counted and I could extrapolate the density (teeth per square millimeter) for the entire jaw. The standard length was plotted against teeth density to ensure that size did not affect my metric of interest. No slopes were greater than the absolute value of one so it was determined that standard length did not effect tooth density. Then tooth density was plotted for each species and a general lineal model was run to determine if the results were significant. For all 7 species with the exception of Stomatepia mongo, there were significant differences in the teeth per square millimeter in either the upper or lower pharyngeal jaws. These findings are an important contribution to our understanding of speciation as they occurred rapidly and without any clear geographic barriers.</t>
  </si>
  <si>
    <t>sympatry, crater lake, feeding niche, linear regression, allopatry</t>
  </si>
  <si>
    <t>BerndC_2022-page1.pdf</t>
  </si>
  <si>
    <t>Brianna Betts</t>
  </si>
  <si>
    <t>The Relation of Income Level and Quality Green Space in Contra Costa County</t>
  </si>
  <si>
    <t>Green space is an essential part of any city that provides a free area to enjoy nature, exercise, and build community. However, not everyone has equal access to green space and it is not guaranteed that green spaces are of the same quality across cities. In this study, I looked at the cities of Contra Costa County to determine which cities have more access to quality green space, and to see if this is correlated with income level of those cities. To do this I worked in ArcGIS Pro to map all of the parks in each city in the county to determine green space by area, I then used online data and in person measurements to assess the quality of the parks. Surveys were sent out to the cities and interviews were conducted with city council members to assess the green space maintenance and budgets. I found that San Pablo has the least access to quality green space and Lafayette has the most. The residents in both cities felt that safety should be a main priority at their green spaces. Policymakers need to address the green space in lower income cities to help ensure that it is of the same quality as other cities. In order to generalize my findings through this study, there needs to be future research done on the other cities in Contra Costa County, to see how a middle-income level cities’ green space would relate to the other ends of the spectrum, and if the cities I chose were just exceptions.</t>
  </si>
  <si>
    <t>environmental justice, parks and recreation, disproportionate access, income inequality, urban planning</t>
  </si>
  <si>
    <t>BettsB_2022-page1.pdf</t>
  </si>
  <si>
    <t>Ernesto M. Bracamonte</t>
  </si>
  <si>
    <t>Climate Change and the Authoritarian Alternative: Quantifying the effects of Beijing's 2008 Space Rationing Policy on Air Quality</t>
  </si>
  <si>
    <t>A growing body of literature has indicated a propensity for authoritarian policy responses to public health obstacles caused by climate change among governments of emerging countries located in Latin America and Southeast Asia. Though previous research has provided sufficient explanations for this trend, citing lack of economic resources and disproportionate geographic vulnerability, there is a significant deficiency in research examining the impacts of such authoritarian policy regimes on air quality. This case study examines Beijing, China’s 2008 Summer Olympics Space Rationing Policy, in which license-plate numbers determined whether a vehicle was allowed to drive within city limits during peak traffic hours, and its impact on particulate matter concentrations over a 10-year period from 2008 to 2017 using secondary data collected by the U.S. Embassy in Beijing to determine the effectiveness of authoritarian environmental policy. I calculated summary statistics for each period of policy implementation and compared it to the equivalent pre-treatment day period to measure the absolute and percent change in PM2.5 concentrations with respect to the U.S. Environmental Protection Agency’s Air Quality Index. The initial policy implementation from July 20th to August 24th, 2008 was the only period which exhibited a negative absolute and percent change in mean, median, and standard deviation concentrations of PM2.5, dropping from an average of 95.54286 to 70.59722 micrograms per cubic meter for a percent change of -26.10937. The PM2.5 concentrations over the 10-year study period exhibited an absolute improvement in AQI, peaking at an average of 104.0457 to the lowest record average of 70.07739 micrograms per cubic meter in 2017, consistent with the application of additional and more restrictive measures to combat smog which has historically persisted within the city of Beijing.</t>
  </si>
  <si>
    <t>Particulate Matter (PM 2.5), Beijing 2008 Summer Olympics, end license plate number, U.S. Embassy, environmental authoritarianism</t>
  </si>
  <si>
    <t>BracamonteE_2022-page1.pdf</t>
  </si>
  <si>
    <t>Erin R. Burke</t>
  </si>
  <si>
    <t>Long Term Effect of Marine Protected Areas (MPAs) on Kelp Forest Ecosystems Surrounding the California Channel Islands</t>
  </si>
  <si>
    <t>Marine Protected Areas (MPAs) in the Channel Island National Park contain one third of Southern California kelp forests. Kelp forests provide food and shelter for many marine species, making them essential as the foundation of kelp forest ecosystems. This study looks to determine the effect of MPAs on kelp forest ecosystem function and resilience by comparing kelp establishment, species richness, and functional diversity in paired study sites using California Channel Islands Kelp Forest Monitoring Program data from 2005 to 2019. Survey sites inside MPAs (protected sites) and outside MPAs (non-protected sites) were paired assuming the paired sites will experience similar environmental conditions such that any differences were a result of differing protection status. By comparing ecosystem response between paired sites, one can determine the effect of MPAs on kelp forest ecosystems. I found that pairwise comparisons resulted in largely non-significant differences in kelp establishment, species richness, and functional diversity between protected and non-protected sites. Though over time, there have been trends of high variability in kelp establishment and an overall increase in species richness. I also found evidence of ecosystem resiliency as a drop in functional diversity was followed by recovery to pre-disturbance levels. The observed increase in species richness and evidence of ecosystem resiliency supports the mission of MPAs to protect and restore marine populations, though it may not be sufficient at protecting kelp forests, which may be influenced by factors outside the scope of MPA protections (e.g., climate change).</t>
  </si>
  <si>
    <t>functional diversity, species richness, ecosystem resilience, marine protected areas, kelp forests</t>
  </si>
  <si>
    <t>BurkeE_2022-page1.pdf</t>
  </si>
  <si>
    <t>Zoe A. Chan</t>
  </si>
  <si>
    <t>Barriers to Access Large Green Spaces in Oakland, California</t>
  </si>
  <si>
    <t>Environmental justice connects social injustices to environmental pollutants and anthropogenic climate change. One indicator of environmental injustice is access to green spaces, which provide urban heat island relief, mental health improvements, and noise and air pollution abatement. Larger green spaces are a unique type of green space because it’s size provides opportunities for outdoor recreation activities like camping, hiking, and backpacking, which are also important factors for mental and physical health. Considering the uneven access to green spaces, this research paper identified the barriers to access large green spaces in Oakland, California through survey and interview deployment. My findings indicated 1) access to large green spaces among demographic groups, 2) the importance of social organization and interaction when overcoming experiential and education barriers to large green spaces, and 3) desired amenities for large green spaces.</t>
  </si>
  <si>
    <t>environmental justice, regional parks, institutional organizations, youth development, outdoor recreation</t>
  </si>
  <si>
    <t>ChanZ_2022-page1.pdf</t>
  </si>
  <si>
    <t>Jacob Chow</t>
  </si>
  <si>
    <t>Extended Producer Responsibility &amp; End-of-Life Management: A Policy Analysis Between the United States and the European Union</t>
  </si>
  <si>
    <t>Waste management remains a rampant environmental issue. At the forefront of waste management are single-use disposable plastics, which are conventional, petroleum-based flexible films that are not designed with end markets in mind and do not easily breakdown in the environment. Not only do they contribute to plastic pollution, but they also cost the economy billions annually. In general, post-use products and packaging pose a major threat to the environment due to flawed recycling infrastructure and inefficient legislative guidelines to ensure producers manufacture sustainable products. This paper performs a policy analysis on extended producer responsibility related legislation for two distinct political entities, the United States and the European Union. Using the CDC’s framework on policy analysis, legislation for this study was evaluated based on two criteria: environmental health impact and economic impact.</t>
  </si>
  <si>
    <t>waste management, policy analysis, single-use plastics, circular economy, stewardship programs</t>
  </si>
  <si>
    <t>ChowJ_2022-page1.pdf</t>
  </si>
  <si>
    <t>Jameson N.P. Christiansen</t>
  </si>
  <si>
    <t>Shrub Response to Short vs. Long Disturbance Free Interval in Northern California Chaparral: A Fire and Fire Surrogate Study</t>
  </si>
  <si>
    <t>The shrub dominated Northern California chaparral is a biodiverse ecosystem that is highly adapted to fire. Historical mean fire return intervals in these communities are estimated to have been relatively infrequent, with high severity, stand-replacing fires occurring every 30-70 years. However, this ecosystem has experienced significant anthropogenic alteration of its historic regime. Widespread fire suppression for the past century created an uncharacteristically long fire-free period followed by a recent dramatic increase in the number of fires burning through chaparral stands in short periods of time. It has been suggested that too infrequent fire occurrence may lead to change in plant community structure, while fire returning at too short of interval may lead to risk of type conversion to grassland vegetation. Yet few studies have tested these expectations in Northern California chaparral. To better understand the implications of disturbance regime variation in this ecosystem I resampled a network of research plots in Mendocino county's coast range chaparral. These plots were first established in 2001 and subsequently treated as part of a study observing the long-term disturbance effects of fire and mastication. A 2018 wildland fire event then burned both treated and control plots creating patches of short (&lt;20 years) and long (&gt; 60 year) disturbance return intervals respectively. Significant differences in growth and diversity were not detected between sites experiencing long vs. short disturbance free intervals or different initial treatments. This suggests that chaparral shrubs may have similar recovery trajectories and may be more resilient to variable disturbance intervals than previously feared.</t>
  </si>
  <si>
    <t>fire return interval, mastication, prescribed fire, wildfire, fire regime</t>
  </si>
  <si>
    <t>ChristiansenJ_2022-page1.pdf</t>
  </si>
  <si>
    <t>Isabella I. Ciraulo</t>
  </si>
  <si>
    <t>Students and Green Space Accessibility: Los Angeles Public Schools &amp; Green Space Access Across Different Demographic Student Groups</t>
  </si>
  <si>
    <t>Increased access to green space has been linked with many physical and mental health benefits. This project looked at the correlation between green space access in Los Angeles with Los Angeles Unified School District high schools and their student demographic data. I analyzed datasets using ArcGIS. The mapping analysis showed schools within areas of lower income and more BIPOC populations had less green spaces. This study showed that white and higher income school communities in Los Angeles have more nearby green spaces in the form of neighborhood, community, city, and school parks. Green space access inequity can cause unfair barriers. The distributional outcome of green space in the city of Los Angeles must be addressed by city planners and policy makers.</t>
  </si>
  <si>
    <t>environmental justice, education inequality, Los Angeles, geospatial information systems, green space</t>
  </si>
  <si>
    <t>CirauloI_2022-page1.pdf</t>
  </si>
  <si>
    <t>Isobel Cooper</t>
  </si>
  <si>
    <t>Tracking Municipal Climate Action Plan Progress in the State of California</t>
  </si>
  <si>
    <t>Climate change represents the most significant financial and ecological threat of a generation. The reduction of greenhouse gas emissions in major cities is an effective way to combat and limit warming. Increasingly, Climate Action Plans (CAPs) represent a means for local governments to address climate change by voluntarily adopting emission reduction targets. I evaluated California cities with adopted climate action plans to determine what actions they have taken to update their progress post-adoption, and assessed how certain financial and political factors associate with the progress updates. Of 161 cities analyzed, a majority have taken some steps to update their progress. I found a statistically significant relationship between the political ideology of city residents, per capita municipal expenditure, and whether a city had provided updates on its climate action plan progress. Future investigation of the relationship between these factors on CAP implementation is needed, with particular emphasis on efficacy of aforementioned CAPs in realizing emission reductions.</t>
  </si>
  <si>
    <t>climate change, municipal policy, greenhouse gas, emissions inventory, climate policy</t>
  </si>
  <si>
    <t>CooperI_2022-page1.pdf</t>
  </si>
  <si>
    <t>Ashley T. Cowell</t>
  </si>
  <si>
    <t>Surf’s Up: Green Wave Surfing Resilience to Anthropogenic Disturbance in Wyoming Mule Deer during Spring Migrations</t>
  </si>
  <si>
    <t>Seasonal ungulate migrations are a global phenomenon, yet they are increasingly threatened by human development. Understanding how disturbance alters ungulate behavior and location selection during migrations is critical to identifying effective conservation strategies to preserve migrations and their benefits. I examined the resiliency of green wave surfing during spring migrations of Wyoming mule deer to human disturbance along their migration corridors. I analyzed the GPS locations of collared mule deer during their spring migrations in Wyoming and modeled green wave surfing success on the instantaneous rate of green-up. I applied a step selection function to determine resource selection near two major forms of disturbance along their migration corridors: roads and buildings. I fit a multivariate autoregressive model to estimate the impact of proximity to disturbance on green wave surfing success. I used a generalized additive model on an individual’s resource selection and impact values. At the population-level, deer significantly avoided roads. Proximity to neither roads nor buildings was associated with significant decreases in green wave surfing success. Though mule deer behaviorally respond to human development via avoidance, this response is not connected with a subsequent drop in green wave surfing ability. In conclusion, green wave surfing by mule deer during spring migrations appears to be resilient to human disturbance.</t>
  </si>
  <si>
    <t>Odocoileus hemionus, green wave hypothesis, human disturbance, step selection function, MAR covariates</t>
  </si>
  <si>
    <t>CowellA_2022-page1.pdf</t>
  </si>
  <si>
    <t>David Coyle</t>
  </si>
  <si>
    <t>Analyzing the Impact of Invasive Species on Tripartite Trophic Networks of Sap Suckers in Point Reyes</t>
  </si>
  <si>
    <t>Invasive species represent a major worldwide issue, threatening ecosystems all around the world. While invasive species are present globally, it is important to study their impacts on individual locations. The establishment of invasive species can have wide-ranging impacts and effects across trophic levels. This study aims to understand the impact of invasive plant species on arthropods, specifically Hemiptera, and their associated gut microbiota in Point Reyes, California. First, the arthropods DNA and that of their gut microbiota were sequenced, then those results were formed into a dataset, which was processed into graphs and analyzed for relative alpha and beta diversity. It was found that invasive Velvet Grass is permitting the establishment of the invasive arthropod, Sitobion fragariae in this ecosystem. Of the four Hemiptera, three were specialist and only one, Emoscae fabae was a generalist. Emoscae fabae was found to be outcompeted on Velvet Grass by Sitobion fragariae, even though it is capable of feeding on it. The specialists each had lower alpha and beta diversity of their gut microbiota than the generalist species. The gut bacterial abundance of the specialist species was lower than that of Emoscae fabae. Each specialist had very similar gut microbiota to the other members of their species, while the Emoscae fabae's was more dissimilar. Overall, these results indicate that invasive plants in Point Reyes, particularly Velvet Grass, have had a cascading effect across trophic levels on the arthropods and their gut microbiota.</t>
  </si>
  <si>
    <t>Hemiptera, Invasive plants, insect-plant-microbe interaction, microbiome diversity, alpha and beta diversity</t>
  </si>
  <si>
    <t>CoyleD_2022-page1.pdf</t>
  </si>
  <si>
    <t>Julia Dandar</t>
  </si>
  <si>
    <t>Overlap between Sea Level Rise Projections and Whooping Crane Habitat</t>
  </si>
  <si>
    <t>Sea level rise disproportionately impacts coastal habitats, which threatens the conservation of endangered coastal wildlife. The Whooping Crane (Grus americana) is an endangered avian species that inhabits the coastal wetlands of Aransas National Wildlife Refuge (ANWR), Texas. Currently, there is limited research on the potential effects of sea level rise on the Whooping Crane population in ANWR. I assessed the relationship between sea level rise projections and Whooping Crane occurrence sightings. In order to assess impacts of sea level rise, I determined the overlap between Whooping Crane occurrence sightings and both inundation and coastal erosion projections. Sea level rise projections and Whooping Crane occurrence sightings exhibited a statistically significant relationship with overall p values &lt; 0.05, except at 6 ft in which p &lt; 0.1. This suggests a potential effect of sea level rise on Whooping Crane species abundance that should be further investigated. Whooping Crane occurrence sightings overlapped with each projected level of inundation, ranging from 12.85% to 59.64%. Additionally, 96.4% of occurrences were most vulnerable to moderate coastal erosion, but other coastal erosion projections also had overlapping occurrences to a smaller degree. My results indicate that both inundation and coastal erosion will likely affect habitat availability and composition for the Whooping Crane. As a coastal wetland bird, the Whooping Crane is highly susceptible to sea level rise and its associated threats. In order to preserve the future of the Whooping Crane, it is crucial to implement conservation strategies through intensive research and management efforts.</t>
  </si>
  <si>
    <t>inundation, coastal erosion, Grus americana, endangered species conservation, coastal wetlands</t>
  </si>
  <si>
    <t>DandarJ_2022-page1.pdf</t>
  </si>
  <si>
    <t>Anders de Wit</t>
  </si>
  <si>
    <t>Hydroclimate Impacts on sensitive Benthic Macroinvertebrates in the Drought-stressed Streams of Pinnacles National Park</t>
  </si>
  <si>
    <t>Seasonal and interannual changes in hydroclimate regulate stream ecosystems in Mediterranean-climate regions. Drought is a natural part of these regions and can occur seasonally or over multi-year periods. However, climate change will likely increase drought severity and frequency. Studying benthic macroinvertebrates provides an effective means to determine these impacts on streams. In this study, I examined how EPT (mayflies, stoneflies, and caddisflies) in the streams of Pinnacles National Park are affected by seasonal and interannual changes in hydroclimate. I investigated how EPT abundance, richness, and assemblage composition differ seasonally between a dry year during a multi-year drought and a wet year. Furthermore, I studied whether perennial and intermittent sites have differences in EPT. To answer these questions, I used data from two study years in a long-term monitoring project and collected EPT trait information. I found significant seasonal patterns, with perennial sites having greater abundances in the summer and intermittent sites having greater abundance and richness in the winter. The composition of EPT assemblages at the sites was different between winter and summer in both study years. Dry period duration in intermittent sites was associated with lower abundance and richness in the dry year (2016), but not the wet year (2019). These results reinforce how seasonal changes in flow and stream temperature alter habitat for sensitive taxa like EPT, which can be affected differently in perennial versus intermittent reaches. Continued climate change and more frequent multi-year droughts threaten to degrade freshwater ecosystems and remove sensitive taxa.</t>
  </si>
  <si>
    <t>EPT, perennial and intermittent streams, Mediterranean climate, seasonal change, climate change</t>
  </si>
  <si>
    <t>deWitA_2022-page1.pdf</t>
  </si>
  <si>
    <t>Yifan Ding</t>
  </si>
  <si>
    <t>The Role of Ecolabel Knowledge on Consumers’ Purchasing Behavior: Taking EPA Safer Choice as an Example</t>
  </si>
  <si>
    <t>As modern technology becomes increasingly advanced and there are more and more chemicals appearing across all dimensions in daily life, consumers need to consider both the environmental and health consequences of what they purchase. To help consumers easily distinguish between chemical safe products and other products, promote health and safety to both consumers and the environment, EPA Safer Choice ecolabel was developed to mitigate the gap. For consumers to be willing to purchase eco-labeled products, it is crucial that they have the knowledge of what ecolabels are, understand what they represent and trust the ecolabel. Through collecting surveys from 192 respondents in the Bay Area, the direct relationship between ecolabel knowledge and consumer behavior was investigated, while mediation analysis was also applied to examine the mediation effect of trust. The findings suggested that EPA Safer Choice ecolabel knowledge did not have direct influence on purchase behavior for both EPA Safer Choice labeled cleaner and laundry detergents. EPA Safer Choice ecolabel knowledge had direct positive impact to trust on EPA Safer Choice label, but there was only direct impact of trust on purchase behavior for laundry detergent. The mediation effect of trust was only confirmed in laundry detergent but not in cleaner. The result confirmed the necessity of ecolabel knowledge education, while revealed the heterogeneity of consumers' perception towards different EPA Safer Choice product categories. Further research with larger sample size, more regions and product categories can be performed to deliver a broader landscape of consumers' perception towards EPA Safer Choice Program.</t>
  </si>
  <si>
    <t>choice experiment, mediation analysis, public education, trust, survey</t>
  </si>
  <si>
    <t>DingY_2022-page1.pdf</t>
  </si>
  <si>
    <t>Lily E. Elisha</t>
  </si>
  <si>
    <t>The Shark Fin Trade Elimination Act of 2017: Has It Protected Galeorhinus galeus and Other Threatened Sharks Within California From Unregulated Fishing?</t>
  </si>
  <si>
    <t>Sharks are a critical species within ocean ecosystems whose populations are currently threatened with decline. The purpose of this research project was to determine if the Shark Fin Trade Elimination Act (SFTEA) of 2017 has been effective in lowering instances of shark catch in six major shark species within California waters; Galeorhinus galeus (Soupfin), Notorynchus cepedianus (Broadnose Sevengill), Carcharodon carcharias (Great White), Triakis semifasciata (Leopard), Alopias (Thresher), Hexanchus griseus (Sixgill). I used public shark catch postings on Instagram of the selected species as my data source. I conducted six Wilcoxon sum rank tests were conducted for each species; Soupfin shark p-value= 0.2, Leopard Shark p-value= 0.4, Thresher Shark p-value= 0.1, Great White Shark p-value= 1, Sevengill p-value= 0.07652, Sixgill p-value= .3537. In all instances, the null hypothesis was not rejected. Thus, I concluded the SFTEA of 2017 was not effective in lowering catch rates in all selected individual species of sharks. Then, total shark catch numbers for all six species in a single Wilcoxon test were then cumulatively tabulated from the years 2016-2018 and 2019-2021; results produced a p-value of 0.1. This signified that the summative impact of SFTEA did not lower shark catch numbers across all shark species as a whole. Stricter protection policies for threatened shark species and adherence to current policies is vital for future conservation efforts to combat unsustainable declining population rates.</t>
  </si>
  <si>
    <t>conservation policy, sport fishing, pier fishing, Soupfin, threatened species</t>
  </si>
  <si>
    <t>ElishaL_2022-page1.pdf</t>
  </si>
  <si>
    <t>Amanda Nicole Gonzaga</t>
  </si>
  <si>
    <t>The Effects of School Funding on the Quality of Environmental Education Amongst Seniors in Los Angeles County</t>
  </si>
  <si>
    <t>This study aims to examine the effects of school funding on the environmental education of high school seniors. Three primary factors were analyzed for their effect on the environmental knowledge of students: expenditures per pupil, class size, and school location. By deploying a survey across three Los Angeles County public schools, including one public charter school, 195 responses were analyzed. This study revealed there is a non-statistically significant positive trend between expenditures per pupil and environmental knowledge. There was found to be no relationship between environmental education and the location of the school. Increasing class size increased environmental knowledge. When students were asked where their environmental education came from, the most commonly cited were camping, gardening, and volunteering experiences. Environmental education in Los Angeles schools may be improved by increasing funding which thereby increases resources and opportunities as well as utilizing community-based learning and interdisciplinary curriculum. A major limitation of this study was its small sample size, but this offers room for future research into larger sample sizes as they may lead to statistically significant trends.</t>
  </si>
  <si>
    <t>environmental literacy, pupil expenditures, environmental knowledge, environmental education, science education, school funding</t>
  </si>
  <si>
    <t>GonzagaA_2022-page1.pdf</t>
  </si>
  <si>
    <t>Navid R. Goodarzi</t>
  </si>
  <si>
    <t>The potential for COVID-19 to exacerbate Environmental Injustice faced by Oakland Communities.</t>
  </si>
  <si>
    <t>Communities exposed to higher air pollutant concentrations are at risk of health conditions such as asthma, lung disease, and cancer, many of which increase the severity of COVID-19 infection. In Oakland, pollution is concentrated along freeway I-880, which virtually all Port of Oakland traffic travels through. The harmful emissions from diesel trucks, industrial sites, and port facilities along I-880 have exposed adjacent communities to disproportionate levels of air pollutants, specifically PM 2.5, black carbon, and nitrous oxide. This increased exposure is a legacy of discriminatory policies like redlining, urban renewal, and highway construction. The health burden associated with air pollution and a legacy of disinvestment and displacement create a landscape of inequality on which the coronavirus pandemic acts upon. To understand how COVID-19 has heightened existing vulnerabilities across Oakland, I compared coronavirus case rates over the course of the pandemic in zip codes containing I-880 to case rates in other zip codes to see how distributions of community health hazards overlap. Communities along the I-880 Corridor, including those in West Oakland, East Oakland, Fruitvale, and Chinatown, were found to have a significantly higher COVID case rate over the course of the pandemic, Additionally, communities along I-880 may have had vaccine access compromised, given that they had significantly lower vaccination rates during the initial vaccine rollout. These findings demonstrate how COVID-19 enacts greater harm on lower income communities of color in Oakland, reinforcing nationwide studies that show how the pandemic has a disproportionate impact on those most physically and socioeconomically vulnerable.</t>
  </si>
  <si>
    <t>Air pollution, pandemic, freeway/highway, vaccination, exposure</t>
  </si>
  <si>
    <t>GoodarziN_2022-page1.pdf</t>
  </si>
  <si>
    <t>Emily Hernandez</t>
  </si>
  <si>
    <t>Proximity of Parks and Schools to Highways in Alameda County</t>
  </si>
  <si>
    <t>environmental justice, toxic air pollution, highly-trafficked roads, particulate matter (PM 2.5), children</t>
  </si>
  <si>
    <t>HernandezE_2022-page1.pdf</t>
  </si>
  <si>
    <t>Kyle A. Hicks</t>
  </si>
  <si>
    <t>Lessons In Waste: Assessing High School Student Knowledge of Waste Sorting Literacy</t>
  </si>
  <si>
    <t>Municipal solid waste (MSW) generation is rapidly increasing within the United States, yet not much is known about the effectiveness of education in addressing this issue. This study aimed to understand Oakland high school students’ and teachers’ knowledge of waste sorting literacy and their waste sorting behaviors on campus. The study used waste sorting educational resources provided by Oakland Unified School District’s Green Gloves Program as well as the EPA Guide to Facts and Figures Report About Materials, Waste, and Recycling to construct a survey to assess student and teacher knowledge of waste sorting. The results indicate that there is no significant difference in scores between Environmental Science Students and Non-Environmental Science Students. There was a significant difference in scores between teachers and students, with teachers scoring slightly higher on average, however the average score for both groups was below passing grade level. However, while students’ knowledge of waste sorting was low, results from observations indicate that students are better at sorting their trash in practice than they are at identifying items for disposal. The implications for policy and further research are discussed as potential solutions.</t>
  </si>
  <si>
    <t>Education, Environmental Knowledge, Teacher Knowledge, Environmental Science, Recycling</t>
  </si>
  <si>
    <t>HicksK_2022-page1.pdf</t>
  </si>
  <si>
    <t>Samantha K. Jacobsen</t>
  </si>
  <si>
    <t>Predicting the Distribution of Pomacea canaliculata in California Under Current and Future Climate Scenarios</t>
  </si>
  <si>
    <t>Pomacea canaliculata, a freshwater snail native to South America, has become an invasive species in California since being unintentionally introduced in the 1990s, threatening local ecosystems, agricultural areas, native organisms, and humans. Climate change is predicted to promote the expansion of invasive species within California. Knowledge of the areas at risk of invasion by P. canaliculata and the environmental factors vital to their distribution, is important for preventing their spread and establishment in new areas of California under climate change conditions. In this study, I predicted suitable areas and bioclimatic variable importance for P. canaliculata by using Maximum entropy species distribution modeling under five different climate scenarios: current climate averaged from 1981-2010, climate under SSP1-2.6 from 2041-2070, SSP5-8.5 from 2041-2070, SSP1-2.6 from 2071-2100, and SSP 5-8.5 from 2071-2100. I found that the range of P. canaliculata is not at its full potential in California under current climatic conditions, and that their range is expected to increase under all climate change scenarios but greatest under SSP5-8.5 from 2071-2100. The most important bioclimatic variables were temperature seasonality (68.9%), mean daily mean air temperature of the coldest quarter (22.1%), and mean daily maximum air temperature of the warmest month (6.8%). These results indicate that P. canaliculata may expand more northward and further across coastal regions of California under all climate change scenarios. This supports the widespread view that decreasing greenhouse emissions is the most efficient method in controlling the expansion of invasive species.</t>
  </si>
  <si>
    <t>species distribution modeling, Maximum entropy, climate change, invasive species, dispersal risk</t>
  </si>
  <si>
    <t>JacobsenS_2022-page1.pdf</t>
  </si>
  <si>
    <t>Catherine Jennifer</t>
  </si>
  <si>
    <t>An Assessment of the Relationship Between Food Deserts and Green Space: A Case Study in Seattle</t>
  </si>
  <si>
    <t>Access to healthy, affordable food and greenspace in cities are crucial for human health, as they improve quality of life and overall health of human beings. However, in the United States, the accessibility to grocery stores is not evenly distributed, and many low income areas are deprived of grocery access.The same can be said with greenspace; urban environments are typically population-dense with structures covering many parts of the city, this meant that greenspaces tend to be reserved for those that can afford living around green areas. Poorer individuals often have less access to greenspace in a city. This study investigates accessibility of these facilities in the city of Seattle, Washington to see how it compares to other cities that have done similar studies. To do this, I used ArcGIS to create a map pinpointing each facility’s location and compared the data to the annual median household income in the city for each neighborhood. I found that Seattle has exceptional greenspace access, with almost all areas being at least 1 mile away from a park maintained by the Seattle government. In terms of food access, food deserts in the northern areas are located around neighborhoods with high income (&gt;$159,658 - $200,001), while food deserts in southern areas are located around neighborhoods with low income ($12,543 - $68,705). Future research should aim to examine the quality of food available in each grocery store, as well as the quality of the parks surrounding the area.</t>
  </si>
  <si>
    <t>Food desert, greenspace, income, accessibility, public health, geographic information systems</t>
  </si>
  <si>
    <t>JenniferC_2022-page1.pdf</t>
  </si>
  <si>
    <t>Zarine Kakalia</t>
  </si>
  <si>
    <t>Students &amp; Sustainable Fashion: Understanding Motivations of Thrift Shopping in College Communities</t>
  </si>
  <si>
    <t>Increased global sustainability awareness has led to a rise in conscious consumption, with consumers taking particular interest in the sustainability of their clothing purchases. Second-hand shopping is a common way to promote sustainable fashion and the circular economy by extending the use life of clothing which would otherwise be discarded. Consumers' decision and ability to shop second-hand is driven by multiple factors, and understanding the interaction of these factors can lead to improvements in clothing circularity. The fastest growing customer base for thrift stores is millennials and Gen Z, who are also the most environmentally conscious demographic and the generation of future leaders. This study will investigate college student motivations behind thrift shopping by understanding college student shopping habits and preferences through surveys and the perspectives of thrift stores through interviews. Results show that although UC Berkeley undergraduate students are extremely environmentally conscious, they are not as likely to go out of their way for sustainability. This also translated to critical motivations, such as avoiding corporate chains, ranking second to economic motivations, such as finding the best deals, when it comes to second-hand thrift shopping. Overall, this study showed that although UC Berkeley undergraduates are interested in thrift shopping, it must be the most economical choice in order for fashion purchases to be made there. This study recommends thrift stores to focus on economic incentives, such as student discounts, to increase clothing circularity in college communities.</t>
  </si>
  <si>
    <t>circular fashion, sustainable consumption, clothing recycling, second-hand fashion, college communities</t>
  </si>
  <si>
    <t>KakaliaZ_2022-page1.pdf</t>
  </si>
  <si>
    <t>Sara S. Kalantar</t>
  </si>
  <si>
    <t>The Invisible Burden of Food Insecurity in Asian Americans: A Disaggregated Analysis</t>
  </si>
  <si>
    <t>The Asian American community is a diverse population encompassing over 40 ethnic groups with nuanced diasporic and socio-cultural histories; however, modern discourse makes invisible the community’s struggles through racial homogenization. One urgent environmental health issue disproportionately affecting certain groups more than others is food insecurity. Although some research suggests that certain ethnic groups exhibit higher rates of insecurity, these studies are far too few and preliminary. This project aims to expand the understanding of Asian American food insecurity, while exploring key variables that may contribute to disparities across all racial and ethnic groups. Utilizing multiple binary logistic regression models using data from the 2017 California Health Interview Survey, I found significant variation in food insecurity risk across Chinese, Japanese, Vietnamese, and Other Asian subgroups. The Vietnamese subgroup demonstrated the highest likelihood and proportion of food insecurity, with a similarly high risk as other Black and Latinx groups. Additionally, I found that English proficiency plays a key role in these disparities. My research exposes the violence of homogenization and the failure to adequately address and alleviate food insecurity among all racial and ethnic groups, while challenging standardized approaches to demographic public health research.</t>
  </si>
  <si>
    <t>food systems studies, food security, environmental justice, model-minority, public health</t>
  </si>
  <si>
    <t>KalantarS_2022-page1.pdf</t>
  </si>
  <si>
    <t>Ashley J. Kang</t>
  </si>
  <si>
    <t>Effect of Prior Herbicide Exposure on Rhizobial Response to Glyphosate</t>
  </si>
  <si>
    <t>The effects of herbicides on rhizobia have been well-documented, but little focus has been given to understanding if rhizobia tolerances to herbicide can be explained by prior exposure history. I aimed to test the effect of prior exposure in the field on in-vitro rhizobia tolerances by comparing bacterial growth in increasing glyphosate concentrations between strains isolated from a prior-exposed environment (UC Berkeley’s campus) and a non prior-exposed environment (Ohlone Park, Berkeley, CA). I also isolated rhizobia from four sites within these two larger environments, to further test the role of host strain/site in defining strain tolerances. The strains’ life histories were defined by these two nested conditions, but I found that prior exposure history and site of origin did not significantly define strain tolerances and that strains had incredible variation in tolerances as well as in patterns of tolerance. This suggests that the diverse responses of rhizobia to glyphosate found in previous studies is likely encoded on a strain-by-strain basis with little relation to environmental boundaries. These diverses tolerances within a single species of Rhizobium could be relevant in selecting optimal strains for the agricultural practice of pre-inoculating legume seeds with their compatible rhizobia.</t>
  </si>
  <si>
    <t>Life history ecology, pesticide exposure, environmental adaptation, rhizobia, glyphosate</t>
  </si>
  <si>
    <t>KangA_2022-page1.pdf</t>
  </si>
  <si>
    <t>Jieyuan Kan</t>
  </si>
  <si>
    <t>Remote Sensing Analysis on the Impacts of Wildfires on Snow Cover in Sierra Nevada</t>
  </si>
  <si>
    <t>Mountain snow is a virtual reservoir that stores and releases water, and mountain snow can provide essential water resources for local agriculture. For areas where droughts often occur, water melting from mountain snow has become a very valuable resource for the local farms and ranches (Margulis 2016). However, this water resource is highly seasonal and closely connected to the timing of summer and winter, and also to natural disasters such as fire. The primary research objective behind this study is to find how the megafires would impact the snow cover in the Sierra Nevada mountain range in California, US. Specifically, I want to research whether the melt durations of snow changed in the Sierra Nevada from 2000 to 2016 and whether the severity of megafires relate to the changes of landscapes of snow cover in the Sierra Nevada during that time. I found that the melt duration decreased and with major drops in year with long periods of wildfires. Moreover, the average Snow Water Equivalent value were lower when the fire was more severe, indicating a negative correlation between these two factors. Overall, my study indicates that wildfires have brought many negative effects on the snow cover in Sierra Nevada.</t>
  </si>
  <si>
    <t>snow melting, climate change, environmental disasters, agriculture, snow-water equivalent</t>
  </si>
  <si>
    <t>KanJ_2022-page1.pdf</t>
  </si>
  <si>
    <t>Tara R. Kelly</t>
  </si>
  <si>
    <t>Understanding the Pipe Dreams of San Francisco Bay Area Recycled Water</t>
  </si>
  <si>
    <t>Historically, California has experienced natural periods of drought due to variable annual rainfall. Due to the ongoing climate crisis, these periods are increasing with severity and frequency. The San Francisco (SF) Bay Area depends on transported water from the Sierra Nevada mountains for all drinking water and has needed to regulate non-potable uses, such as irrigation. Recycling wastewater for non-potable reuse is a viable solution to lessen the demand on transported water in California. Although there is a water recycling facility in every SF Bay Area County, there is still an estimated 450,000 Acre Feet of wastewater per year that can be recycled. This research centrally examines the key issues that potential consumers and stakeholders have with expanding SF Bay Area recycled water. To answer this question, local experts and recycled water affiliates were interviewed, their answers were coded and organized into charts. The theme of education was found in most key drivers and barriers. Because the public lacks water reuse knowledge and how water infrastructure works, they do not demand access to recycled water. Additionally, SF Bay Area residents have not felt the effects of climate change as much as other areas due to the Mediterranean climate and holding senior water rights. To drive the demand for recycled water, the public must become more educated about water scarcity and the SF Bay Area’s socioeconomic status in order to not divert unnecessary resources from disadvantaged communities in the Central Valley.</t>
  </si>
  <si>
    <t>water reuse, water systems, non-potable reuse, recycled water stakeholders, water scarcity</t>
  </si>
  <si>
    <t>KellyT_2022-page1.pdf</t>
  </si>
  <si>
    <t>Jenna D. Krugler</t>
  </si>
  <si>
    <t>Rapid Climate Adaptation in San Francisco Bay Area Songbirds</t>
  </si>
  <si>
    <t>Museum specimens offer a unique and powerful tool for understanding the impact of climate trends and anthropogenic change on populations over time. Morphological traits tend to be impacted by many different environmental variables that are difficult to separate from one another as potential driving factors. A combination of modeling and comparative analysis between similar species experiencing certain shared variables can allow us to more confidently say what the likely driving factors are of morphological change over time. I compared the temporal changes in bill size, tarsus length, and body size between six species of songbirds from the San Francisco Bay Area over the past 150 years. Then I used linear mixed effects models to determine what climate variables are most likely contributing to the observed temporal patterns of morphological change. I found a significant increase in bill surface area across all but one species and minimum annual vapor pressure deficit was consistently the best explanatory variable of temporal change in bill surface area. This result is less intuitive than our original, temperature driven hypothesis, yet consistent with some literature and the hypothesis that bills may be used as more efficient thermoregulatory organs when subject to a more humid environment. Overall, this study has important implications for future research on the role of bills in thermoregulation and for conservervation efforts based on the adaptive capacity of birds to respond to climate change.</t>
  </si>
  <si>
    <t>thermoregulation, museum specimens, climate change, California, bill morphology</t>
  </si>
  <si>
    <t>KruglerJ_2022-page1.pdf</t>
  </si>
  <si>
    <t>Gwantae Lee</t>
  </si>
  <si>
    <t>Life Cycle Assessment of a Food Service Operation in Oakland, CA</t>
  </si>
  <si>
    <t>The relationship between humans and food is very close. Humans have to eat to live, and the scale of the foodservice industry is growing. Depending on the way food is prepared and its ingredients, its impact on the environment varies. However, research on the environmental impact of food service operations is scarce. The life cycle assessment study focused on the two-year activities of running a restaurant. It includes both direct and indirect contributions. For this study, a food service operation model was developed in three stages: material production (extraction from nature and farming), transportation, and restaurant operation. Data was collected from a Korean restaurant in Oakland, CA, and former LCA studies. Between the three systems, material production contributed to hotspots in the GHG emissions of the restaurant. Producing beef was the hotspot among the entire materials used for the restaurant operation. Transportation of material and energy consumption for the operation were the other two big contributors to GHG emissions. This study presents an overview of climate change impact on the operation of a Korean restaurant. The result helps to direct potential solutions to reduce the environmental impact of the restaurant operation.</t>
  </si>
  <si>
    <t>LCA, GHG emission, carbon footprint, Korean food, restaurant operation</t>
  </si>
  <si>
    <t>LeeG_2022-page1.pdf</t>
  </si>
  <si>
    <t>Tammy J. Lee</t>
  </si>
  <si>
    <t>Sediment Discharge Rates in the Sacramento River Reservoirs</t>
  </si>
  <si>
    <t>Every dam-reservoir system is subjected to the effects of eventually sedimentation from the riverbeds they sit on, These sedimentation rates can be measured by calculating the trap efficiency of a reservoir: the ratio of incoming sediment that gets trapped out of the total sediment that passes. For this study I calculated the trap efficiencies and sediment yields of three reservoir systems along the Northern Sacramento River in California: Lake Britton, Lake McCloud, and Lake Shasta. Ultimately, I wanted to see how different factors may affect trap efficiency and sedimentation throughout time; in response to the recent prolonged drought in California, I sought to record trap efficiencies from all three sites from 1975 to 2020 . To test this, I used three different types of models that used their own unique metric to calculate trap efficiency: the Brown (1944) model that uses active reservoir capacity, the Brune (1953) model that uses upstream discharge, and the Rausch and Heinemann model (1975) that uses storm detention time. The three models trap efficiencies were then used to calculate sediment yield using a model that accounts for upstream reservoir trapping. Overall results have shown that trap efficiency has remained the same range within the last forty-five years. Final calculations showed that the Brune model yielded both the consistently the highest trap efficiency (~0.9999) but the smallest yearly sediment yields. The Brown model yielded on average the lowest trap efficiency yields but also the largest range of trap efficiencies [0.5] and the largest sediment yields.</t>
  </si>
  <si>
    <t>trap efficiency, sediment yield, time series, dynamic time warping, linear regression</t>
  </si>
  <si>
    <t>LeeT_2022-page1.pdf</t>
  </si>
  <si>
    <t>Veda Lelchook</t>
  </si>
  <si>
    <t>Food Deserts in the East Bay: Community Asset Assessment and Policy Solutions</t>
  </si>
  <si>
    <t>Food deserts are an environmental justice issue caused by decades of underinvestment and neglect. In this study, I evaluated food deserts in the East Bay through three different methods. Census data analysis revealed that racial minorities and low income households are strongly overrepresented in food deserts. School aged children (5-19 years) are also overrepresented. A community based participatory research approach revealed the various ways that community members have come together to reduce food insecurity. Through urban gardening, farmers markets, and free pantries and fridges, community organizations have begun to close the gap caused by government neglect. A GIS mapping approach revealed how government resources are distributed throughout the East Bay in relation to food deserts, and how community resources fill the gaps. The visual representation of food deserts, community assets, and government assets all on one map created a useful picture to support policy recommendations. Based on the results, I have produced a set of policy solutions which work together to address food insecurity and the deep-rooted issues that cause food insecurity. First, local businesses and urban agriculture should be supported and expanded. Next, the social safety net should be expanded. Finally, inclusive housing policy should be prioritized. Food insecurity is one part of a much larger issue, food apartheid, and cannot be addressed without addressing deep structural inequalities.</t>
  </si>
  <si>
    <t>environmental justice, food apartheid, community based participatory research, community food system, policy</t>
  </si>
  <si>
    <t>LelchookV_2022-page1.pdf</t>
  </si>
  <si>
    <t>Amber R. Lennon</t>
  </si>
  <si>
    <t>Impacts of Maintaining Fuel Treatments with Mechanical Methods on Soil Carbon &amp; Nitrogen in a Sierra Nevada Mixed Conifer Forest</t>
  </si>
  <si>
    <t>Western North American forests are becoming increasingly vulnerable to high severity wildfire due to recent management practices, climate change, and altered fire regimes. Fuel reduction treatments are necessary to effectively mitigate wildfire hazard by altering forest structure and fuel loading. These treatments also have broader ecological impacts on wildlife habitat, soil properties, carbon storage, bark beetles, and forest diseases. This study considers the effects of maintaining mechanical thinning treatments on carbon and nitrogen stored on the forest floor and in the mineral soil. The maintenance treatments were applied 14-16 years after the initial treatments in 3 randomly assigned stands at Blodgett Forest Research Station. I used paired t-tests to measure the differences between pre-treatment means and post-treatment means of carbon and nitrogen on the forest floor and in the mineral soil. I found that all concentrations of carbon and nitrogen on the forest floor and in the mineral soil were significantly affected by the treatment. However, these changes in carbon and nitrogen concentrations were not reflected in the litter depth, bulk density, soil carbon stock, carbon to nitrogen ratio. My results somewhat differ from previous studies likely due to the inherent differences between initial and maintenance treatments, since maintenance treatments prolong the effects of initial treatments. Understanding the ecological impacts of mechanical thinning treatments is important, as mechanical treatments can be used in urban wildland interfaces and areas where prescribed fire is an unlikely management tool.</t>
  </si>
  <si>
    <t>forest management, fuel treatments, soil science, carbon stocks, carbon sequestration</t>
  </si>
  <si>
    <t>LennonA_2022-page1.pdf</t>
  </si>
  <si>
    <t>Junting Liang</t>
  </si>
  <si>
    <t>Effectiveness of Asian Clams (Corbicula fluminea) in Mitigation of Freshwater Eutrophication with Microcosm Approach</t>
  </si>
  <si>
    <t>Freshwater eutrophication degrades water quality and poses severe harm to ecological and human health. Bivalves are filter feeders that could be used for controlling the algae blooms associated with eutrophication by grazing on the phytoplankton and removing excess nutrients. This study conducted two laboratory microcosm experiments to investigate the capability of a widely spread bivalve, the Asian clam (Corbicula fluminea), to remediate freshwater eutrophication. The water was collected from two natural lakes. By the end of the first experiment, the values of turbidity, nitrate, ammonium nitrogen, and phosphate were significantly lower than the controls for water from both lakes, indicating a remarkable improvement of water quality by the stock of the Asian clams. The Asian clams displayed no differentiated performance in eutrophication mitigation between the two types of water since the trends of changes of the water parameters between measurements did not reflect inconsistency in distinct water bodies. In another experiment, the Asian clams' ability to tackle eutrophication was tested across three volumes of water. The result indicated that the Asian clams were fully capable to bear a remediation load of 5L to 6.7L water per individual and implied a considerably larger threshold volume for their mitigation capacity. Overall, under the selected conditions and densities, the Asian clams demonstrated their robust filtration capability to mitigate eutrophic water. With further complementing studies to obtain a more comprehensive understanding of their ecological functioning and impacts in freshwater ecosystem, it is plausible to develop a biotreatment solution of eutrophication based on the bivalve.</t>
  </si>
  <si>
    <t>bivalve filtration, nutrient content, turbidity, water quality, bioremediation</t>
  </si>
  <si>
    <t>LiangJ_2022-page1.pdf</t>
  </si>
  <si>
    <t>Kayla A. Lin</t>
  </si>
  <si>
    <t>Urban Forestry: Biodiversity of San Francisco’s Street Trees</t>
  </si>
  <si>
    <t>Urban forestry is growing increasingly important due to the rise of urbanization and the aesthetic, economic, and ecosystem benefits that urban trees provide to cities and residents. Potential future environmental shifts also emphasize the growing importance of resilience through planning and management of the urban forest so that it can maintain these benefits. The city of San Francisco acknowledges its low tree abundance and canopy cover compared to other major cities in the US and has made strides towards improving the urban forest. To ensure that this effort leads to an urban forest that serves all residents and is more resilient to increasing hazards, the current urban forest needs to be analyzed to identify areas that could benefit from an increase in tree planting and tree biodiversity which is a predictor of an urban forest ecosystem’s resilience. In this study, I analyzed the biodiversity and distribution of San Francisco’s street trees, by determining (i) how diverse and distributed the tree species are demographically and, (ii) if there are different levels of biodiversity and street tree distribution between different neighborhoods throughout the city. I performed a secondary data analysis using data from the urban tree database San Francisco Street Tree Map. My study found a very high level of biodiversity amongst the street trees overall and identified neighborhoods that would most benefit from an increase in street tree planting so as to make the distribution of the many benefits that street trees provide more equitable.</t>
  </si>
  <si>
    <t>diversity index, equability, environmental justice, ecosystem services, neighborhood</t>
  </si>
  <si>
    <t>LinK_2022-page1.pdf</t>
  </si>
  <si>
    <t>Angela Liu</t>
  </si>
  <si>
    <t>Exploring Potential Methods for Reducing Paper Napkin Waste In A High School Cafeteria</t>
  </si>
  <si>
    <t>With increased urbanization, the amount of waste we produce has become a growing concern, especially municipal solid waste (MSW), which individuals and households interact with the most daily. Albeit seemingly trivial, paper napkins constitute a sizable portion of MSW and are major contaminants in multiple waste streams. I explored factors influencing napkin usage and possibilities to reduce paper napkins via two main strategies—demand-side management in the form of education and default nudge—implemented in isolation and in combination. Specifically, my default nudge strategy made napkins more difficult to access while the education treatment informed diners of the environmental footprint of paper napkins. My data consisted of the napkin count per person during lunch on Mondays, Wednesdays, and Fridays for each treatment week (baseline, default nudge, education, and combined treatments) and I performed statistical tests (t-test, ANOVA, and Tukey HSD) to aid the analysis of my results. I found a statistically significant difference in the mean napkin reductions per meal per person between default nudge and education where the former produced greater reductions than the latter. Education did not yield statistically significant results compared to the baseline level, and the combined implementation of both treatments made no significant contribution than the effects attributable to default nudge alone. Analysis of surveys with diners revealed a disconnect between thoughts and actions regarding environmental knowledge and behavior, highlighting napkin use rationales that echoed the effectiveness of default nudge. Therefore, default nudge is optimal for managing paper napkins and, more generally, single-use disposable goods.</t>
  </si>
  <si>
    <t>municipal solid waste, demand-side management, education, default nudge, paper napkins</t>
  </si>
  <si>
    <t>LiuA_2022-page1.pdf</t>
  </si>
  <si>
    <t>Grace A. Martin</t>
  </si>
  <si>
    <t>Achieving Zero Waste: Waste Sorting Behavior, Knowledge, and Barriers at a University of California, Berkeley Residence Hall</t>
  </si>
  <si>
    <t>Providing university students with an education on how to correctly sort waste on campus is a common method used to theoretically reduce waste contamination levels, but there is a lack of concrete data proving that education on waste sorting results in an increase in correct waste sorting and a reduction in waste contamination levels. In this study, I researched if increasing education on waste sorting would reduce waste contamination levels at University of California, Berkeley. I did this by holding an educational campaign on waste sorting accompanied by pre-/post- waste audits at a residence hall to investigate behavior change and pre-/post- waste sorting quizzes to investigate changes in knowledge. Following this, I interviewed 36 students on the waste sorting process on campus and the challenges they may face with it. From this study, I found that there were no statistically significant waste behavioral changes after the educational campaign, but knowledge on the waste streams did have a statistically significant increase after the educational campaign, and students face waste related infrastructural barriers at the residence halls. The improvement in downstream infrastructure only would not allow us to meet the campus’s zero waste goal. To the meet the campus zero waste goal, upstream solutions are needed.</t>
  </si>
  <si>
    <t>waste contamination, waste diversion, infrastructure, waste audit, education</t>
  </si>
  <si>
    <t>MartinG_2022-page1.pdf</t>
  </si>
  <si>
    <t>Shannon E. McKillop-Herr</t>
  </si>
  <si>
    <t>The Diversity and Distribution of Macroinvertebrate Assemblages in Two California Streams</t>
  </si>
  <si>
    <t>Mediterranean stream systems are characterized by seasonal cycles of hydrologic flow recession, which plays a major role in structuring macroinvertebrate communities. The contrasting flow regimes of intermittent and perennial streams contribute to differences hydrology, and therefore, macroinvertebrate assemblage composition. The intermittency of streams and rivers is expected to increase with climate change, and a better understanding of the linkage between hydrology and phenology is necessary. In this study, we analyzed the density, diversity, functional feeding group composition, and taxonomic composition of benthic macroinvertebrate communities within a perennial stream (Elder Creek) and a intermittent stream (Porter Creek) in Northern California throughout the summer (from May – August). We found that the densities of macroinvertebrates were similar between the streams, but the composition and distribution of organisms differed. Density and diversity metrics fluctuated more throughout the summer in the intermittent stream, due to habitat heterogeneity and transiency throughout the summer. Pools did not serve as a refuge from stream desiccation in either stream, as organisms did not seem to migrate to pools throughout the summer. The streams were taxonomically similar; but there were differences between the densities of taxa in each stream. The densities and compositions of functional feeding groups were generally dissimilar, although certain groups (shredders) were highly similar between streams.</t>
  </si>
  <si>
    <t>community composition, hydrology, intermittent, perennial, density, Shannon diversity index, family richness, functional feeding group</t>
  </si>
  <si>
    <t>McKillop-HerrS_2022-page1.pdf</t>
  </si>
  <si>
    <t>Jiaqi Meng</t>
  </si>
  <si>
    <t>New Way to Implement Hydrocarbon degradation in Soil Through Bioremediation</t>
  </si>
  <si>
    <t>Because of industrialization, crude oil is widely used in manufacturing factories, refineries, and power plants, causing severe oil contamination in the environment. Enormous oil spills leak into wetlands and the ocean, leading to biodiversity reduction, ecosystem fluctuations, and public health concerns. This research aims to explore a tactic to improve the efficiency of oil degradation in wetland areas. Based on a recent study in the country of Georgia, bio-surfactants are proven to be the critical component of a bio-remediator. By breaking the structure of long-bond hydrocarbon, biosurfactant shows a strong ability in degrading heavy diesel. My project authenticates the performance of bio-surfactants by comparing them with traditional bacteria-based oil degraders. Combining the data from the field and experimental studies, the research concludes that in the same period of bioremediation on wetland soil, bio-remediator with rich biosurfactant has a better effect on the wetland soil recovery. The final hydrocarbon degradation is twenty percent higher than that done by the traditional bio-remediator compared to the soil sample under traditional bioremediation treatment. Also, the results are consistent among different types of oil spills. The conclusion of the research provides an improvement direction for the bioremediation in the San Francisco Bay wetland land area, which is playing a role as a clean water filtration system, wildlife habitats, and resources for local economic development. With a more advanced hydrocarbon degradation technology, bioremediation projects in San Francisco Bay wetland can deal with more environmental and social problems.</t>
  </si>
  <si>
    <t>bioremediation, hydrocarbon, biosurfactant, wetland destruction, oil remediation</t>
  </si>
  <si>
    <t>MengJ_2022-page1.pdf</t>
  </si>
  <si>
    <t>Miku Nakamura</t>
  </si>
  <si>
    <t>Using GRACE mascon to Analyse the Behaviour of Terrestrial Water Storage Anomaly in 11 months Lead Time of Floods</t>
  </si>
  <si>
    <t>Extreme weather events are increasing in both frequency and intensity due to climate change. Among those impactful events, floods are often the deadliest natural disaster that kills people and damages economies. River runoff is commonly used as proxy for flood study; however, it is hard to apply when a flood does not occur in river basin. Here, I investigate the use of remote sensing technique to study hydro-metrological approach to flood. The Gravity Recovery and Climate Experiment (GRACE) mission collects gravity data and converted into GRACE mascon by Goddard Space Flight Center (GSFC). I used this data to analyse the behaviour of Terrestrial Water storage Anomaly (TWSA) in 11 months before the 15 deadliest flash flood events around the globe from 2004 to 2021. I grouped flood events by origin, magnitude, and duration of flood. I took the correlation coefficient (R-value) of TWSA for every pair of 15 events and averaged them to estimate correlation as a group. R-value for all 15 events was 0.0304, showing no correlation within groups. I repeated the same process for all subgroups and found one subgroup with positive correlation. While most of the subgroups showed no correlation, monsoonal rain showed 0.5880. This is significantly different from R-value of all 15 events (p&lt;0.01). Thus, TWSA of monsoonal rain triggered flood events had the statistically significant pattern of TWSA behaviour in 11 months lead time of event occurrence. Although there might be a seasonal factor affecting the result, this study showed the possibility of generalizing TWSA behaviour for flood events.</t>
  </si>
  <si>
    <t>Gravity Recovery and Climate Experiment (GRACE), flooding, Terrestrial Water Storage Anomaly, time series analysis, hydro-meteorology</t>
  </si>
  <si>
    <t>NakamuraM_2022-page1.pdf</t>
  </si>
  <si>
    <t>Elias Nash</t>
  </si>
  <si>
    <t>Modeling How Widespread Soft Energy Can Help Avoid Catastrophe: A Texas Hurricane Case Study</t>
  </si>
  <si>
    <t>Anthropogenic emissions have impacted global climate and weather regimes, leading to the increase in frequency and severity of natural disasters. The current centralized energy infrastructure is highly vulnerable to natural disasters. It is quantitatively uncertain if a soft energy framework is less vulnerable and more resilient. I conducted a case study of Texas hurricanes and examined the relationship between resilience to these natural disasters and increasing soft energy deployment. A dataset on past hurricanes and electricity generation statistics was collected. I used a multivariate linear regression to test the relationship between selected proxies for resilience and key explanatory variables of a soft energy framework. Cost, death toll, and recovery time were chosen as proxies for resilience and key explanatory variables for soft energy framework were increasing electricity generation from renewables and distributed sources. From the regression models, no statistically significant relationship was found between my proxies for resilience and key explanatory variables. However, when plotting the proxies for resilience against changing electricity generation from renewables and distributed energy, downward trends were observed for all expect cost and changing renewables. These trends are promising and could lead to key insights about how to structure future electricity infrastructure in the face of climate change, but more research is needed.</t>
  </si>
  <si>
    <t>resilience, renewable energy, linear regression, natural disasters, energy infrastructure</t>
  </si>
  <si>
    <t>NashE_2022-page1.pdf</t>
  </si>
  <si>
    <t>Tsz Hin Ngan</t>
  </si>
  <si>
    <t>Biological Trait &amp; Biodiversity Difference of Macroinvertebrates Occupying the Intermittency Continuum in California Mediterranean Streams</t>
  </si>
  <si>
    <t>Ephemeral streams experience flow for a short duration after precipitation events with sporadic discharge patterns. Ephemeral streams are rain-fall dominated with an absence of forest litter. In comparison, perennial streams have continuous surface flow throughout the year with less variable discharge patterns in the absence of extreme prolonged drought. As climate change continues to alter the weather patterns in California, there will be more polarized precipitation events that cause an increased frequency of both floods and droughts. Gradually increasing the proportion of streams that have ephemeral flow regimes in Mediterranean regions. Understanding the ecological difference between ephemeral and perennial streams such as the presence of different biological traits and amount of functional trait space occupied can help us anticipate whether macroinvertebrate communities in different flow regimes are more prone to the ecological impacts of climate change. I hypothesize that the habitat difference in the two distinct flow regimes will affect the trait composition in streams. I looked at the abundance of stream macroinvertebrate from Hunting and Knoxville Creeks in California and linked their abundances to published trait information on 63 modalities of 13 biological traits, potentially reflecting communities' resilience from and resistance to dessication events. Although all but one of the metrics used to quantify taxonomic diversity scored higher in perennial streams than in the ephemeral streams, I did not find a significant difference in the total abundance of macroinvertebrates present at each site. In contrast, functional richness was significantly higher at the ephemeral site. Functional evenness did not differ significantly between ephemeral and perennial streams, but functional divergence was significantly higher in perennial macroinvertebrates communities.</t>
  </si>
  <si>
    <t>ephemeral, perennial, freshwater ecology, climate change, functional space</t>
  </si>
  <si>
    <t>NganT_2022-page1.pdf</t>
  </si>
  <si>
    <t>Rachel Ng Jie Min</t>
  </si>
  <si>
    <t>Heat, Health and Central Valley Agricultural Populations: Examining Farmworker Vulnerability to Emerging Health Threats of Global Warming</t>
  </si>
  <si>
    <t>With increasing incidence of heat waves due to global warming, agricultural communities and farmworkers specifically will spend more work days under higher temperatures. The health impact of extensive time spent under heatwave conditions resulting in heat-induced illnesses are still unclear. To exacerbate these health related impacts, many farmworkers might not be able to reach infrastructure and public resources which can reduce vulnerability to heat illness. This project assesses the vulnerability of agricultural populations to the emerging health threats of global warming using a holistic framework by evaluating the incidence of heat induced illness in agricultural communities and the availability of healthcare resources. A linear regression weight analysis model was used for this analysis. The results show that while heat does not imply a direct correlation to possible heat induced illness, namely cardiorespiratory illness, it shows a possible stronger relationship to ethnicity and ages which relate to farmworker demographics. Healthcare resources were analyzed using ANOVA and T-test to understand the gap between agricultural counties and non agricultural counties while descriptive statistics were used to outline any variability. The results of this analysis highlight the insufficient healthcare resources available to agricultural communities. Another finding of this project is the need to standardize heatwave definitions to enable consistent and useful public policy for safeguarding the health of farmworkers. Unfortunately, this data modeling technique fails to encapsulate the socio-political demographic nuances of agricultural communities which is often abstracted from the data.</t>
  </si>
  <si>
    <t>Central valley, agricultural communities, heatwaves, vulnerability analysis, healthcare resources, agricultural policy and regulation</t>
  </si>
  <si>
    <t>NgR_2022-page1.pdf</t>
  </si>
  <si>
    <t>Julianne S. Oshiro</t>
  </si>
  <si>
    <t>Identifying Dunaliella’s Iron-Starvation Responses for Photosynthetic Maintenance</t>
  </si>
  <si>
    <t>Iron is often a limiting nutrient in nature, with 30% of the world’s oceans and 40% of arable land containing so little bioavailable iron that it limits primary productivity (Moore and Braucher 2007). Photosynthesis is an iron heavy process, so in low iron environments, photosynthetic efficiency is reduced in many organisms. The eukaryotic, green algae Dunaliella are extremophiles that are found in saline environments and have been shown to grow in environments with extremely low iron. In this paper I aimed to identify the mechanisms iron-starved Dunaliella employs to maintain high levels of photosynthetic efficiency. To do this, I first determined the pre-defined iron nutritional stages of iron-limited, deficient, and replete conditions for two species of Dunaliella: Dunaliella tertiolecta and the beta-carotene hyper-accumulating Dunaliella salina. I discovered that the iron limited and replete conditions for both species of Dunaliella are 0.15 and 15 uM Fe respectively. The iron deficient condition for D. salina is 3 uM Fe and for D. tertiolecta it is 5 uM Fe. I then compared the photosynthetic efficiency parameters of both Dunaliella species to the reference alga, Chlamydomonas reinhardtii, across all three iron conditions. D. salina seems to maintain its photosystem II (PSII) efficiency better than D. tertiolecta under low iron nutrition. I hypothesize that this may be due to its slower growth rate or a better low iron uptake ability. Understanding how the unique low iron mechanisms function in Dunaliella will give insight into engineering other photosynthetic organisms to respond better to low iron nutrition, which could lead to an increase in the world’s crop yields, primary productivity, and carbon sequestration.</t>
  </si>
  <si>
    <t>Iron homeostasis, Chalmydomonas reinhardtii, Dunaliella salina, Dunaliella tertiolecta, photosynthetic efficiency</t>
  </si>
  <si>
    <t>OshiroJ_2022-page1.pdf</t>
  </si>
  <si>
    <t>Anjika Pai</t>
  </si>
  <si>
    <t>Beyond Legal Standing: Rights of Nature as a Tool for Indigenous Sovereignty</t>
  </si>
  <si>
    <t>Ongoing environmental justice efforts highlight the need to support Indigenous communities and natural bodies simultaneously through codifying Indigenous beliefs and Indigenous-led environmental stewardship. This could take place through the creation and implementation of federal, state, or tribal laws recognizing Rights of Nature (RoN). Such laws support local sovereignty movements, including the cultivation of Indigenous land sovereignty. To understand the link between RoN laws and Indigenous sovereignty, I conduct a systematic review of all 36 established RoN laws in the United States. I also use a primary source review to develop case studies of interactions between three tribal nations and the RoN movement. While both local ordinance and tribal RoN laws aim to protect natural bodies from toxic waste, local RoN ordinances fail to integrate Indigenous belief and stewardship systems into their intended implementation plans. Based on the shared interests and templates of all RoN laws, it is possible to “Indigenize” environmental law and promote Indigenous sovereignty through the enforcement of the Rights of Nature. A baseline understanding of the motivations, implementation, and outcomes of RoN laws provides a basis to design environmental laws that effectively steward local ecosystems and uphold Indigenous sovereignty in the United States.</t>
  </si>
  <si>
    <t>environmental stewardship, legal personhood, traditional ecological knowledges, tribal law, community rights</t>
  </si>
  <si>
    <t>PaiA_2022-page1.pdf</t>
  </si>
  <si>
    <t>Shane Puthuparambil</t>
  </si>
  <si>
    <t>Digging Deeper: Impacts of Block 43 ITT Oil Development on Yasuní National Park</t>
  </si>
  <si>
    <t>The increasing energy demand is driving increased oil production. An oil project that began development in 2016 in northeastern Ecuador is projected to produce over 120,000 barrels of oil per day. Referred to as Block 43, or Yasuní-ITT, the oil production is at the heart of one of the most biologically and culturally diverse regions in the world, Yasuní National Park. Given the relative abundance of research on emissions from oil use, this study aims to understand the holistic impacts of oil development in the Yasuní-ITT project in three regards: (1) climate change, (2) biodiversity, and (3) human health. This study uses a combination of emissions modeling to measure oil production emissions and satellite imagery analysis to understand forest cover loss and assess the development’s impacts. Model results show that the three ITT oil fields emitted over 10 megatons of CO2e between 2016 and 2022. Satellite imagery analysis shows that the forest has lost nearly 3 km² of primary cover during the construction of the oil access road and wells. Furthermore, I found that the climate, biodiversity, and human health damages go against the constitutional obligations outlined by the Government of Ecuador regarding the rights of nature and Indigenous communities. As pressures to extract more oil, gas, and other minerals increase, studies examining the effects of extraction on climate change, biodiversity, and human health will be critical for governments to decide whether to continue with such projects.</t>
  </si>
  <si>
    <t>oil extraction, forest cover loss, Indigenous communities, satellite imagery, biodiversity</t>
  </si>
  <si>
    <t>PuthuparambilS_2022-page1.pdf</t>
  </si>
  <si>
    <t>Sophia L. Ramirez</t>
  </si>
  <si>
    <t>“Don’t Drink The Water”: Understanding Water Quality And Availability in Mexico City</t>
  </si>
  <si>
    <t>The scientific evaluation of contaminants and water quality characteristics is essential to protect the lives of people around the world. This study evaluates water quality and health risks in the Mexico City area. We evaluated sixteen water parameters and arsenic in eleven sites varying from tourist attraction areas in Mexico City to rural socially-environmentally variable cities around Mexico City. We assessed water quality using a two-sample t-test to evaluate if there is a significant difference in water quality between rural and tourist sites. The findings demonstrate that lead, sulfate, hydrogen sulfide, and nitrate showed significant levels of these contaminants in rural areas that exceeded EPA standards in comparison to tourist area communities. This study provided awareness for the necessary steps to improve water quality in rural communities in Mexico.</t>
  </si>
  <si>
    <t>RamirezS_2022-page1.pdf</t>
  </si>
  <si>
    <t>Hannah C. Ramsey</t>
  </si>
  <si>
    <t>Understanding Environmental Motivation in College Students</t>
  </si>
  <si>
    <t>The goal of this study is ultimately to understand sources of environmental motivation to serve as a model for inspiring pro-environmental behaviors. Environmental motivation can take biospheric, altruistic, or egoistic forms, and two potential sources of environmental motivation are environmental knowledge and environmental worldviews. I conducted a survey of an undergraduate class at UC Berkeley to determine the relationships between environmental relationships between environmental motivation. To collect my environmental motivation data, I included an adapted version of the Environmental Motives Scale (EMS) in my survey. To collect environmental knowledge data, I asked multiple choice survey questions assessing the respondents’ environmental knowledge. To collect environmental worldview data, I included an adapted version of the New Ecological Paradigm (NEP) scale. Students studying within the Rausser College of Natural Resources held a higher amount of biospheric motivation than students in other departments. Students studying all other majors possessed stronger ties to altruistic motivation than the other two types. In general, environmental knowledge showed very weak correlations to environmental motivation. Environmental worldview correlated more strongly to each type of environmental motivation than environmental knowledge did, though the overall correlation was still weak. The strongest NEP correlations indicate that environmental worldview is particularly related to biospheric motivation. Though my hypotheses were not supported, the more detailed information did show that biospheric motivation was linked to environmental knowledge and environmental worldviews.</t>
  </si>
  <si>
    <t>environmental knowledge, environmental worldviews, altruistic, biospheric, egoistic</t>
  </si>
  <si>
    <t>RamseyH_2022-page1.pdf</t>
  </si>
  <si>
    <t>David Ramus</t>
  </si>
  <si>
    <t>Peyote is in Danger</t>
  </si>
  <si>
    <t>Peyote is a small cactus that produces psychoactive compounds, growing in the American southwest and northern Mexico, and it has been used for spiritual practices by the certain North American Indigenous groups for thousands of years. Most peyote used is harvested from the wild, and access to peyote has become a problem in modern day for people who depend on it for their spiritual practices. This access challenge is due to a combination of ecological and legal obstacles, which include reduced wild populations as well as indigenous land access problems, especially in the United States. Most peyote grows in Mexico, but American practitioners are only legally allowed to use peyote grown in the American wild. Existing populations that are harvested for use in the United States have suffered population decline. I conducted interviews with peyote practitioners, conservation, and religious organizations to learn their perspective on access, conservation, and the future of peyote usage. Respondents detailed that many solutions to this issue are being explored, such as peyote cultivation, advocating for legal changes, population restoration in areas where it is depleted, and peyote alternatives.</t>
  </si>
  <si>
    <t>psychedelics, indigenous rights, land access, cacti, desert, environmental law</t>
  </si>
  <si>
    <t>RamusD_2022-page1.pdf</t>
  </si>
  <si>
    <t>Taylor F. Rein</t>
  </si>
  <si>
    <t>Floral Insect Visitation to California Native Flowers and their Exotic Counterparts at the UC Berkeley Botanical Garden</t>
  </si>
  <si>
    <t>The introduction of non-native plant species to the urban landscape has altered historic plant-insect interactions and raised concern regarding the conservation of native pollinators. Little research has investigated the potential of specific exotic flower species to attract pollinators compared to taxonomically-related native flowers. I investigated the attraction of honey bees and native insect visitors to three species of California native flowers (Symphyotrichum chilense, Eriogonum fasciculatum and solidago californica) and three exotic but taxonomically-similar species of flowers (Symphyotrichum oblongifolium, Eriogonum fagopyrum, Solidago speciosa) at the University of California botanical garden to examine differences in abundance, visitation rates over time, and diversity of floral insect visitors as measured by the Gini-Simpson coefficient. The California native flowers attracted a similar species richness and diversity of insects as their taxonomically-related floral counterparts. Pairwise comparisons showed that the native aster attracted greater numbers of honey bees, but fewer native insect visitors compared to the aromatic aster. The California buckwheat attracted more honey bees and native insects than the exotic buckwheat, but a species-specific attraction of syrphid fly to the exotic flower suggests that nonative flowers can fill an important niche in plant-pollinator networks. Honey bee visitation was independent of time of day for all floral pairs and visitation rates of native insects were only significantly different in the evening sessions, suggesting that other predictors such as floral density, temperature, pollen availability, or shading better predict insect visitor abundance.</t>
  </si>
  <si>
    <t>plant-pollinator mutualism, bees and syrphid flies, native plants, pollination ecology, insect community interactions</t>
  </si>
  <si>
    <t>ReinT_2022-page1.pdf</t>
  </si>
  <si>
    <t>Xingying Ren</t>
  </si>
  <si>
    <t>Migration Stopover Selection for Hair-Crested Drongos</t>
  </si>
  <si>
    <t>Stopover sites for bird migrations serve important roles in refueling and rest. Hair-crested drongos (Dicrurus hottentottus) are migratory birds that migrate to Thailand during winter and back to China during summer, but there have been no previous studies that have done on their migratory patterns. This study analyzed the characteristics of migration stopover sites for hair-crested drongos. By analyzing the relationship between environmental variables and stopover site location using ArcGIS and Maxent, I identified that the three most important variables for hair-crested drongo stopover site selection were mean annual air temperature, mean diurnal air temperature range, and elevation. Hair-crested drongos prefered sites with temperature higher than 17 degree Celsius in general. Female and male drongos showed differences in site selection, especially with respect to elevation. Male tended to migrate along eastern routes with lower elevation. Female tended to migrate along western routes which form straight lines between the breeding sites and wintering grounds. Understanding the criteria for drongo migration stopover selection will assist future conservation efforts and improve migration success rate for more migratory birds.</t>
  </si>
  <si>
    <t>hair-crested drongos, migration, stopover, site selection, migratory behaviors, species distribution modeling</t>
  </si>
  <si>
    <t>RenX_2022-page1.pdf</t>
  </si>
  <si>
    <t>Melanie Rodriguez Fuentes</t>
  </si>
  <si>
    <t>Zero Waste by Whom? UC Berkeley's Zero-Waste Initiative and Its Impact on Campus Facility Employees</t>
  </si>
  <si>
    <t>In efforts to become more sustainable, institutions of higher education have focused on enhancing their waste management systems. Facilities staff such as custodial workers are highly impacted by waste management policies focusing on sustainability through campus operations and there is minimal research on worker experiences. In this study I look at the social impact of implementing sustainability efforts like UC Berkeley’s Zero Waste plan. I conducted semi-structured interviews with ten custodial employees at the University of California, Berkeley. These interviews included questions on employee perceptions of the zero waste plan implementation and how they viewed themselves in it. Most of the changes made in the department were in infrastructure and signage, these changes proved ineffective in transitioning towards zero waste as the campus community still struggles to sort their waste properly. In addition, custodial workers felt that these changes brought an addition of labor which they were not recognized for. Furthermore, custodial employees experience social exclusion in the workplace. My findings suggest that this exclusion creates a sense of invisibility in the workplace and leads to a poor working environment. As custodial staff provide a critical service that is heavily relied on by the general community, their opinions and feedback should be prioritized.</t>
  </si>
  <si>
    <t>sustainability, recycling, belonging, compost, operations staff</t>
  </si>
  <si>
    <t>RodriguezM_2022-page1.pdf</t>
  </si>
  <si>
    <t>Brianne M. Roxbrough</t>
  </si>
  <si>
    <t>Ground-dwelling Arthropod Community Responses to Extreme Drought</t>
  </si>
  <si>
    <t>Due to anthropogenic climate change, severe droughts are presenting damaging effects to ecosystems across the globe. Arthropods, as important bioindicators of ecosystems, are important to look at in the context of drought to understand how communities are being altered and what cascading effects this may have. In this study, I examined the effects of drought on ground-dwelling arthropod community activity, composition, and abundance as well as the effects on a single species’ body size. Using 60 pitfall traps each month from the beginning of a drought period in 2014 until 2 years after the drought’s end in 2017, 2612 specimens were collected and identified to 122 different taxa. I analyzed differences of species activity patterns, richness, Shannon diversity, and abundance between drought and non-drought years. I took the pinned Pterostichus californicus specimens and measured median pronotum length, half of the widest pronotum width, and length of the left elytron to get an estimate of body size. I used one-way ANOVAs to test differences between years where appropriate. Species composition, richness, and activity differed between drought and non-drought years. However, the years were the same in abundance and Shannon diversity. These findings suggest that drought does alter arthropod communities, but the effects and directionality are species-specific, likely dependent on life history traits. As there are many interactions taking place in this community that are not fully understood, it is essential to further develop our understanding of terrestrial, ground-dwelling arthropods in the face of drought in order to monitor California ecosystems.</t>
  </si>
  <si>
    <t>California, body size, climate change, Pterostichus, community ecology</t>
  </si>
  <si>
    <t>RoxbroughB_2022-page1.pdf</t>
  </si>
  <si>
    <t>Tristan Ruppert</t>
  </si>
  <si>
    <t>Cut the Bull from off your Plate: Here is how much Water US Beef actually uses</t>
  </si>
  <si>
    <t>Using data from reliable sources, such as the USDA, the state of California’s Department of Water Resources, and previous studies (Asem-Hiablie et al. 2018), I was able to calculate, using simple linear ‘back-of-the-envelope’ style algebra, the total amount of water used in a single life cycle of the entire US beef industry. I, then, calculated how much water is needed to, not only, end the horrific cycle of worsening annual droughts in California, but also reset the state’s natural water cycles to a steady-state equilibrium. I found that we can reset said equilibrium nearly six times with just the water used by US beef. As shown by the EAT-Lancet Commission Summary Report (2019), transforming current global food production practices into a predominantly plant-focused food production system will not only guarantee saving natural resources but also ensure complete global human nutrition for a planet of ten billion inhabitants or more.</t>
  </si>
  <si>
    <t>Water use, animal-sourced foods, US beef, plant-based global Food Regime</t>
  </si>
  <si>
    <t>RuppertT_2022-page1.pdf</t>
  </si>
  <si>
    <t>Pepe Sales</t>
  </si>
  <si>
    <t>Investigating Invasive-Invasive Plant Relationships Through Statistical Modeling</t>
  </si>
  <si>
    <t>With global climate change, the range and distribution of invasive plant species are going to expand and change and insights into the biotic interactions which inform its range and distribution are necessary to predict the future of species ranges. Invasional meltdown is a community wide phenomenon where invasive species facilitate the establishment of other invasives until saturation. In this study, I examined if such interactions and phenomena can be investigated through modeling methods. I compared the performance of three species distribution models (SDMs), two of which have distribution data (co-occurring invasive and native plant species) incorporated as features to function as proxy variables for essential biotic interactions. I also conducted a niche overlap analysis of the two invasive study species to determine the degree and direction of their interactions; SDMs did not significantly improve with the addition of the experimental features but an analysis of feature performance measures indicate levels of competition and niche differentiation between the two species. This is further confirmed by significantly low niche overlap metrics (p&lt;&lt;0.05) which itself suggests intense competition. Modeling methods revealed that the two study species do not have a facilitative relationship as previously expected. Modeling methods can not just analyze invasive-invasive interaction but point to further areas of future research.</t>
  </si>
  <si>
    <t>Random Forest, Cytisus scoparius, Genista monspessulana, niche overlap, invasive-invasive competition/facilitation</t>
  </si>
  <si>
    <t>SalesJ_2022-page1.pdf</t>
  </si>
  <si>
    <t>Emma C. Sallstrom</t>
  </si>
  <si>
    <t>An Environmental Justice and Proximity Assessment of Bovine Concentrated Animal Feeding Operations (CAFOs) in the Central Valley, California</t>
  </si>
  <si>
    <t>The concentration of concentrated animal feeding operations (CAFOs) within the Central Valley has raised concerns of the disproportionate impact of pollution and odor on surrounding communities. Using GIS and the environmental justice (EJ) framework, this study investigates racial and socioeconomic disparities in the distribution of bovine CAFOs in the Central Valley. I hypothesized that the odds of people of color and lower income individuals living within one mile (&lt;1.0 mile) of a CAFO was greater than that outside (&gt;1.0 mile). To provide insight into intersectional issues, I assessed other sociological variables, including: educational attainment, householder gender, and employment in the agriculture/mining sector. Using odds ratios, I found that people of color were more likely to live within one mile (&gt;1.0 mile) of a CAFO facility than Non-Latinx Whites with Latinx, Native, and Pacific Islanders having the greatest odds. Individuals belonging to census block groups with lower annual household incomes as well having lower levels of educational attainment similarly showed increased odds of living &lt;1.0 mile of a CAFO. This study represents a point of reference for future environmental health and justice research by opening up further opportunities to collaborate with communities, assess CAFO-related health and environmental impact, and to understand the role of CAFOs in the environmental riskscape of California.</t>
  </si>
  <si>
    <t>GIS, animal agriculture, U.S. Census, American Community Survey (ACS), buffer analysis</t>
  </si>
  <si>
    <t>SallstromE_2022-page1.pdf</t>
  </si>
  <si>
    <t>Amos R. Samuels</t>
  </si>
  <si>
    <t>Resilience to Increased Heat of Host Triticum aestivum with Arbuscular Mycorrhizal Fungi Rich Soil</t>
  </si>
  <si>
    <t>The growing climate crisis is projected to disturb food production, and creative implementation of crop-microbe associations can help secure critical food crops. The common bread wheat, Triticum aestivum, has a mutualism with several arbuscular mycorrhizal fungi (AMF) that can help the crop be more resilient to climate disturbances. To assess the potential in AMF presence to T. aestivum’s resilience to added heat, I looked at the effects of soil microbe presence, AMF inoculation and added heat on the wheat growth above and below ground over 6 weeks. I found that while native microbe composition decreased growth (p-value=1.27 × 10⁻²) and increased overall proportionality of wheat (p-value=1.31 × 10⁻⁵), heat increased both biomass production (p-value=2.74 × 10⁻⁶) and plant proportionality but excess caused plant tissue damage. AMF inoculation was significant in contributing to overall growth and underground mass, especially in conjunction with heat (p-value=5.60 × 10⁻⁸), as well as the best proportionality (p-value = 9.148 × 10⁻¹¹). In conclusion, the mutualism between T. aestivum and AMF holds potential implications for wheat production in warmer climate conditions. Because the study was limited in precise measurements of water content, nutrient availability and microbe distribution, further research is needed to confirm the findings, as well as to replicate the results in outdoor field conditions.</t>
  </si>
  <si>
    <t>Triticum aestivum, climate change, resilience, arbuscular mycorrhizal fungi, mutualism</t>
  </si>
  <si>
    <t>SamuelsA_2022-page1.pdf</t>
  </si>
  <si>
    <t>Tamlyn Schafer</t>
  </si>
  <si>
    <t>Basic Needs Access and the Impact of COVID-19 in the Undergraduate Population at the University of California, Berkeley</t>
  </si>
  <si>
    <t>Although basic needs have frequently been studied in the university context, the impact of the COVID-19 pandemic has been less focused on. Basic needs instability impacts a disproportionate number of university students in the United States and across the University of California system, and this is only exacerbated during global pandemics when resources become even more difficult to access for those in need. Through surveys with undergraduate students, I determined how the COVID-19 pandemic has affected access to and use of basic needs resources at the University of California, Berkeley as well as collected student suggestions for how the University may begin to improve support for those disproportionately impacted in times of crisis. Results revealed that the COVID-19 pandemic has increased both demand for and use of basic needs resources in the undergraduate population with over 40% of students reporting increases in both categories. The study also found that many students used basic needs resources for the first time during the pandemic, and that the primary impacts of testing positive for COVID-19 on basic needs were the ability to attend classes (70.59%), the ability to work (52.94%), and the ability to complete coursework (48.06%). Students suggested various improvements for financial, food, housing, mental and physical healthcare related campus resources that would better help them to meet their needs. Implications for future basic needs programming on campus to mitigate basic needs insecurity in the undergraduate population during times of health and environmental crisis are also discussed.</t>
  </si>
  <si>
    <t>pandemic, college students, higher education, food insecurity, housing insecurity</t>
  </si>
  <si>
    <t>SchaferT_2022-page1.pdf</t>
  </si>
  <si>
    <t>Pheleep F. Sidhom</t>
  </si>
  <si>
    <t>Factors affecting Avian Species Diversity and Vocalization Rate in Claremont Canyon, Berkeley, CA</t>
  </si>
  <si>
    <t>Claremont Canyon is a wilderness preserve in Berkeley, CA, USA used for human recreation. Studies have shown that human nature recreation has negative effects on wildlife. This study investigates the effects of human conversation on bird species diversity and vocalization rate. I collected data using an OpenAcoustic Devices AudioMoth and compared it to data from two previous studies. Data analysis was conducted using BirdNET software and Microsoft Excel. Over 40 hours of recorded audio, I found there to be a total of 33 human conversations, 10 unique bird species, and 481 bird vocalizations with a BirdNET confidence score of more than 0.95. Out of 10 bird species I found, only 7 were identified in previous studies. The 3 species that were not previously identified were oak titmouse, cedar waxwing, and western bluebird. I found that bird species diversity decreased from 1991 to the present by 72% and that human conversations did not have a significant effect on bird species diversity (r-squared = 0.03) and vocalization rate (r-squared = 0.06). I found that BirdNET was less effective at identifying bird species than point counts. However, BirdNET is practical for inexperienced birders or when field work is not a possibility. I conclude that researchers should carefully consider using cutting-edge software, like BirdNET, by considering all possible advantages and downsides. Human recreation and bird behavior in Claremont Canyon should continue to be monitored to ensure ecosystem health.</t>
  </si>
  <si>
    <t>BirdNET, OpenAcousticDevices AudioMoth, human nature recreation, bird behavior, wilderness preserve</t>
  </si>
  <si>
    <t>SidhomP_2022-page1.pdf</t>
  </si>
  <si>
    <t>Oscar Ticas</t>
  </si>
  <si>
    <t>Detecting Wetland Fire Occurrence in the Sacramento-San Joaquin Delta Through Charcoal in Peat Soils</t>
  </si>
  <si>
    <t>The Sacramento- San Joaquin Delta is the largest estuary in the United States west of the Mississippi river, despite the depletion of most of its wetland through the past century. As a result of said depletion, determining effective wetland management strategies to preserve and restore the Delta is crucial and has brought upon questions whether prescribed burning has ever been a crucial portion of the Delta’s history. Through the analysis of charcoal in a soil core at Dutch Slough, it is assumed that human history of prescribed burnings by Native Americans and early European settlers could be discovered, and the efficiency of prescribed burning could be determined. Results of this study proved inconclusive due to the lack of evidence to determine a strong correlation between fires and several soil characteristics due to lack of historical records of fires, uncertainty regarding amount of charcoal to indicate a past fire, and inability to date soil core. This study could be viewed as a starting point for further investigation into the presence of prescribed fires in the Delta.</t>
  </si>
  <si>
    <t>Accretion, Cover Burns, Impoundment, Prescribed Burning, Organic Matter</t>
  </si>
  <si>
    <t>TicasO_2022-page1.pdf</t>
  </si>
  <si>
    <t>Man D. Tran</t>
  </si>
  <si>
    <t>Evaluating the Trophic Level Effects of Sea Star Wasting Disease in California</t>
  </si>
  <si>
    <t>Interspecific competition is a mutual interaction between two or more species in the trophic food web.  The tidepools of the Pacific Northwest coast are an ideal study site for interspecific competition, specifically the sea star, as they promote prey and competitive behavior in the tidepools.  In 2013, a sea star wasting disease (SSWD) epidemic hit the Pacific Northwest, which decimated many sea star species populations.  In my project, I want to know what trophic level effects occurred in the California tidepools during the SSWD epidemic. I collected occurrence data (present or absent) from the GBIF (Global Biodiversity Information Facility) public database.  The species of interest I gathered were the Purple sea star (Pisaster ochraceus), Northern striped dogwinkle (Nucella ostrina), California mussel (Mytilus californianus), and Sunflower sea star (Pycnopodia helianthoides). My results showed that the purple sea star and species of interest had a relationship between their occurrences and the SSWD period (p&lt;0.05). Further analysis shows that all species’ occurrences except the Sunflower sea star had differences during the SSWD periods. Although I found relationships and differences in occurrences during the SSWD period, there was insufficient data to conclude trophic level effects. A more robust statistical model with more substantial explanatory variables may help find future projects' trophic level effects.</t>
  </si>
  <si>
    <t>interspecies, predator-prey, intraspecies, Sea Star Wasting Disease, occurrence</t>
  </si>
  <si>
    <t>TranM_2022-page1.pdf</t>
  </si>
  <si>
    <t>Madison Wheeler</t>
  </si>
  <si>
    <t>Bushwhacking through Claremont Canyon: A Vegetation Composition Analysis</t>
  </si>
  <si>
    <t>Climate change, management, and introduction of invasive species have all altered the vegetation composition of open spaces. California, a hotspot of biodiversity, is at risk of losing endemic species due to these driving forces. Claremont Canyon is a particular area of study that I resurveyed to assess how vegetation had changed from a survey in 1992, and which pioneer species would emerge after eucalyptus removal treatment in December of 2021. I used transects to identify understory species in a 50-acre site in Claremont Canyon, and identified pioneer species along Claremont Avenue in the site to track these changes. The dominant species found in the site were Baccharis pilularis (coyote bush), Genista monspessulana (french broom), Toxicodendron diversilobum (poison oak), and Diplacus aurantiacus (sticky monkey flower). The pioneer species in the eucalyptus removal treatment site were Galium aparine (bedstraw), Centaurea melitensis (Maltese star thistle), and french broom. Non-native species abundance increased from 31% to 48% from 1992 to 2022, and much of the distribution and dominant species changed over time. I found most of the pioneer species should be considered a fire risk to surrounding communities. Management of future treatment sites should consider fire risk of invasive species that emerge after eucalyptus removal. Further studies should continue to track vegetation composition.</t>
  </si>
  <si>
    <t>dominant species, non-native, species distribution, temporal study, abundance</t>
  </si>
  <si>
    <t>WheelerM_2022-page1.pdf</t>
  </si>
  <si>
    <t>Max L. Williams</t>
  </si>
  <si>
    <t>The Potential for Agrivoltaics in Alameda County</t>
  </si>
  <si>
    <t>Agrivoltaics are the synergistic combination of photovoltaic panels and agricultural activities on the same unit of land. These systems provide benefits to the food-water-energy nexus through the creation of microclimates that can increase the renewable energy and agricultural output of a given unit of land. Agrivoltaic systems have the potential to increase land use efficiency and reduce the conflict between the land intensive agricultural and renewable energy industries. Alameda County’s land resources, climate, and agricultural industry present great potential for the implementation of agrivoltaics. In order to evaluate the potential for agrivoltaics in Alameda County, I conducted a Land Suitability Analysis using ArcMap to find parcels with favorable social, environmental, and physical factors for agrivoltaic systems. The Land Suitability Analysis revealed that areas in Northern Livermore have the most potential for agrivoltaics that can increase land use efficiency. I then gathered climatic data from the National Solar Radiation Database (NSRDB) and input it into the Simulateur mulTidisciplinaire pour les Cultures Standard (STICS) and System Advisory Model (SAM) models to estimate the crop and solar energy output under agrivoltaic and separate production scenarios for three different agricultural activities: viticulture, ranching, and shade crops. Agrivoltaic systems produced 1747.59 kWh/kw while separate production generated 1729.07 kWh/kw in all three systems. Viticulture yields were 883 fruits/m" in agrivoltaics and 1202 fruits/m" in a control scenario. Shade crop yield remained unchanged between agrivoltaic and separate production scenarios. I compared the expected energy and agricultural production of modeled agrivoltaic and separate production systems using the Land Equivalence Ratio to produce a metric of land efficiency. The Land Equivalence Ratios for viticulture, ranching, and shade crops were 1.74, 1.01, and 2.01 respectively. Understanding that agrivoltaics can increase the land efficiency of parcels in Alameda County while providing renewable energy to densely populated urban areas and unlocking underutilized agricultural lands provides incentives for public and private industries to further study and potentially implement these systems.</t>
  </si>
  <si>
    <t>land equivalence ratio, land suitability analysis, rangevoltaics, photovoltaics, land efficiency</t>
  </si>
  <si>
    <t>WilliamsM_2022-page1.pdf</t>
  </si>
  <si>
    <t>Molly K. Wong</t>
  </si>
  <si>
    <t>Environmental Impacts from Face Mask Wearing Behaviors of University of California, Berkeley Undergraduates</t>
  </si>
  <si>
    <t>SARS-CoV-2, also known as the coronavirus, has allowed for a new influx of plastic pollution from the usage of face masks to negatively affect the environment. Although the long-term effects of the consequences are unknown, raising awareness as the problem arises can help mitigate further harm. In this study, an examination of University of California, Berkeley Undergraduates and their face masking behaviors was conducted. A survey was conducted on campus, as well as several online platforms. Responses were recorded from 122 participants to determine their mask wearing and disposal methods. The number of masks used per year by Undergraduates was estimated to be 6,406,192 masks total from the average of 4 masks per student per week. The total face masks used per year comprises approximately 0.80% of University of California, Berkeley’s municipal solid waste. The presence of face masks in the environment highlights the need for considerations of end-of-life management regarding alternative materials and specific disposal bins designated for face masks.</t>
  </si>
  <si>
    <t>plastic pollution, COVID-19 (SARS-CoV-2), municipal solid waste, sustainability, littering</t>
  </si>
  <si>
    <t>WongM_2022-page1.pdf</t>
  </si>
  <si>
    <t>Michael Xiao</t>
  </si>
  <si>
    <t>Modeling Efficacy of Prescribed Burning in Reducing Wildfires in California</t>
  </si>
  <si>
    <t>Prescribed burning is a fire management technique used to reduce wildfire risks. The current scheme for prescribed burning in California is sub-optimal, with wildfires continuing to increase despite management efforts. This study examines the effectiveness of prescribed burning in reducing wildfire occurrences and scale in California. We collected gridded data on prescribed burning, wildfires, along with 15 other covariates that influence wildfire trends and constructed a generalized additive model of these factors on wildfire ignition probability and wildfire scale. The result showed a decrease in wildfire ignition probability with increasing levels of prescribed burning from 2016 to 2019, but the effect is only significant if more than 20% of the grid is burned. In relation to wildfire ignition, prescribed burning produced similar magnitudes of effects compared to other factors. For wildfire scales, prescribed burning produced mostly nonsignificant effects, except for 2018 and 2019, where an increase in prescribed burning is connected to a decrease in wildfire scale. Prescribed burning also showed a delayed effect, where regions burned a year prior are subject to less severe wildfires the following year. In general, the effect of prescribed burning on wildfire scale is minimal compared to that of other factors such as precipitation. This is concerning since under the current scheme of climate change, weather conditions are expected to become more extreme, and if fire managers do not adapt their methods to the drastically changing climate, the effect of natural factors on wildfires would completely dominate that of prescribed burning.</t>
  </si>
  <si>
    <t>non-linear model, mixed effect model, geographic information system, time series, CAL FIRE</t>
  </si>
  <si>
    <t>XiaoM_2022-page1.pdf</t>
  </si>
  <si>
    <t>Xu Grey</t>
  </si>
  <si>
    <t>The Relationship between ESG (Environmental, Social, and Governance) and Financial Performances: A Case Study of Private Firms in Fujian</t>
  </si>
  <si>
    <t>Financial performance has been reported to be strongly associated with Environmental, Social, and Governance (ESG). Despite a recent surge of attention drawn on relevant topics, it remains elusive what is the underlying mechanism affecting corporate finance, given that a limited number of ESG indicators potentially hinders previous findings. Also, extant literature mainly focuses on large-scale western companies, and recent research on specific regional-level companies also produces contradictory results. Against this backdrop, this study utilized the Fujian subsample of non-state-owned corporations’ sustainability self-evaluated surveys from 2020 to 2021 to examine the effect of ESG on financial performances. This study incorporates a unique approach to classifying the company's ESG engagement. Building on the methodology developed by the relevant research, I further employed random forests and different clustering algorithms to generate ESG typology. Second, I utilized the mediation model to examine the mechanism between ESG typology and companies’ financial performance. The result generates six heterogeneous ESG engagement types: ESG limited, stringent governance, human capital investor, philanthropic leader, stringent governance, product-oriented, and ESG champion. Also, the mediation analysis strongly supports the mediation mechanism between the company typology and financial performance via environmental, social, and governance indicators. This study has important implications for future policy intervention among small-medium size enterprises that stimulate corporate social responsibility.</t>
  </si>
  <si>
    <t>corporate social responsibility, ESG typology, financial performance, mediation analysis, China</t>
  </si>
  <si>
    <t>XuG_2022-page1.pdf</t>
  </si>
  <si>
    <t>Elisa T. Yang</t>
  </si>
  <si>
    <t>Trait Evolution in Estrildidae: Drivers of Variation in Female Song and Dance</t>
  </si>
  <si>
    <t>The estrildid finches (family Estrildidae) are a large family of songbirds of high ecological and conservation significance. The roughly 140 species that comprise the family are well-suited for evolutionary studies due to their extensive interspecific variation in plumage and courtship behavior. Although most estrildids are monogamous, many species exhibit sex-specific variation in courtship displays and parental care (e.g., nest-building). Using the most up-to-date phylogeny for the Estrildidae family, I performed ancestral state reconstruction for six life history traits: female dance, female song, coloniality, sexual dimorphism, brood parasitism, and nest-building sex. I used phylogenetic regression to test for correlations between female courtship behaviors and life history traits. The results of this study show that female song is not ancestral in Estrildidae, while the ancestral state of female dance is ambiguous. Female courtship is not correlated with other life history traits, suggesting that female song and courtship are evolving independently. I discuss alternative explanations for drivers of female courtship evolution, such as ecological factors, that may be explored in future work. These results clarify previous studies on female song and courtship in Estrildidae.</t>
  </si>
  <si>
    <t>phylogenetics, breeding biology, finch, waxbills, firefinches</t>
  </si>
  <si>
    <t>YangE_2022-page1.pdf</t>
  </si>
  <si>
    <t>Yao Yao</t>
  </si>
  <si>
    <t>Change in Energy Mix Under COVID-19 Shutdown and Recovery Period in China: A Study of Hunan and Guizhou Province</t>
  </si>
  <si>
    <t>COVID-19 has brought enormous changes to the world and people’s lives. City lockdowns, travel bans and all other restrictions issued by governments have changed people’s lives from every aspect. However, its environmental and energy influences are not sufficiently studied. In this study, in order to examine COVID-19’s influence on different energy-mixes, two distincts energy-mix provinces in China, Hunan and Guizhou, are examined by focusing separately on the shutdown period and recovery period during the pandemic period. PM 2.5 and renewable energy ratio are used to discover the changes in fossil fuel and renewable energy consumption in these two provinces. Secondary data analysis and literature review are conducted to understand the trends. The study found that for Hunan, industry-concentrated provinces in China, fossil fuel consumption is affected by decreased energy demand in the short term, while in the long term, the reduction is not obvious. For Guizhou less industrial activities, Covid-19 didn’t pose a significant effect on its fossil fuel consumption. On the other hand, renewable energy was restricted by its own limitations in terms of providing energy in the recovery period and prospective planning for renewable energy was conducive to energy demand spiking circumstances. A well-rounded combination of energy sources is recommended for the government to maintain a stable energy supply during the pandemic and for future energy-fluctuating circumstances.</t>
  </si>
  <si>
    <t>energy mix, Covid-19, renewable energy, fossil fuel, energy consumption</t>
  </si>
  <si>
    <t>YaoY_2022-page1.pdf</t>
  </si>
  <si>
    <t>Ziheng Yun</t>
  </si>
  <si>
    <t>Tracing Sources of Water Pollutants in Lake Tahoe</t>
  </si>
  <si>
    <t>Water quality is a serious issue that especially affects many bodies of water that are used for recreational purposes. Lake Tahoe, a large lake in northern California, is one such lake that struggles with water quality issue. This study is a synthetical analysis of Lake Tahoe water pollution sources based on seasonal trends of water clarity and its relationship with airborne pollutants. I acquired Lake Tahoe water turbidity data from the USGS datahub and multiple tools of data analysis and cleansing were applied to generate a seasonal trend, which implied melting snow and urban upland drainage are potentially critical sources of pollution. I also performed a simultaneous analysis between the seasonal trend and EPA air quality data was performed, yet the result did not show a conspicuous relationship between number of bad air quality days and water turbidity. I concluded that there are several limitations of the dataset, as well as our methods of study. I also presented a discussion on prospective policies including raising the resorts fees and occupancy taxes.</t>
  </si>
  <si>
    <t>water pollution, Lake Tahoe, data analysis, policymaking, airborne pollutants</t>
  </si>
  <si>
    <t>YunZ_2022-page1.pdf</t>
  </si>
  <si>
    <t>Alexandria Zermeño</t>
  </si>
  <si>
    <t>Ethical Considerations in the Collection, Analysis, and Reporting of Spatial Data</t>
  </si>
  <si>
    <t>Geoethics includes the application of ethical principles to collection, analysis, and reporting of spatial data (the practice of geoscience). With the increasing ubiquitous use of spatial data, which includes human subject information, there are increasing instances of unethical uses of spatial data that lead to many social implications. Though there are ethical principles outlined for spatial practitioners, methods, tools, as well as standardized guidelines that apply ethics are poorly defined. Here, through a literature review analysis, regarding standards as well as methods along with a survey of practitioners around the world provided a breadth of knowledge regarding how ethics are applied to collection, analysis, and reporting of spatial data. The results show that there is a need for standardized guidelines, as well as formalized practices to train practitioners and reviewers on ethical uses of spatial data, in addition to the growing need to initiate research on these methods as technology advances and our world continues to change. This kind of research and work will encourage many to come together in common purpose to stand for human rights and advance interdisciplinary contributions, partnerships, and combined efforts to make the world a better place.</t>
  </si>
  <si>
    <t>geoethics, GIS standards, GIS guidelines, practitioner methods, unethical practices</t>
  </si>
  <si>
    <t>ZermenoA_2022-page1.pdf</t>
  </si>
  <si>
    <t>Lillian Zhang</t>
  </si>
  <si>
    <t>Retiring the Diablo Canyon Power Plant: California’s regulatory responses to energy shortages</t>
  </si>
  <si>
    <t>This study investigated if California’s regulatory plan to replace the Diablo Canyon Power Plant (DCPP) sufficiently addresses concerns about potential increases in carbon emissions and natural gas use. I examined past nuclear plant closures and found that natural gas emissions and natural gas imports increase in the 12-month period after a nuclear plant closure. I then explored California’s regulatory response to past energy crises, focusing on the 2000-2001 energy crisis, the 2020 rolling blackouts, and the 2021 State of Emergency. My findings revealed repeated instances of reliance on natural gas to combat energy shortages. This pattern might threaten California’s ability to replace DCPP’s energy with entirely clean resources. This reliance raises concern for California’s future energy sector and suggests that careful planning is needed to achieve the state’s bold SB 32 and SB 100 goals, especially when a large source of zero-carbon electricity will no longer be available. Lastly, I proposed policy suggestions to address California’s ongoing challenges of grid reliability and resource adequacy. Demand response programs have the potential to increase grid flexibility, maintain grid stability, and deliver economic benefits to customers by effectively managing peak loads. Furthering stakeholder involvement can bolster California’s efforts in achieving greater energy efficiency while ensuring the representation of communities most impacted by future policies.</t>
  </si>
  <si>
    <t>energy transition, natural gas, nuclear energy retirement, stakeholder engagement, clean energy</t>
  </si>
  <si>
    <t>ZhangL_2022-page1.pdf</t>
  </si>
  <si>
    <t>David S. Zhong</t>
  </si>
  <si>
    <t>Transform or Perish: Changes in Leaf Venation in Response to Punctures</t>
  </si>
  <si>
    <t>Leaf venation systems are integral in distributing nutrients and water to photosynthetic cells in angiosperms. Uniquely in angiosperms, major and minor veins can be distinguished, where major veins receive nutrients from the petiole and distribute it to minor veins. Warmer climates are more favorable to chewing insects, and the resulting herbivory has led to a decrease in plant growth. Biotic factors such as herbivory from chewing insects potentially inhibit or increase the vulnerability of the successful transportation of water and nutrients through leaf veins, which are more susceptible to environmental drivers and changes. This study evaluates how leaf venation systems in angiosperms respond to puncture wounds by quantifying leaf vein density and how petiole growth affects leaf vein density. I experimented on two sets of Cercis canadensis (redbud) tree leaves and examined them using a digital microscope. After analyzing through image processing, I found the sets of leaves receiving treatment noticed a significantly higher leaf vein density and more succinctly formed vein loops. Additionally, leaf vein densities closer to the puncture site responded with larger leaf vein densities. Finally, the differing petiole growth and leaf vein density followed a U curve with the maximum density at a difference of 0.12 mm. These findings point to their adaptability and the importance of leaf venation systems when faced with adversities such as damage from insect herbivory.</t>
  </si>
  <si>
    <t>leaf vein density, petiole, puncture, herbivory, plant growth</t>
  </si>
  <si>
    <t>ZhongD_2022-page1.pdf</t>
  </si>
  <si>
    <t>Ally J. Zhu</t>
  </si>
  <si>
    <t>Relationship Between Hostile Environmental Design and Environmental Justice: A Case Study of CPTED at Arroyo Viejo Recreation Center in Oakland, CA</t>
  </si>
  <si>
    <t>In urban areas with poor access to high quality green spaces, the Crime Prevention Through Environmental Design (CPTED) framework creates a barrier for public parks and spaces to provide maximum psychological and environmental benefits. Though literature reviews have dissected how CPTED can act discriminately, my project intends to understand how the policy can result in a case of environmental (in)justice in Oakland, California, where there is varied green space access and quality. I used Arroyo Viejo Recreation Center as my site study, analyzing what landscape changes were implemented to adapt to CPTED recommendations, the demographics of its park users, and a community survey to understand the sentiment of Arroyo Viejo Park users towards existing park facilities and safety. I found that there was a reduction of accessibility and environmental features; however, there was an effort to upkeep outdated structures to increase the imageability of the park. The residents of Arroyo Viejo belonged to primarily groups of color, lower income, and lower educated groups than the overall City of Oakland, indicating that the reduction of park features could violate environmental justice. The community survey indicated that park users desired increased safety and shaded trees, but highly desired community initiatives for park management. The impact of hostile environmental design on communities of color should be further researched to understand how these spaces can become exclusionary and uphold discriminatory policing.</t>
  </si>
  <si>
    <t>soft policing, hostile architecture, urban green space, defensible spaces, crime prevention through environmental design</t>
  </si>
  <si>
    <t>ZhuA_2022-page1.pdf</t>
  </si>
  <si>
    <t>Isabela Avila Breach</t>
  </si>
  <si>
    <t>Central American Migrants and their Perceptions and Lived Experiences with Environmental Change</t>
  </si>
  <si>
    <t>Environmental migration is not a new phenomenon—people have moved to new regions in search for a new supply of resources and protection for millennia. However, as the scale of environmental catastrophe rapidly increases with the earth’s changing environment, the amount of regions and communities impacted is growing, oftentimes forcing relocation of the most vulnerable. In the last three years, hundreds of thousands of Central Americans have migrated across borders as a response to gang violence, poverty, corruption, and environmental degradation. While existing research has explored the socioeconomic and political push factors of migration, my study aims to explore Central American migrant narratives regarding the environment. Utilizing a semi-structured approach, I conducted interviews with Northern Triangle migrants staying at shelters across Mexico with the goal of understanding their environmental perceptions and experiences in their countries of origin. Narrative analysis of the interviews demonstrated the existence of a strong environmental ethic among all participants, and the awareness of the role human development has played in causing environmental changes in the region. Deforestation, water scarcity, and public health were the top environmental concerns listed by participants, and the majority perceived the environment as a factor in their decision to migrate. As environmental change progresses in Central America, environmental perceptions and experiences among its most vulnerable inhabitants needs to be assessed and interpreted to help shape community efforts, public policy, and international law regarding environmental mitigation and adaptation for survival.</t>
  </si>
  <si>
    <t>Migration, environmental degradation, climate change, displacement, Northern Triangle</t>
  </si>
  <si>
    <t>AvilaBreachI_2021-page1.pdf</t>
  </si>
  <si>
    <t>https://www.ocf.berkeley.edu/~pkmendez/envsci/projects/2021final/</t>
  </si>
  <si>
    <t>Thảo Nguyên (Sarah) Bùi</t>
  </si>
  <si>
    <t>Co-Benefits of Bridges Construction in the Mekong Delta</t>
  </si>
  <si>
    <t>This study analyzes the impact of bridge construction on air pollution in the Mekong Delta. This region relies on ferry systems to cross dense river networks. Millions of dollars have been invested in the region to build roads and bridges, replacing the existing ferry systems. As transportation is the biggest source of air pollution in the region and traffic volume is increasing yearly, the effect of these bridges on air pollution is unknown. Using remote sensing satellite-based data, OMI for NO₂ and MODIS for Aerosol, and econometrics models, the operation of the bridges estimates a decrease in NO₂ by 7.269 × 10¹³ molecules/cm³, controlling for nearby powerplants, temperature, humidity, El Niño, and monthly fluctuations. Wider bridge width and larger bridge area estimates greater decrease in NO₂ by 0.460 × 10¹³ molecules/cm³ and 0.0002 × 10¹³ molecules/cm³ with an additional meter of bridge width and meter squared of bridge area respectively. In contrast, there is little to no change in particulate matter. This effect is a result of the closure of ferry services, as ferries used bunker fuels, which emit more nitrogen oxides than gasolines of road vehicles. However, the replacement of ferries with bridges is not sustainable, as many discontinued ferry services are returning back to accommodate short distance commuting needs and rising traffic congestion at newly built bridges.</t>
  </si>
  <si>
    <t>air pollution, nitrogen dioxide, aerosol, remote sensing, transportation investment</t>
  </si>
  <si>
    <t>BuiS_2021-page1.pdf</t>
  </si>
  <si>
    <t>Sion Calabretta</t>
  </si>
  <si>
    <t>Supporting CA Human Right to Water: Assessing Statewide Water Quality Monitoring Tools and Promoting Accountability ofGovernment Monitoring</t>
  </si>
  <si>
    <t>California Human Right to Water Act declares that every person in California has the right to accessible clean water. Despite the act, millions of people continue to lack access to clean drinking water, among those are well water users. The state of California does not monitor or clean private domestic well water, leaving many unknowingly drinking contaminated water. To provide well water users and policy makers with accurate data on well water quality the Water Equity Science Shop developed a digital drinking water tool where people can access ground water quality data in California. I analyzed the effectiveness of the model in terms of nitrate and arsenic contamination by comparing the model to an independent data set of water quality samples taken in Sonoma and Monterey county. I conducted correlation tests and performed nonparametric linear regressions in RStudio. I used ArcMap to visualize the differences between the WESS model and the independent data set. I looked at who is affected by nitrate and arsenic contamination and who effective modeling would aid by analyzing the correlation between nitrate and arsenic contamination and the percentage of people of color (POC), percentage Latinx and percentage renters. I found the model to be initially effective, but that more sampling is needed to verify its effectiveness. POC, Latinx and renters are disproportionately affected by nitrate contamination, but not by arsenic contamination. The WESS model is a good tool but the state of California must institutionalize monitoring and cleaning of well water to protect Californians from hazardous water quality.</t>
  </si>
  <si>
    <t>well water quality, nitrate and arsenic contamination, GIS modeling, environmental justice</t>
  </si>
  <si>
    <t>CalabrettaS_2021-page1.pdf</t>
  </si>
  <si>
    <t>Jasmine Y. Casey</t>
  </si>
  <si>
    <t>An Approach to Land-Use Suitability Analysis in the Sacramento-San Joaquin Delta Based on Flooding Hazard</t>
  </si>
  <si>
    <t>As we begin to experience the impacts of climate change, we must alter our land use to fit the new
climatic realities, including increasing risk of flood. The Sacramento-San Joaquin Delta is an area
of specific interest and concern, due to its important role in terms of human, environmental, and
agricultural land use. With increased demands on the Delta from development and urbanization
along with the pressures of increased flood risk, current land use in the Delta will not be sustainable
in the future. I developed maps of flood risk in 100-year storm events in various sea level rise
scenarios (SLR 0m, 0.5m, 1.0m, and 1.41m) and how it would affect land use in the Delta. I used
GIS to facilitate my analysis of current land use, future flood risk, and zoning regulations. As sea
level rise increased, the extent and depth of flooded land increased dramatically. I determined that
the majority of the Delta is zoned for agricultural use and that agricultural land will be most
affected in any given flood scenario. The urbanized areas of East Contra Costa County and
Stockton will be affected if sea level increases by 1.0 meter. Additionally, residents living the
Primary Zone of the Delta will be affected even in a 0 meter sea level rise scenario. Resident in
the Primary Zone of the Delta must be informed of flood risks and plan for the transitioning of
land use as agricultural land and residences become unsustainable and uninhabitable.</t>
  </si>
  <si>
    <t>GIS, spatial analysis, zoning, environmental planning, wetlands</t>
  </si>
  <si>
    <t>CaseyJ_2021-page1.pdf</t>
  </si>
  <si>
    <t>Natalie Coy</t>
  </si>
  <si>
    <t>Comparing Methods for Estimating Woody Debris Properties in a Mixed-Conifer Forest</t>
  </si>
  <si>
    <t>Due to historical fire suppression, forests managers have to deal with high accumulations of wildland fuel loads. The use of prescribed fires to reduce these fuel loads requires explicit information on fuel characteristics and weight. Land managers frequently use species-specific squared quadratic mean diameters (QMD²) calculated by van Wagtendonk et al. (1996) to estimate regional fine woody debris (FWD) diameters. However, the van Wagtendonk et al. (1996) study took place in single species tree stands and has not been validated in a mixed-conifer forest in the Sierra Nevada. Data for this study was collected in the summer of 2020 at Blodgett Forest Research Station in California. Of the three timelag classes (1-hour, 10-hour, 100-hour), only 1-hour fuels had a significant relationship between measured and estimated QMD². Additionally, this study found that the van Wagtendonk et al. (1996) approach outperforms both a linear model and a generalized linear model. These findings demonstrate that the estimated FWD diameters remained within a likely range for all three timelag classes and therefore using the van Wagtendonk et al. (1996) QMD² values is a valid approach. This information is crucial to land managers as this approach will continue to save time and resources while providing the information needed to implement fuel treatments.</t>
  </si>
  <si>
    <t>Fire, forest management, Sierra Nevada, fuel loads, prescribed fires</t>
  </si>
  <si>
    <t>CoyN_2021-page1.pdf</t>
  </si>
  <si>
    <t>Meghan Chau Cruz</t>
  </si>
  <si>
    <t>Assessing Urban Green Spaces in Berkeley, California as an Equity Mechanism</t>
  </si>
  <si>
    <t>Green spaces are natural or man-made areas that have tree coverage and/or grass/herbaceous coverage. In contrast, urban environments are typically population dense with man-made infrastructure that is conducive to artificial warming, rainwater runoff, and air flow patterns that trap nonpoint source pollution. Green spaces in urban environments have the potential to provide space for environmental pollution mitigation, community cohesion, mental health improvement, physical fitness development, and biosphere regulation. There currently exists a gap in knowledge about quantitative analysis for urban green spaces, as well as a causative relationship between green spaces and improved public health measures. Through geo-spatial analysis using iTree and ArcGIS, I assessed the urban green space coverage in amount, type, quality, frequency, and accessibility to determine if there is a relationship with median household income in Berkeley, CA. I found a positive association between the two study variables, and I also conducted a case study with the U.S. Census tracts to explore social distancing potential for urban green spaces within a ½ mile radius of the perimeter. The lowest median household income census tract, $30,494-46,432, had the least amount of accessible green space while the highest median household income census tract had the most amount of accessible green space. These findings suggest a need for further quantitative and qualitative research surrounding urban green spaces within the context of environmental justice and public health.</t>
  </si>
  <si>
    <t>environmental justice, accessibility, geographic information systems, public health, income</t>
  </si>
  <si>
    <t>CruzM_2021-page1.pdf</t>
  </si>
  <si>
    <t>Jacqueline M. Davis</t>
  </si>
  <si>
    <t>Analyzing Fast Fashion Brand Loyalty and Avoidance among UC Berkeley Students</t>
  </si>
  <si>
    <t>My research analyzes fast-fashion brand loyalty and avoidance among students at the University of California, Berkeley. Fast fashion is a newer industry that sells trendy but inexpensive clothing at a faster rate than traditional fashion. Fast fashion is extremely profitable, the business model being purposefully constructed to keep consumers loyal, particularly younger ones. Aside from its success in the industry, fast fashion is environmentally unsustainable. In response to the detrimental effects of massive consumption due to fast fashion, anti-consumption and brand avoidance have also been becoming increasingly popular. These movements and ideals are especially prominent among the Millenial and Gen Z generations. These competing values have led fast fashion to become a topic of controversy and a subject extensively studied in literature. Studies have established models analyzing brand loyalty dimensions and others looked deeper into brand avoidance and established avoidance categories. My study used the previously established models from previous studies and applied them to students at UC Berkeley to find out what keeps students loyal, and what motivates them to avoid fast fashion. Through structural equation modeling, my study found significant support that perceived quality and organizational associations positively influence brand loyalty, while the effects of brand awareness, brand uniqueness, perceived value, and brand awareness did not yield significant results. Students' responses showed all three avoidance categories that have been established but had some slight differences in themes and sub-themes, as students were concerned about environmental issues which was not seen in previous studies.</t>
  </si>
  <si>
    <t>brand avoidance, business model, anti-consumption, brand equity, consumer behavior</t>
  </si>
  <si>
    <t>DavisJ_2021-page1.pdf</t>
  </si>
  <si>
    <t>Gisel DeLaCerda</t>
  </si>
  <si>
    <t>Diverse Farms and Urban Gardens Serve as Refuges for Native Specialist Pollinators</t>
  </si>
  <si>
    <t>Urbanization and agricultural intensification are threats to global biodiversity and insect pollinator decline. Increased agricultural inputs and conventional tillage threaten native pollinator communities at the landscape scale. There are opportunities to enhance bee communities through on-farm diversification in an agricultural landscape. However, little is known about the effects of farm management on specialist native pollinators and whether these effects are observed across a heterogenous landscape. I observed pollinators on small-scale farms and urban gardens with contrasting farm management practices (monocultures vs. polycultures/urban gardens) in California’s San Joaquin Valley to investigate the effects of field-scale diversification and surrounding landscape on specialist native pollinators. I selected sites where farmers grew squash (Cucurbita pepo) because the presence of its associated specialist squash bee allowed me to compare both specialist and generalist bee populations. I hypothesized that polyculture farms and urban gardens with diverse floral resources would exhibit greater abundance and diversity of bee populations than monoculture farms. I found that on-farm diversification enhances the abundance of specialist native pollinators, but not of total bees and other bees. Additionally, I observed a positive but insignificant trend between the proportion of surrounding green space and total bees and native bees. There is a negative correlation between the proportion of surrounding agricultural landscape and honey bee populations, but other bee types and total bees were unaffected. Thus, on-farm diversification and gardens in urban landscapes may mitigate the effects of land use change on native pollinator communities, while the effects of landscape heterogeneity remain unclear.</t>
  </si>
  <si>
    <t>urbanization, agricultural intensification, squash bees, green space, floral resources</t>
  </si>
  <si>
    <t>DeLaCerdaGisel_2021-page1.pdf</t>
  </si>
  <si>
    <t>Nicole S. Elgersma</t>
  </si>
  <si>
    <t>Vegetative Responses to Drought Events in California Grasslands</t>
  </si>
  <si>
    <t>I conducted analyses that related biodiversity and species composition with variation in environmental factors to understand larger vegetative trends within California grassland ecosystems in the context of climate change. I used the 2012 to 2015 California drought to observe species’ responses to naturally induced, prolonged conditions of low water availability. I related biodiversity and species compositional structures to spatial and temporal variables to understand variation between sites and drought and non drought conditions. I compared bedrock composition with alpha diversity metrics and analyzed the impact on grassland vegetative communities. I studied native and nonnative species composition to understand how species’ origins impact drought responses. Species distribution and abundance was strongly correlated with temporal and spatial variation within the ecosystem (p=0.037). Bedrock characteristics were correlated with variation between site responses to the drought events and the most variation in diversity was observed for plant communities on sandstone composites (p=0.007). Both nonnative and native plant species had significant reductions in cover during drought years (p=0.002, 0.004). Preserving grasslands that hold the greatest amounts of observed biodiversity may not actually be as beneficial for conservation efforts in the context of climate change as including more diverse types of plant communities regardless of measured diversity indexes. Factors that vary between bedrock types such as water retention capacities significantly impact plant resilience and recovery. While drought may have positive effects on reducing nonnative plants during dry periods, there are lasting implications for species composition.</t>
  </si>
  <si>
    <t>climate change, bedrock, nonnative species, biodiversity, rangeland ecology</t>
  </si>
  <si>
    <t>ElgersmaN_2021-page1.pdf</t>
  </si>
  <si>
    <t>Matthew L. French</t>
  </si>
  <si>
    <t>Impacts of Long and Short-Term Antibiotic Exposure on Arabidopsis thaliana Fitness</t>
  </si>
  <si>
    <t>Antibiotic exposure and the development of antibiotic resistance have important implications for public and environmental health. Arabidopsis thaliana is an indicator of how other species and ecosystems will respond to environmental stresses, and its response to antibiotics can assist in understanding how increased antibiotic use is altering environmental health. I grew 105 A. thaliana plants in greenhouse soil, organic farm soil, and factory farm soil which had experienced long-term antibiotic exposure. I treated them weekly with 10 µg/ml, 100 µg/ml, and 500 µg/ml solutions of tetracycline or penicillin for 45 days before harvest, at which point I measured mortality rate, fruit production, and height. After drying the plants for three days I measured above ground dry biomass. I found that long-term exposure to agricultural runoff from the organic farm and the factory farm was detrimental to fruit production, height, and mass, and that short-term exposure to tetracycline decreased height and mass as well as increased mortality rate. The negative impacts that resulted from tetracycline exposure were somewhat mitigated by being grown in organic farm soil, and more significantly mitigated by being grown in factory farm soil. These results imply that certain antibiotics may be less environmentally impactful to use in agriculture than others and that higher antibiotic concentrations in agricultural runoff are harmful to plant fitness. The findings of this study also suggest that utilizing soils which have undergone long-term antibiotic exposure may be an effective approach in mitigating the negative effects of short-term antibiotic exposure on ecosystem success.</t>
  </si>
  <si>
    <t>antibiotic resistance, animal agriculture, environmental toxicity, tetracycline, penicillin</t>
  </si>
  <si>
    <t>FrenchM_2021-page1.pdf</t>
  </si>
  <si>
    <t>Genna M. Fudin</t>
  </si>
  <si>
    <t>Community Composting in the East Bay, CA: Design-Based Research with Berkeley Student Farms</t>
  </si>
  <si>
    <t>The Berkeley Student Farms (BSF) coalition is a dynamic network of garden and farm spaces throughout the UC-Berkeley campus and a major goal of BSF is food justice. BSF commits to growing food for nourishing Berkeley’s campus affiliates, the East Bay community, and the overall ecosystem. To do so, we want to make sure that our plants grow in nutrient-rich soils. Compost applied to garden beds in the different BSF locations as well as other East Bay urban agroecology projects has been an important component to feeding the soils that in turn help feed the local community. Community Composting (CC), a type of decentralized composting, was found to be an important organic waste management strategy to employ locally in the East Bay amongst urban agroecology projects such as Berkeley Student Farms (BSF) and Acta Non Verba (ANV). ANV is a youth urban agriculture project in Oakland, CA which was used as a comparable study site for my research design and discussion. The existing centralized composting structure in California is limited in how much it can support the local community and not every East Bay resident currently has access to residential municipal composting. The BSF Community Composting project shows that decentralized composting models can support urban agroecology, design-based research, and food justice movements for various stakeholders such as UC-Berkeley affiliates (students, faculty, staff) and East Bay community members (local businesses, residents, and institutions).</t>
  </si>
  <si>
    <t>Food systems, organic waste management, decentralized composting, urban agroecology, collective ownership</t>
  </si>
  <si>
    <t>FudinG_2021-page1.pdf</t>
  </si>
  <si>
    <t>Jackson B. Gillespie</t>
  </si>
  <si>
    <t>An In-depth Analysis of the Mokelumne River Water Quality Near Lodi Lake</t>
  </si>
  <si>
    <t>Water pollution and its effects are a rising global issue, especially in the Central Valley of California. The Mokelumne River is a member of the Sacramento-San Joaquin Delta system in which pollution and declining water quality has become a major risk. This multi-faceted river system feeds Lodi Lake, canals used for irrigated agriculture, and provides a home for recreational users and endemic species alike. To ensure the water quality is being monitored, the Storm Drain Detectives program was created in 2001. The SDD are a group of teachers, students, and community members that monitor the Mokelumne River monthly at several different sites where stormwater enters the river. Using the SDD data and discharge/flow data from the US Geological Survey, I analyzed the overall water quality over the last two decades. Water quality fluctuated greatly during the study period, but overall, has declined over the last number of years. This was indicated by rising pH, rising annual temperatures, increased electrical conductivity and increased nitrate contamination. The only variables indicating any water quality recovery were decreased measures of turbidity and steady dissolved oxygen content. Additionally, drought had significant negative impact on water quality, having affected five out of six of the water quality variables, nitrate contamination being the only exception. Lastly, the land cover change analysis revealed significant increases in agricultural and urban sprawl, both factors that could contribute to declining water quality in the Mokelumne River.</t>
  </si>
  <si>
    <t>Nitrate contamination, land cover change, drought severity, water pollution, community involvement</t>
  </si>
  <si>
    <t>GillespieJ_2021-page1.pdf</t>
  </si>
  <si>
    <t>Phoebe C. Goulden</t>
  </si>
  <si>
    <t>Neoliberalism, Protest, and Environmentalism in Chile: The Role of Environmental Concerns in the 2019 estallido social</t>
  </si>
  <si>
    <t>Chile’s neoliberal economic model, instituted under the Pinochet dictatorship, has caused significant environmental harm. Legacies of the dictatorship were also a causal factor in the estallido social, a massive social movement that began in October 2019 and highlighted a breadth of social demands, including improved healthcare, education, and pension systems. Protesters successfully fought for a process to write a new constitution, which will replace the dictatorship-era one. The new constitution is a major opportunity to improve environmental governance in Chile, in addition to addressing social demands. Therefore, understanding how environmental concerns played a role in the estallido is key to assessing the likelihood that they will be incorporated in the new constitution. I surveyed student protest participants to understand their level of environmental concern and interviewed representatives of Chilean environmental organizations to determine how they participated in the estallido. I found that university students ranked environmental demands, such as ‘right to water’ and ‘protection of the environment,’ highly compared to social demands prominent in the estallido, but did not identify environmental demands as their primary motivation to protest. Environmental organizations worked to introduce environmental themes in community meetings and on social media during the estallido. Organizations also collaborated with other groups to develop environmental proposals for the new constitution and are actively advocating for these proposals to be included. These findings reflect positively on the possibility of improving environmental governance in Chile, but many challenges remain.</t>
  </si>
  <si>
    <t>social movements, environmental activism, New Ecological Paradigm Scale, constitutional rewrite, social outburst</t>
  </si>
  <si>
    <t>GouldenP_2021-page1.pdf</t>
  </si>
  <si>
    <t>Gloria-Alexandra V. Gueorguieva</t>
  </si>
  <si>
    <t>Engineering Reduced Cyanogenic Glucoside Accumulation in Cassava Roots</t>
  </si>
  <si>
    <t>The cassava plant (Manihot esculenta) is a staple food crop across the globe, feeding many regions of Africa, Latin America, Asia, and the Pacific. Its edible starchy tuberous roots are major sources of carbohydrates, providing 25% of all calories for approximately 800 million people worldwide. The problem however, is that the roots of bitter cassava varieties contain cyanogenic glucosides (CGs). CGs play an important role in herbivory defense and environmental stress mediation, but can lead to cyanide poisoning, partial paralysis, and death in humans if consumed improperly. Previous research has identified the cyanogenic glucoside biosynthesis and transporter genes in cassava; additional studies have also successfully reduced CG levels through RNAi knockdown of the biosynthetic genes. In this study, I analyzed the relationship between cyanogenic glucosides and cassava crop yield and found a significant trend between high cyanogenic glucoside levels and higher yield. This further supports the existing notion that cyanogenic glucosides play an important role in maintaining the fitness of plants. Additionally, I produced knockouts of a systemic transporter of cyanogenic glucosides using CRISPR-Cas9. This resulted in an over-accumulation of CGs in source tissues, and potentially decreased amounts of CGs in roots; thus creating edited plants that are safer for consumption, without eliminating a key herbivory defense and physiological fitness mechanism. Through this experimental approach, we may gain additional knowledge regarding the cassava plant’s physiology, and help eliminate the negative aspects associated with its consumption.</t>
  </si>
  <si>
    <t>CRISPR-Cas9, Gene-Editing, Food Security, Climate Change, Konzo Disease, Cyanide Poisoning</t>
  </si>
  <si>
    <t>GueorguievaA_2021-page1.pdf</t>
  </si>
  <si>
    <t>Zhenshan Guo</t>
  </si>
  <si>
    <t>The Potential Impact of Human Consumption on the Population of Asian Carp in America</t>
  </si>
  <si>
    <t>The freshwater ecosystem can be vulnerable to threats of species invasion. Asian Carp is one of the invasive species that occur in the contiguous United States; it is a common food in many Asian countries, but it has been causing damages to not only the native ecosystem but also aquacultural industries in the United States. The U.S. government has not yet given effective policies to solve the invasion problem of Asian Carp at present. Based on the fact of human consumption of the Carp in Asia, I researched the potential of population control of Asian carp in North America by encouraging an increase in human consumption. I surveyed Chinese students at Berkeley about their understanding of the species as well as their willingness of consuming them and their reasons. I also interviewed domestic students at Berkeley in Environmental Sciences major about their concerns about consuming the carp. The results showed that Chinese students were having fewer concerns about eating the Asian Carp based on better cognitions, but their decisions were affected by personal preferences. Domestic students were having overall limited cognition about Asian Carp; they had common concerns about food safety and ecological protection. The results provided a way to conclude possible factors that affect people’s attitudes towards eating the Asian Carp. Encouraging an increase in human consumption is a potential way to control the invasion of Asian carp.</t>
  </si>
  <si>
    <t>Invasive species, Asian Carp, novel foods, population control, food fish</t>
  </si>
  <si>
    <t>Guoz_2021-page1.pdf</t>
  </si>
  <si>
    <t>Sarah L. Hettema</t>
  </si>
  <si>
    <t>Fuels Influence on Fire Regimes in California’s Ecosystems</t>
  </si>
  <si>
    <t>California's ecosystems are facing longer fire seasons and warming temperatures that increase fire potential. Understanding the distribution of fuel loads and how fuel types and quantity interact to influence fire behavior could help managers devise fuel management strategies to effectively maintain ecosystem health. In this study, I aimed to determine how fuels influence fire size in different California ecoregions. I used ArcGIS Pro and Python to determine the spatial distribution of fuels in California’s 13 ecoregions from 2001-2015. Next, I evaluated the trends in fuel density through time, and finally I evaluated the relationship between fuel density and fire size. The forested ecoregions contained the greatest average fuel density across the 1 hour, 10 hour, and 100 hour fuel classes and there was a statistically significant (p &lt; 0.001) difference between the forested and non-forested fuel classes. Average fuel density and burn area were not correlated for any fuel classes (1 hour R² = 0.002; 10 hour, R² = 0.0002; 100 hour, R² = 0.0003). Fuel loading decreased over time and year had no impact on the relationship between fuel and fire size. Fuel loading has been suggested as a key contributor to the severity of California wildfires yet my study did not conclude a clear relationship between fuels and fire size. This can be attributed to the complexity of wildfires. Additional research on the interactions between fire regime variables is necessary to fully understand the implications of fuel distribution across the state.</t>
  </si>
  <si>
    <t>California Air Resources Board (CARB), Monitoring Trends in Burn Severity (MTBS), timelag fuel classes, spatial distribution of fuels, fire size</t>
  </si>
  <si>
    <t>HettemaS_2021-page1.pdf</t>
  </si>
  <si>
    <t>Gregory J. Hinson</t>
  </si>
  <si>
    <t>Understanding Geomorphological Changes of Dunes after Invasive Plant Species Restorations</t>
  </si>
  <si>
    <t>Coastal sand dunes serve as natural buffers against tides and storms. Invasive plant species with
deep roots and rhizomes may over stabilize coastal dunes which can lead to their depletion and in
turn eliminate the buffering services they offer. In 2011, the dunes just south of Abbott’s Lagoon
in Point Reyes National Seashore underwent a series of invasive species plant restorations where
Ammophila arenaria (European beachgrass) and Carpobrotus edulis (ice plant) were removed via
mechanical or herbicidal treatment. Using GIS, I attempted to see how the Abbott’s Lagoon sand
dunes have changed in elevation, slope, and aspect since the restorations started while also trying
to see if there was a statistically significant difference between the mechanically and herbicidally
treated areas. Since the start of the restorations, the area that was mechanically restored has
undergone larger decreases in elevation and slope than the herbicidally treated areas. Over the 8-
year difference between the geomorphic data, the mechanically treated phase on average decreased
by -0.19m while the next closest herbicidally treated phase decreased by only -0.04m on average.
As for the slope change, the mechanically restored phase on average decreased -3.46 degrees
between 2010 and 2016 and -4.92 degrees between 2010 and 2018, the largest average decrease
compared to the herbicidally treated phases. The mechanically treated area also saw the largest
average aspect change between 2010 and 2016, shifting 14.41 degrees clockwise on. The higher
deflation and destabilization rates in the mechanically treated area suggest that it is the most
effective at removal and prevention of invasive species. While the mechanically treated area was
the more effective restoration technique, it is important that the dunes are planted with native
vegetation, so they do not become too destabilized and deflated, as that also leads to its erosion
and loss of buffering ability.</t>
  </si>
  <si>
    <t>8-year change, 6-year change, Abbott’s Lagoon, Mechanical Treatment, Herbicidal Treatment</t>
  </si>
  <si>
    <t>HinsonG_2021-page1.pdf</t>
  </si>
  <si>
    <t>Chunyao Huang</t>
  </si>
  <si>
    <t>Urban Creek Plastic Pollution in the Bay Area, California: Protections, Litter Compositions and Sources</t>
  </si>
  <si>
    <t>Urban streams serve both as corridors of plastic pollution to the ocean and as a sink of plastic waste. Freshwater wildlife organisms interact with this plastic waste in many ways which can negatively disrupt the freshwater ecosystem. To investigate how plastic waste enters streams and who is responsible for cleaning up and preventing sources of litter, I researched the effectiveness of creek protections on plastic litter control. I chose three sites at three creeks in Contra Costa County, California, and searched for government regulations and volunteer activities by non-profit organizations. Through creek litter sample collection, I studied the litter components and drew relationships between creek litter and the nearby structures. I found an average of 76.3% of the total litter to be plastics that were in diverse types. Among the plastic litter, the top 3 components were packages (28.2%), films (21.1%) and Styrofoam (20.2%). Nearby structures, the creek visitor diversity and the parties involved affected the creek litter quantity, but were not conclusive on the types of litter. Parties involved should be taking more effective actions on reducing future plastic litter and cleaning existing ones, especially planning on restarting the activities after the Covid-19 pandemic. Further studies on looking at more creeks for a more comprehensive analysis and looking at plastic litter in a micro-way are also needed.</t>
  </si>
  <si>
    <t>neighborhood litter source, stream litter, volunteer clean-ups, regulations, sorting methodology</t>
  </si>
  <si>
    <t>HuangC_2021-page1.pdf</t>
  </si>
  <si>
    <t>Daisy Knobloch</t>
  </si>
  <si>
    <t>Parks in Pandemics: Assessing the Role of Urban Green Space in the Age of COVID-19</t>
  </si>
  <si>
    <t>In March 2020, most of the world had been struck by the COVID-19 virus. In response to resultant widespread closures of indoor venues and higher transmission risk indoors, outdoor activities grew in popularity. This led to urban green spaces (UGS), such as public parks, becoming havens for activities outside of the home. However, as more urban residents have altered their relationships with their local green spaces, concerns have arisen about the capacity of parks to accommodate these new conditions. In this study, I use a mixed-methods approach to examine how urban green space use and perception has changed during the COVID-19 pandemic in the San Francisco Bay area. Specifically, I explore individual changes in urban green space use frequency, park facility uses, and park quality under changing conditions. Surveys, park inventories, and satellite analysis were used. I found that the perceived value of urban green space has increased; that green spaces are being used primarily for exercise, social gatherings, and mental health; and that most urban green spaces are not adequately meeting the new and changing demands of visitors during the COVID-19 pandemic. As more of the U.S. population becomes vaccinated, and the State of California and local governments commence re-opening efforts, local governments should potentially prepare to address a permanently increased demand for urban green space resources, as the value that had been placed on urban green space has increased.</t>
  </si>
  <si>
    <t>Public health, environmental justice, urban planning, landscape architecture, parks and recreation</t>
  </si>
  <si>
    <t>KnoblochD_2021-page1.pdf</t>
  </si>
  <si>
    <t>Aileen M. Lavelle</t>
  </si>
  <si>
    <t>Geospatial Analysis of Loggerhead Sea Turtle Hatchling Success: Do Buildings and Caging Alter Hatchling Mortality from Predators on the West Coast of Florida?</t>
  </si>
  <si>
    <t>My goal was to determine the role predation, caging and buildings have on Loggerhead sea turtle (Caretta caretta) nest hatching success. Predators, primarily raccoons and armadillos, can easily consume the majority of sea turtle eggs in a season, causing reduced recruitment of hatchlings and ultimately resulting in longer-term decreases in adult Loggerhead populations. Using Loggerhead nesting data collected by Mote Marine Laboratory from 2010-2020 on Longboat and Casey Keys, near Sarasota, Florida, I created a heat map indicating which spatial factors led to differential hatchling mortality. Nests further from building, nests near high-rises, nests on Casey Key, and nests found during later years of data collection (2018- 2020) were more likely to be depredated. Caging of sea turtle nests before or after the first predation resulted in higher hatching rates than nests that were not caged. Hatching success was significantly higher in caged nests when there were raccoons, no predators or other predators. The findings of this study indicate that as more people move to the U.S. coast and develop these areas, important considerations must be made in relation to altering the natural habitat. Zoning and permits therefore have important repercussions on coastal species, particularly in the recruitment of sea turtles, as high-rises and buildings close to nests have been shown to have a negative effect on hatching success. In addition, the implementation of caging assists in sea turtle egg and hatchling survival and this management practice should be implemented everywhere Loggerhead nests occur.</t>
  </si>
  <si>
    <t>Caretta caretta, Spatial Analysis, Predation mitigation, Nesting Behavior, and Florida</t>
  </si>
  <si>
    <t>LavelleA_2021-page1.pdf</t>
  </si>
  <si>
    <t>Natlie Lee</t>
  </si>
  <si>
    <t>Affordable Housing for Climate Change: A Study of the Relationship Between Housing Cost and Transportation Footprint of UC Berkeley Undergraduates</t>
  </si>
  <si>
    <t>The transportation sector in the USA is the biggest emitter of climate change-inducing greenhouse gases (GHG), especially from passenger vehicles as people commute to work or schools far from their residence. Studentification increases housing costs near universities, discouraging students from living close to campus and indirectly incentivizing the use of carbon-emitting transport modes to complete commutes that may cause bigger transportation footprints. To address the knowledge gap in research regarding the relationship between housing cost and transportation footprint, I distributed an online survey and collected data on UC Berkeley undergraduate students’ housing and transport mode choices, costs, and behaviors. I conducted correlation tests to examine the association between these variables of interest, comparing values between respondents identified as commuters and non-commuters. I found a statistically significant negative correlation between housing cost and distance from campus. When choosing their housing accommodations, non-commuters most highly valued living close to campus while commuters valued housing cost. Transport mode choice was most influenced by distance between students’ residence and campus. Commuters used GHG-emitting transport modes more frequently and, consequently, had greater transportation costs and footprints. There was no association between annual household income and housing cost or living situation, suggesting that factors other than financial status influence students’ housing decisions. I found a negative correlation between housing cost and transportation footprint, although it was not statistically significant. These results indicate that more research is needed to understand the relationship between individuals’ housing and transport mode choices, both of which appear to influence transportation footprint.</t>
  </si>
  <si>
    <t>transport mode choice, housing preferences, Likert scale, carbon emissions, studentification</t>
  </si>
  <si>
    <t>LeeN_2021-page1.pdf</t>
  </si>
  <si>
    <t>Annika J. Levaggi</t>
  </si>
  <si>
    <t>Berkeley Student Farms: A Community-Informed Model for Urban Agriculture Education at UC Berkeley</t>
  </si>
  <si>
    <t>Despite UC Berkeley’s historical divestment from agricultural studies a rising student movement, largely organized under the coalition of Berkeley Student Farms (BSF), is reimagining the role of urban land grant institutions today. Applying a constructivist, community-based participatory approach, this thesis engaged administrators, staff, faculty, and students from across UC Berkeley’s food system through participatory mapping, formal interviews, and an experimental classroom to synthesize and evaluate their collective visions for what an alternative urban agriculture (UA) education might look like. Analysis of participatory maps informed a site plan for the largest tracts of Berkeley Student Farms to be developed into a student-led and campus-allied Center for Land-Based Learning featuring an agroecology in residence program to support land-based educational programming for students from a diversity of disciplines. Interview results defined a five part pedagogy of agroecology, and outline how UC Berkeley might incorporate (1) interdisciplinary, (2) place-based, (3) intercultural, (4) embodied, and (5) democratic pedagogies into such an UA program. Outcomes of the experimental classroom, affirm that the pedagogy effectively improves proficiency, but reveal challenges with the accessibility of land-based learning and difficulties scaffolding democratism at the classroom level. In thinking about how BSF might grow towards offering an UA program and developing a Center for Land-Based Learning, this thesis concludes with recommendations for maintaining diverse income streams, outreaching community partnerships—particularly with faculty and the Basic Needs Center—and building from the existing infrastructure of the food system minor.</t>
  </si>
  <si>
    <t>Agroecology, Food Sovereignty, Liberation, Pedagogy, Community-based participatory research</t>
  </si>
  <si>
    <t>LevaggiA_2021-page1.pdf</t>
  </si>
  <si>
    <t>Queenie Li</t>
  </si>
  <si>
    <t>Mediterranean Climate Flows and In-Stream Fauna: Mosquitofish and Invertebrate Abundances in Grayson Creek, California</t>
  </si>
  <si>
    <t>Gambusia affinis is a fish used worldwide in mosquito control programs. Although designated an invasive species in California, it is currently unknown how well stocked fish persist after high winter flows of Mediterranean climates. California mosquito control relies on stocking mosquitofish that have to be restocked intermittently from losses. In Northern California, from November-February 2021, I inventoried habitat characteristics, sampled aquatic habitats for macroinvertebrates and banksides for terrestrial insects, and counted stocked mosquitofish in Grayson Creek, in 3 sampling sites (11 sub-sites). Using sticky traps, I sampled nearly 2,300 terrestrial insects. Sciaridae, Psychodidae, and Chironomidae dominated the terrestrial samples and increased in abundance after heavy rains to levels greater than those just before the wet season. I collected roughly 600 in-stream fauna using drift nets at each site, and abundance decreased immediately after flows and then recovered, except at the furthest downstream location, where macroinvertebrate abundance continuously decreased. Mosquitofish abundance via visual survey counts peaked at 69 individuals before the wet season and also decreased during periods of high flow until disappearing altogether by mid-February. Insect abundance recovered after heavy flows removed the mosquitofish, and Culicidae were rarely present throughout the entire sampling period. Thus, it is unclear if abundance is attributed to the mosquitofish or other ecosystem characteristics.</t>
  </si>
  <si>
    <t>invasive species, urban stream syndrome, mosquito control, benthic macroinvertebrates, terrestrial insects</t>
  </si>
  <si>
    <t>LiQ_2021-page1.pdf</t>
  </si>
  <si>
    <t>Laura Mackenzie</t>
  </si>
  <si>
    <t>Where does the inequity lie? Trends in the Use, Access, and Impacts of UC Berkeley Campus Green Spaces on Undergraduate Students</t>
  </si>
  <si>
    <t>There is a large array of literature that assesses the relationship between socio-economic factors and racial identity in relation to the access and use of community green spaces. However, new studies are beginning to show that there are more nuanced biases and factors that influence how people interact with green spaces when there is equal access. In this study, I address the underrepresented college student population and analyze the role race, previous exposure and access to green spaces, family income, and psycho-social factors play in determining how and why students access and use college green spaces using a qualitative and quantitative survey matrix. I found that the college environment removes socio-economic limiting factors as barriers to access and use, but that race, previous exposure, and psycho-social factors still influence how students interact with campus green spaces. My results will benefit other researchers on the current gaps that exist in our understanding of the relationship between culture, society, and green spaces and assist them in how to better prepare further study. My results will also help university officials worldwide on the importance of campus green spaces for students’ physical and mental health, as well as provide them with guidance on how to address campus green space use inequities and inaccessibility.</t>
  </si>
  <si>
    <t>Undergraduate students, greenspace, trends in use and benefit, factor of influence, barrier factors</t>
  </si>
  <si>
    <t>MackenzieL_2021-page1.pdf</t>
  </si>
  <si>
    <t>Joneil D. Manansala</t>
  </si>
  <si>
    <t>Environmental and Public Health Risks from Wildfires in the San Francisco Bay Area</t>
  </si>
  <si>
    <t>In recent years, the Bay Area has been frequently exposed to wildfire smoke and it has been affecting the health of many individuals and communities. The aim of my research is to understand how the recent fires within the Bay Area are affecting the health of people by using air quality data. I used two air quality sensors from the Bay Area Air Quality Management District (BAAQMD) with a focus on two sites within West Oakland (West Oakland Sensor) and Eastside San Jose (Knox Avenue Sensor). Using these sensors, I aimed to answer: (a) What is the relationship between smoke levels and particulate matter 2.5 (PM2.5)? And (b) Does constant and consistent periods of ’poor’ to ’unhealthy’ air quality resulting from wildfire smoke affect the respiratory health of nearby communities and individuals? With these questions in mind, the design of this research will look into the trends to find out if wildfire smoke is affecting individuals. Using time-series analysis, I found a significantly increasing trend in PM2.5 concentrations in Knox Avenue and West Oakland sites (p-value = 3.43x10^-5 and p-value = 1.99x10^-15, respectively). The time-series trend test on the number of asthma emergency department visits failed to show any significant trends over the 2016-2018 period in Knox Avenue and West Oakland sites (p-value = 0.07 and p-value = 0.25 respectively). Overall, this study gives insight into changes in air quality and particulate matter resulting from wildfire smoke, but is inconclusive regarding the association with asthma emergency room visits. Increases in wildfire activity and worsening air quality are expected over the next few decades.</t>
  </si>
  <si>
    <t>Wildfires, smoke pollution, air quality index, particulate matter 2.5, respiratory health</t>
  </si>
  <si>
    <t>ManansalaJ_2021-page1.pdf</t>
  </si>
  <si>
    <t>Noah W. McDonald</t>
  </si>
  <si>
    <t>Battery Electric Vehicles (BEVs), Vehicle Market Growth and Carbon Dioxide Emissions Reduction Potential in California</t>
  </si>
  <si>
    <t>Battery Electric Vehicles (BEVs) have an important role to play in combating climate change by lowering personal vehicle transportation emissions. In recent years, California has been a national and global leader in BEV adoption and in implementing lower transportation emission policy. This study utilizes the Well-to-Wheel (WTW) Greenhouse Gases, Regulated Emissions, and Energy Use in Transportation (GREET) model to estimate per vehicle emissions for BEVs and conventional ICEVs at five year increments starting in the year 2020. This study also projects California vehicle market trends and composition for the purposes of calculating the total carbon dioxide emissions reduction potential that is associated with BEV market growth at the same five year time increments. The results of this study show that at any simulated time period, BEVs emit 33 - 38% of the total WTW carbon dioxide emissions associated with conventional ICEVs and that BEVs projected market growth has the capacity to reduce statewide CO2 emissions by 54 million tonsCO2/year. This study encourages state policy makers to pass more aggressive policy and incentives focused on personal vehicle emissions regulations that will work to promote more rapid adoption of BEVs. I suggest that policy makers work with manufacturers and consumers to promote electric vehicle technology, as it is shown to be more emission efficient and has greater capacity to improve carbon dioxide emission levels over the next couple of decades.</t>
  </si>
  <si>
    <t>Battery Electric Vehicles, California Vehicle Market, Well-to-Wheels Life Cycle Assessment, Carbon Dioxide Emissions, Sustainable Transportation</t>
  </si>
  <si>
    <t>McDonaldN_2021-page1.pdf</t>
  </si>
  <si>
    <t>Sasha P. Mizenin</t>
  </si>
  <si>
    <t>Focusing on Indigenous Visions of Climate Resilience in the Bay Area</t>
  </si>
  <si>
    <t>Indigenous climate resilience and perspectives are rarely included in bureaucratic, political arenas and pose significant barriers to progress for all parties involved. Indigenous ancestral knowledge composed of the intricacies of the specific land on which they live could provide insights for future respectful collaborations between the state and Indigenous peoples. The East Bay of San Francisco Bay, California is the ancestral homelands of the Lisjan Ohlone people, which includes spokesperson Corrina Gould who co-created the Sogorea Te’ Land Trust (STLT). Through participatory research, I archived 30 of Corrina Gould’s conferences to learn the Lisjan Ohlone climate resilience narrative. Through 26 emergent themes, her narrative included the necessary awareness of colonization’s erased historical and contemporary impact on the Ohlone people, as well as a need to come back into reciprocal relations with the Ohlone people, with the Earth —to heal collectively. This research also analyzed Oakland Climate Action Coalition (OCAC) through participant observation, and the 2030 Equitable Climate Action Plan (ECAP) through archival analysis to determine the inclusion of STLT and their voices. OCAC proved eager to the contributions and wisdom of the Lisjan Ohlone people but were not ready organizationally to provide the adequate structural needs. ECAP wrote a Land Acknowledgement without the involvement of STLT. ‘Contact zones’ and their impediments on potential collaboration within political power relationships are also analyzed. This research is part of a bigger effort to make the results from Corrina Gould’s archival analysis into a decolonial ArcGis map for further outreach on the STLT website.</t>
  </si>
  <si>
    <t>Contact zones, state politics, reciprocity, archival analysis, participatory research</t>
  </si>
  <si>
    <t>MizeninS_2021-page1.pdf</t>
  </si>
  <si>
    <t>Gabriella L. Naylor</t>
  </si>
  <si>
    <t>Air Pollution Amidst the COVID-19 Pandemic Shelter-in-Place Orders</t>
  </si>
  <si>
    <t>Shelter in place orders during the COVID-19 pandemic in 2020 instructed citizens to stay indoors and only go out for essential necessities. This implies that more people will be off the roads and staying at home and therefore potentially decreasing pollutants from vehicles. However, with the uncertainty that people were actually obeying the orders put in place, this poses the question of: do shelter in place precautions during the COVID-19 pandemic have an effect on air quality in major cities in the United States? In order to answer this question, I used PM2.5 datasets from the EPA from 8 different cities across the United States. With those 8 datasets I was able to assess trends in the data and see if the shelter in place orders for COVID-19 had any influence on PM2.5 measurements. The overwhelming majority of the findings indicate that the pandemic’s shelter in place orders decreased the PM2.5 measurements, especially during the beginning months of the pandemic. My findings also indicate that annual trends due to seasonality were not affected by shelter in place orders, only emphasized in the beginning of the pandemic. In conclusion, shelter in place orders did seem to have an effect on air quality more so during the beginning of the pandemic than the later months of 2020.</t>
  </si>
  <si>
    <t>Air quality, Pm2.5, COVID-19, pandemic, EPA, virus</t>
  </si>
  <si>
    <t>NaylorG_2021-page1.pdf</t>
  </si>
  <si>
    <t>Grant Nguyen</t>
  </si>
  <si>
    <t>Impact of Wildfire Smoke on Seed Germination in Tilden Park</t>
  </si>
  <si>
    <t>Climate change has caused fire patterns to change across fire-prone areas like the Chaparral. Fires are becoming more frequent and expansive. Man made structures are burning during these huge fires, releasing inorganic chemicals, in addition to organic ones. Believing that inorganic chemicals are notably harmful to the plant biome, I conducted an observation experiment that measured seed germination rates of nonnative and native plates in Tilden Park after different applications of organic and inorganic smoke. My results showed that organic smoke applications through water-smoke, gaseous smoke, and ash smoke lead to a general pattern of germination rate stimulus in native seeds, while inorganic smoke applications lead to an observational average decreased germination rates in native and nonnative plants. This led me to conclude that inorganic smoke released from wildfires could be harmful to Tilden Park seed species, while the organic smoke compounds lead to an increase in the germination rate of only native plants. I believed that native plants were adapted to coexist with natural fires, but nonnative plants weren’t, while both types of plants weren’t able to evolutionarily deal with the inorganic/toxic compounds released from larger wildfires.</t>
  </si>
  <si>
    <t>plant biota, inorganic, climate change, Easy Bay, observational</t>
  </si>
  <si>
    <t>NguyenG_2021-page1.pdf</t>
  </si>
  <si>
    <t>Matthew I. Oh</t>
  </si>
  <si>
    <t>Mitigating Nonpoint Source Pollution Across Oahu with Geographic Information Systems</t>
  </si>
  <si>
    <t>Nonpoint source pollution (NSP) is often difficult to manage because of the large amount of pollution sources spread out over a wide area. Nutrient NSP runoff in particular poses a significant risk in damaging surrounding aquatic ecosystems through eutrophication. In this paper, I modeled and analyzed NSP nutrient runoff for phosphorus and nitrogen within the Ala Wai watershed on the island of Oahu, Hawaii by creating a weighted risk map with Geographic Information Systems (GIS) and by performing a statistical analysis on water quality data. I then suggested potential control and remediation measures. I found that there were no exceedances in the acceptable water parameters for average values of total nitrogen ( ≥ .15 mg/L) or total phosphorus ( ≥ 0.02 mg/L) across the study period. However, the average values for chlorophyll a exceeded acceptable levels ( ≥ 0.3 mg/L) for both years of the study period (2018-2019). Using the water parameter data in conjunction with the weighted risk map, I identified 3 neighborhoods with a high risk of producing high levels of nutrient NSP within the Ala Wai watershed: the Makiki, Manoa, and Palolo neighborhoods. Overall, I found to most effectively reduce nonpoint source runoff in these high risk neighborhoods, a multidimensional approach that combined policy, increased public education, and engineering controls was needed.</t>
  </si>
  <si>
    <t>runoff, eutrophication, GIS, nitrogen, phosphorus, chlorophyll a</t>
  </si>
  <si>
    <t>OM_2021-page1.pdf</t>
  </si>
  <si>
    <t>Haylee S. Oyler</t>
  </si>
  <si>
    <t>It's not just for the Birds: Citizen Science Participation during COVID-19</t>
  </si>
  <si>
    <t>Global lockdowns resulting from the COVID-19 pandemic introduced many movement restrictions to daily life in 2020. These restrictions may have impacted the public’s ability to contribute to citizen science data collection. I investigated how the pandemic has affected citizen science by examining birdwatching observations submitted to eBird. I looked at observation counts, user recruitment, species of special concern counts, and land cover observation distribution in Alameda County from the years 2017 through 2020. Compared to previous years, 2020 showed small but not significant increases in observation count and new user recruitment with 3.7 million total observations from 1,641 total observers. Similarly, there was a small but not significant increase in observations of vulnerable species from the California Department of Fish and Wildlife’s species of special concern list with 10,515 observations, accounting for less than 1% of total observations. Observations did not shift between urban and non-urban locations with an average of 25% of observations being made in urban areas among the four years. This study demonstrates that birders in Alameda County consistently used eBird even under the movement restrictions caused by the pandemic. Citizen science data is important to conservation planning and decision-making. Understanding how the COVID-19 pandemic has affected citizen science data collection is essential to help scientists properly interpret and use this data in future studies.</t>
  </si>
  <si>
    <t>eBird, auk, pandemic response, human-wildlife interaction, conservation biology</t>
  </si>
  <si>
    <t>OylerH_2021-page1.pdf</t>
  </si>
  <si>
    <t>Holden S. Payne</t>
  </si>
  <si>
    <t>Modified Group Selection Silvicultural Regimes: Supplanting Herbicide Application on Establishing Coniferous Seedlings in the Mixed Conifer Forest of Sierra Nevada</t>
  </si>
  <si>
    <t>Management of mixed conifer forests in California’s Sierra Nevada often uses rotations that require the use of herbicides and patch sizes of up to 8 hectares to ensure successful regeneration of mixed conifer species. Yet, concerns over the toxicity of herbicides presents an opportunity to explore alternative methods of controlling competing shrub species. Our study created 20 random openings of 0.08 hectares in size at Blodget Forest Research Station, California and planted 4 rows of mixed conifer species with openings randomly treated with herbicide or not; to examine whether the use of herbicides significantly affected growth. Using data on groups 0.1 to 1.0 hectares in size from a similar study, we also analyzed whether the variance in patch size would significantly impact growth rates. The results demonstrated that herbicide application did not significantly impact the growth of any of the 4 mixed conifer species regenerated in 0.08 hectares patches. We also found that annual growth did not significantly differ with patch size when comparing the grouped 0.08 ha patches with openings of 0.1/0.3 hectares in size. Yet, there was a significant difference in growth at the plot level when comparing the 0.08 ha patches to groups of 0.6/1.0 hectares for all species and individually except for ponderosa pine and sugar pine. The results of this present interesting findings for management of mixed conifer forests; chiefly that small groups provide opportunities to regenerate coniferous seedlings without the use of herbicide without a substantial loss in annual growth rates.</t>
  </si>
  <si>
    <t>Gap dynamics, Edge effects, Shrub competition, Silviculture, Forest disturbance patches</t>
  </si>
  <si>
    <t>PayneH_2021-page1.pdf</t>
  </si>
  <si>
    <t>Alyssa Plascencia</t>
  </si>
  <si>
    <t>“Environmental Literacy for All”: High School Environmental Education in California</t>
  </si>
  <si>
    <t>Increasing environmental literacy within our population is crucial for the development of effective solutions to current and future environmental problems. Environmental literacy describes an individual’s environmental knowledge and concern emphasizing their ability to act and make decisions in an environmentally conscious manner. A formal, K-12 environmental education (EE) is one powerful avenue to foster environmental literacy in our youth. However, not all students have access to such an education. This research examined the access that high school students in low socioeconomic communities have to environmental education and barriers for its implementation through case studies of two high schools, Richmond High and Soledad High. Richmond is in an urban area, while Soledad is in a semi-rural area. Interviews with teachers revealed that students at these schools have limited access to environmental curriculum. In addition, emphasis and prioritization of meeting state standards, within course curriculum and on a school-wide level, appeared to be the most significant limiting factor of environmental education at Richmond High school and Soledad High school. Despite location differences, challenges discussed by teachers were very similar. Other important barriers highlighted by teachers were lack of funding, student difficulties with learning and lack of access to green space. This research highlights the inequity of access to quality environmental curriculum for high school students in People of color (POC) and low-income communities and the severe need for increased priority of expanding environmental education in these communities.</t>
  </si>
  <si>
    <t>urban education, K-12 education, environmental curriculum, equity of access, low-income school, environmental knowledge</t>
  </si>
  <si>
    <t>PlascenciaA_2021-page1.pdf</t>
  </si>
  <si>
    <t>Brian Y. Price</t>
  </si>
  <si>
    <t>Low Impact Development for Stormwater Management on the University of California, Berkeley Campus</t>
  </si>
  <si>
    <t>best management practices, green infrastructure, runoff abatement, cost-effectiveness, site selection</t>
  </si>
  <si>
    <t>PriceB_2021-page1.pdf</t>
  </si>
  <si>
    <t>Ellie Pumpkin</t>
  </si>
  <si>
    <t>Habitat Restoration and Channel Complexity in Lagunitas Creek, CA: Implications for Endangered Coho Salmon (Oncorhynchus kisutch)</t>
  </si>
  <si>
    <t>Habitat diversity is an essential component of healthy freshwater ecosystems. Streams with diverse physical and structural elements effectuate local habitat heterogeneity, which promotes adaptive divergence and resilience in fish populations. Urbanization and other human activities homogenize stream habitat, resulting in uniform physical and biological conditions frequently linked to declines in native fish populations. Recovery efforts employ in-stream restoration to artificially enhance habitat complexity, though the construction of off-channel habitat as a specific mechanism is less explored. To assess the effects of off-channel habitat on stream complexity and endangered coho salmon in Lagunitas Creek, California, I sampled four treatment sites (main channel with adjacent side channel) and their corresponding controls (main channel only). For each pairing, I gathered data to compare habitat heterogeneity, invertebrate and fish diversity, and coho salmon population density. Physical and structural habitat variation and fish diversity were generally higher at treatment sites than controls, but invertebrate diversity did not exhibit a clear differential trend. These results indicate that off-channel habitat is associated with enhanced channel complexity and biodiversity, which are conducive to maintaining stream habitat suitable for coho salmon. Accordingly, I found that treatment sites — particularly those with constructed side channels — supported substantially higher coho densities within paired sites and across all sites. Collectively, my results suggest that off-channel habitat as an approach to in-stream restoration may enhance physical and biological diversity and generate habitat favorable to endangered coho salmon.</t>
  </si>
  <si>
    <t>restoration ecology, habitat heterogeneity, biodiversity, in-stream restoration, off-channel habitat</t>
  </si>
  <si>
    <t>PumpkinE_2021-page1.pdf</t>
  </si>
  <si>
    <t>Elizabeth Pyle</t>
  </si>
  <si>
    <t>Global Pattern Analysis of the Amphibian Disease Chytridiomycosis</t>
  </si>
  <si>
    <t>Amphibians are smooth-skinned vertebrates that utilize both aquatic and terrestrial habitats to prosper. My study analyzes the patterns in Bd and Bsal amphibian infections on a global scale. A global geographic analysis of Bd and Bsal positive cases determined that Bd is widespread around the globe, while Bsal is still relatively contained according to the limited data available. Additionally, calculation of infection rates of Bd assisted the analysis of spread and determined infection hotspots; Bd had hotspots in all continents except Antarctica. Finally, an analysis of which taxonomic groups of amphibians are most affected assisted in determining amphibian families with high disease prevalence. More research is needed to solve this disease crisis, however, legislative regulation of the global amphibian pet trade could be the key to slowing down the spread of chytrid fungi.</t>
  </si>
  <si>
    <t>Amphibians, chytrid fungi, chytridiomycosis, Batrachochytrium dendrobatidis (Bd), Batrachochytrium salamandrivorans (Bsal)</t>
  </si>
  <si>
    <t>PyleE_2021-page1.pdf</t>
  </si>
  <si>
    <t>Hannah Qiang</t>
  </si>
  <si>
    <t>Environmental Benefits and Impacts of Rooftop Greenhouses in Oakland, California</t>
  </si>
  <si>
    <t>Growing populations have led to a rise in food insecurity, and to keep up with increasing demand for food, new agricultural methods such as urban agriculture need to be assessed and implemented. Using life cycle assessments (LCA), I compared the environmental impacts of rooftop greenhouses to conventional outdoor farming methods. Using geographic information systems (GIS), I weighed socioeconomic and landscape factors to create a suitability map of Oakland, California. The main findings of this study show that rooftop greenhouses are a sustainable alternative to conventional outdoor farming. 30% of global warming potential (GWP) from rooftop greenhouses comes from the packaging life cycle stage. On average, rooftop greenhouses have a lower environmental impact in comparison to conventional outdoor farming across 5 impact categories (GWP, OD, TA, E, PO). Based on 13 total opportunity and constraint factors, Downtown Oakland South of 580 and Fruitvale are areas in Oakland most suitable and in highest need for urban agriculture spaces such as rooftop greenhouses.</t>
  </si>
  <si>
    <t>life cycle assessment, urban agriculture, conventional outdoor agriculture, geographic information systems, global warming potential</t>
  </si>
  <si>
    <t>QiangH_2021-page1.pdf</t>
  </si>
  <si>
    <t>Anna C. Ramji</t>
  </si>
  <si>
    <t>Finding what tries to not be found: Analyzing patterns in cryptic behavior of Octopus chierchiae in laboratory settings</t>
  </si>
  <si>
    <t>Crypsis is an essential evolutionary adaptation of octopuses which allows them to outsmart predators and prey alike, as they fight to overcome the vulnerability of their shell-less mollusc ancestry. Camouflaging is one example of cryptic behavior in which specialized skin cells are controlled in a complex neurological and physiological system to imitate pigment, light, and even texture. Several species of octopus, including Octopus chierchiae, can also bury or cover themselves in substrate and debris to evade detection and predation. Though the common octopuses’ (O. vulgaris) temporal organization of responses to predator activity has been studied, preference in modes of cryptic behavior have not previously been explored (Meisel, D. et al. 2013). This study addresses the complexity and preferences of O. chierchiae behavior on both individual and population scales in the context of controlled laboratory environments. I also explore the potential to establish a baseline of consistencies in individual behavior.</t>
  </si>
  <si>
    <t>animal behavior, animal husbandry, camouflage, cephalopod behavior, cephalopod intelligence</t>
  </si>
  <si>
    <t>RamjiA_2021-page1.pdf</t>
  </si>
  <si>
    <t>Emily A. Robles</t>
  </si>
  <si>
    <t>FAIR Motivated Metadata: Metadata Requirement Variation between Environmental Science Data Repositories</t>
  </si>
  <si>
    <t>Proper management of environmental science data is crucial to the progression of research into areas of large scale analyses and model creation. Data longevity and quality can be improved through metadata requirements implemented by data repositories, however there are no standards currently in place that have identified a single set of metadata fields that should be required by all environmental science data repositories. Each repository is therefore left to independently define their own requirements, and most do so under the guidance of the FAIR principles, a globally accepted set of high quality data characteristics: Findable, Accessible, Interoperable, and Reusable. To identify the variation in metadata requirements implemented by data repositories, I selected a group of 15 common metadata requirements and surveyed their presence in 15 environmental science data repositories. Only one data repository required all 15 of the metadata requirements tested, and many repositories were lacking key fields that have been identified as crucial to the long term usability of data. Additionally, common requirements related to the findability and accessibility characteristics of FAIR data were present more consistently than those that promote interoperability and reusability, suggesting that these FAIR principles may be better addressed by the implementation of strategies that fall outside of metadata requirements alone.</t>
  </si>
  <si>
    <t>data longevity, data stewardship, FAIR principles, open data, standards, data management</t>
  </si>
  <si>
    <t>RoblesE_2021-page1.pdf</t>
  </si>
  <si>
    <t>Lauren Rocheleau</t>
  </si>
  <si>
    <t>The Effects of COVID-19 on PPE Litter on U.S. Coastlines</t>
  </si>
  <si>
    <t>COVID-19 has increased the demand of single use plastics and Personal Protective Equipment (PPE) materials. This increased usage of single use plastic items poses a long-term environmental threat to ocean ecosystems. In this study, I examined the effect COVID-19 has on beach litter and beach cleanup behavior. Total and monthly amount of PPE items, such as disposable and reusable masks, gloves, and wipes were calculated. I found that the total amount of beach litter collected had decreased and PPE percentages increased from March 2020 to February 2021, over the duration of the pandemic. On average, PPE made up 2.58% of litter collected during the pandemic. Monthly percentage of PPE in litter displayed a positive linear trend, indicating PPE amounts are increasing over the course of the pandemic. Despite a lower total number of volunteers participating, the amount of trash picked up per volunteer increased during the pandemic especially in spring and summer months of May, June, and July. COVID-19 has temporally decreased human pressures on beaches due to national and state mandates but new PPE litter presents issues of long term presence of plastics in our oceans. Implementing sustainable PPE practices and disposal regulations can relieve pollution pressure on marina ecosystems.</t>
  </si>
  <si>
    <t>beach litter, personal protective gear, beach cleanup, marine pollution</t>
  </si>
  <si>
    <t>RocheleauL_2021-page1.pdf</t>
  </si>
  <si>
    <t>Anna Kate Stephenson</t>
  </si>
  <si>
    <t>How Education on Entomophagy Influences Customer Willingness to Purchase Edible Insects in the US</t>
  </si>
  <si>
    <t>As our world population grows, it is imperative to find a sustainable protein alternative to conventional meat production. One option, proposed by the FAO, is adapting entomophagy. While bugs are diet staples in over 80% of countries, they have yet to penetrate Western markets where they carry a stigma of being unsanitary. To dispel this misconception, consumers must learn about the benefits of entomophagy. This study aimed to identify which benefits are most effective in convincing US consumers to purchase edible insects. It also assessed if certain age, race and gender demographics are more or less likely to engage in entomophagy, and if accessibility to bug-based products influences one’s willingness to purchase them. Data was collected from 114 participants through a Google Forms survey. Participants were asked to read a series of statements on the environmental, nutritional, taste, cultural and sanitation benefits of insects, and rank how each affected their willingness to try insects. Sustainability and nutrition were found to significantly increase a participant’s likelihood of purchasing insects. Asian individuals, and individuals aged 35-44 were found to be the most likely to engage in entomophagy while Black or mixed race individuals, and individuals over the age of 75 were found to be the least likely. However, the greatest difference in willingness to consume insects was found between individual demographics including race and gender versus race and gender alone. This reflects that all demographic characteristics of an individual should be taken into account when assessing which educational initiatives are most effective.</t>
  </si>
  <si>
    <t>neophobia, entomophagous, consumer willingness to buy, demographic, accessibility</t>
  </si>
  <si>
    <t>StephensonA_2021-page1.pdf</t>
  </si>
  <si>
    <t>Hayden J. Street</t>
  </si>
  <si>
    <t>Determining Optimal Canopy Cover and Terrain Features for Snow Accumulation and Retention in the Owens River Headwaters Wilderness, CA</t>
  </si>
  <si>
    <t>Snowmelt from the Sierra Nevada mountain range comprises at least 30% of California’s water supply. Climate change is the main threat to the state’s water resources as rising temperatures and drought will reduce the springtime snowpack volume by more than 25% by 2050 and cause melting to occur faster and earlier in the year. Silviculture, or the practice of modifying forest structure, is one method which can help mitigate the effects of climate change on water resources. Using remotely sensed data, I aimed to inform forest management by conducting one-way ANOVA tests to determine what percent canopy cover resulted in the greatest peak snow water equivalent (SWE) and longest melt duration. I performed Pearson correlation tests and linear regression analysis to determine the effect of elevation, aspect, and slope on snowpack processes. Low canopy cover (0-25%), had the greatest peak SWE on average, but the shortest melt duration. High canopy cover (50-75%), had slightly less snow accumulation, but significantly longer melt times. The terrain analysis showed a statistically significant positive relationship for elevation and aspect between peak SWE and melt duration, but a comparatively weak effect from slope. The results indicate that the optimal forest structure, with regard to maximizing water resources, is high density forest (50-75% canopy coverage) to prolong melting with pockets of open areas to accumulate snow without interference from canopy interception. Silvicultural practices can be optimized by concentrating on north facing slopes at elevations between 2300 and 2500 meters.</t>
  </si>
  <si>
    <t>Climate change, silviculture, snow hydrology, Eastern Sierra Nevada, water resource management</t>
  </si>
  <si>
    <t>StreetH_2021-page1.pdf</t>
  </si>
  <si>
    <t>Savannah M. Sturla</t>
  </si>
  <si>
    <t>Effects of Air Quality Disparities on Youth Asthma in the San Francisco Bay Area</t>
  </si>
  <si>
    <t>BEACO2N air quality sensors in the San Francisco Bay Area blanket locations with a high-density network, capturing neighborhood-levels of carbon dioxide (CO2) and aerosol concentrations. In this study, I interpolated and spatially analyzed aggregated seasonal averages from 2016 to 2019 in ArcMap, and then examined these interpolated air pollutant concentrations in the context of community health metrics: asthma emergency room (ER) visits among children, race and ethnicity, and income. Concentrations of CO2 and aerosols and income had strong associations, while relationships with race/ethnicity percentiles varied seasonally in their trends and statistical significance. Aggregated seasonal CO2 concentrations and emergency room visits due to asthma had an inconsistent, yet statistically significant relationship. Associations between asthma ER visits and race/ethnicity, and asthma ER visits and income were the strongest, most consistent, and statistically significant (p &lt; 0.05). My analysis indicates that low-income and marginalized communities often bear a higher poor air quality burden, related to higher rates of asthma ER visits, especially for children. In semi-structured interviews with asthmatic youth, youth participatory action research (YPAR) and general research involvement benefitted participants in their understanding of and coping with their asthma. Generally, participants involved in YPAR expressed a greater interest and awareness of environmental justice themes. Community organization and involvement are a vital lens through which to further understand the disproportionate impacts of air pollution and to provide experiential information for health regulations. This study provides a foundation for future discussion, partnership and community organizing with community members impacted by youth asthma.</t>
  </si>
  <si>
    <t>environmental justice, particulate matter, public health, health disparities, mixed methods</t>
  </si>
  <si>
    <t>SturlaS_2021-page1.pdf</t>
  </si>
  <si>
    <t>Jennifer Symonds</t>
  </si>
  <si>
    <t>Remote Sensing of Winter Time Cover Crops in California’s Central Coast Region</t>
  </si>
  <si>
    <t>Winter cover crops are a vital part of sustainable crop systems due to their ability to improve soil quality, increase soil carbon sequestration, and reduce water pollution from agricultural land. Remote sensing offers a cost effective and efficient approach to mapping cover crop adoption on California’s Central Coast. Producing spatial and quantitative information on local cover cropping practices is necessary to inform agricultural policies and practices in the region. This study used a Random Forest and CART classifier with Sentinel-2 satellite imagery on Google Earth Engine to remotely sense cover crops in the Central Coast of California. To classify winter crop cover in the region and identify cover crops, normalized difference vegetation index (NDVI) was used. Random Forest was found to be the most accurate at detecting cover crops with an accuracy of 86.7% compared to CART at 74.7%. A total of 72.56 km² of land was found to be cover cropped over the winter season, representing 4.78% of Central Coast farmland. Cover crops were classified with a producer’s accuracy of 61.5% and a consumer’s accuracy of 80.0% indicating a potential underestimation of cover cropped land. The results of this study provide important baseline data and monitoring methods for scientists and policy makers implementing environmental programs in the region. Results indicate a need for policies that reduce farmers’ risks and incentivize cover cropping.</t>
  </si>
  <si>
    <t>Google Earth Engine, Random Forest, Agriculture, Agroecology, Sentinel-2</t>
  </si>
  <si>
    <t>SymondsJ_2021-page1.pdf</t>
  </si>
  <si>
    <t>Yuna Tae</t>
  </si>
  <si>
    <t>Connection Between Chinese Refineries and DRC Cobalt Mines, 2015-2020</t>
  </si>
  <si>
    <t>With increasing demand in electric cars and consumer electronics devices, the lithium batteries market has rapidly grown. This correspondingly increased cobalt demands, however cobalt production is not able to match up the demand rate due to limited resource availability. Democratic Republic of Congo produces the world's most amount of cobalt, however the country’s political instability and unprogressive financial and social infrastructures make resource development projects difficult. As demand for cobalt increases globally, it is essential for everyone in the cobalt industry to take responsibility in improving identified socio-environmental risks. The first step is to identify who has the most immediate directinfluence in DRC mines - through this research, I’ve identified that Chinese refineries dominatedthe cobalt market, with engagement trends shifting from owning mine shares and exercising purchasing powers to direct ownership. There haven't been any notable improvement projects initiated by Chinese refineries to address social conditions in Democratic Republic of Congo.</t>
  </si>
  <si>
    <t>minerals supply chain, responsible minerals sourcing, supply chain traceability, social compliance</t>
  </si>
  <si>
    <t>TaeY_2021-page1.pdf</t>
  </si>
  <si>
    <t>Miracris T. Villanueva</t>
  </si>
  <si>
    <t>Analysis of Mask Wearing Motivations and Compliance in Outdoor Recreational Spaces During the COVID-19 Pandemic at Lake Chabot Regional Park</t>
  </si>
  <si>
    <t>Unlike the entrance to a storefront or a building, mask use in outdoor recreational spaces can not be easily monitored or enforced, depending primarily on the voluntary actions of the individual to comply, especially in areas where outdoor mask guidelines are set in place. This study aims to analyze how safe visitor’s feel in outdoor recreational spaces during the pandemic. Specifically, it investigates the relationship of outdoor mask wearing compliance and the motivations of wearing those masks at Lake Chabot Regional Park in order to measure park visitor’s overall feelings of safety. Proper mask compliance was directly observed at Lake Chabot Regional Park at 6 total fixed spots located on two trails at the park, and suggest that the more people there are present in an area, the higher the compliance percentage was with a significant difference between more trafficked parts of the trail and less trafficked areas. A voluntary response survey of 668 respondents was analyzed for determining motivations for mask wearing and feelings of overall safety in outdoor spaces. The results suggest that those who rated mask wearing and social distancing consideration of others higher were more likely to report feeling more safe in recreational spaces. On this basis, support for widespread face mask use in outdoor spaces should be continued even as COVID-19 conditions change.</t>
  </si>
  <si>
    <t>personal safety, visitation frequency, face covering, social distancing, mandates</t>
  </si>
  <si>
    <t>VillanuevaM_2021-page1.pdf</t>
  </si>
  <si>
    <t>Cole K. Westwood</t>
  </si>
  <si>
    <t>Minidiscus trioculatus growth in response to climate change</t>
  </si>
  <si>
    <t>Nanoplankttonic marine diatoms play a large role in the global carbon cycle, but their photophysiological response to future oceanic conditions is uncertain. This experiment used Minidiscus trioculatus as a model species, and tested how the growth rate of an intermediate-scale culture of the species will be affected by changes to temperature and pH/pCO2 as projected by modeling of high-emission scenarios. I subjected four separate cultures to combinations of either 13.5 +/- 1°C or 23.5 +/- 1°C and either 8.1 +/- 0.1 pH or 7.6 +/- 0.1 pH for a 15-day duration, and then quantified growth through change in spectrophotometric absorbance measurements. Changes to temperature and pH, as well as the interaction between the two, resulted in significantly altered growth rate. 23.5°C / 7.6 pH conditions resulted in a mean change in absorbance 0.54 lower than at 13.5°C / 8.1 pH. A resulting model predicted growth rate for combinations of temperature and pH between and outside of those tested. 18.5°C / 7.85 pH conditions were predicted to produce a ~0.19 change in absorbance, whereas 28.5°C / 7.35 pH were predicted to result in a ~-0.26 change in absorbance. Results are likely explained by temperature and pH-induced inactivation of enzymes critical to the organism’s functioning, and suggest a significant change to the photosynthetic base of many food webs and positive feedback to climate change in coming decades.</t>
  </si>
  <si>
    <t>Nanoplanktonic diatom, climate, carbon cycle, temperature, pH</t>
  </si>
  <si>
    <t>WestwoodC_2021-page1.pdf</t>
  </si>
  <si>
    <t>Katie T. Wimsatt</t>
  </si>
  <si>
    <t>Congress, Climate, and Congress: Green Priorities in the National Defense Authorization Act, Fiscal Years 2000-2021</t>
  </si>
  <si>
    <t>The US military is an underappreciated environmental actor—its importance will increase as climate change intensifies. Congress can use the National Defense Authorization Act (NDAA) to require the Department of Defense to implement green policies, but there is little research on how Congressional priorities have changed over time and between party minorities. This thesis identifies and analyzes changes in the number and content of green sections in NDAAs between fiscal years (FY) 2000 and 2021 by counting and noting the focus of each climate, energy, and environmental section in this period. NDAA analysis was paired with a case study to determine if Democrats and Republicans speak differently about military climate action. My research found no linear trends in the number of green sections in the NDAA nor large changes in the number of sections following changes in Congressional majorities; all three areas received bipartisan support. Across the NDAAs studied, environmental sections focused on ecosystem remediation and management. Differently, the focus of energy and climate sections shifted. Energy sections focused on energy security from FY2007 to FY2013 and energy resilience from FY2018 to FY2021. Renewable energy was also emphasized after FY2007, however, Congress at times sought to limit military renewable energy integration. Climate sections were rare until FY2017, but emphasized adaption measures in FY2020 and FY2021. The case study found Democrats and some Republicans shared concern on the security implications of climate change. These results reflect positively on the potential for bipartisan, ambitious climate and green energy policies.</t>
  </si>
  <si>
    <t>Department of Defense, climate change, energy resilience, renewable energy</t>
  </si>
  <si>
    <t>WimsattK_2021-page1.pdf</t>
  </si>
  <si>
    <t>Rebecca Y. Wu</t>
  </si>
  <si>
    <t>Impacts of United States Withdrawal from the Paris Climate Agreement</t>
  </si>
  <si>
    <t>In June 2017, United States President Donald Trump announced the country’s withdrawal from the Paris Climate Agreement. This statement understandably caused a great deal of concern in the environmental community. Although the withdrawal would not take effect until 2020, the Agreement’s entirely voluntary nature meant that the US would effectively be a non-participant from 2017.This study examines the impacts of US withdrawal in three realms: (1) climate finance, (2) greenhouse gas (GHG) emissions, and (3) international relations. I collected and analyzed official statements and data released by the Green Climate Fund, the EPA, and 36 national governments and intergovernmental organizations to determine whether predictions about the impacts were consistent with reality. My study found that the Green Climate Fund’s initial resource mobilization in 2014 experienced a 19.4% funding shortfall, but the next round of pledges in 2019 made up the difference despite US non-engagement. US net GHG emissions increased by 0.59% in 2017-19, in contrast with a steady decline during the prior decade, though the absolute amount still remained below 1994 levels. A majority of governmental responses lamented U.S. withdrawal and reiterated their support for the Agreement, with no feared domino effect manifesting. Overall, US withdrawal negatively impacted the areas analyzed, but was mitigated by international momentum, domestic non-federal action, economic factors, and the 2020 election. Though the future of the Paris Climate Agreement is still uncertain, the results of this study bode well, demonstrating the increasing momentum behind the Agreement as well as its resilience against challenges.</t>
  </si>
  <si>
    <t>global environmental governance, climate change, treaty withdrawal, United States, environmental policy, greenhouse gas emissions</t>
  </si>
  <si>
    <t>WuR_2021-page1.pdf</t>
  </si>
  <si>
    <t>Emily G. Yen</t>
  </si>
  <si>
    <t>Assessing California’s Climate Targets and Road Transportation Policy Using Near-Real-Time Emission Estimation</t>
  </si>
  <si>
    <t>The California Air Resources Board (CARB) estimates that achieving California’s 2030 emission reduction goal will require 35-40% reductions in transportation sector emissions over the next decade, requiring the rate of emission reduction to increase significantly. New analytical tools and approaches for the econometric assessment of road transportation policies can facilitate consistent evaluation of current impacts to inform future development. By estimating near-real-time, state-level, and sector-specific emissions that are not publicly available yet and applying them to policy assessment, this study offers a new dataset that captures recent and rapidly changing trends in CO2 emissions, potentially moving up the timetable of policy developments by 1-2 years, while exploring implications for future policymaking efforts to achieve mid-century carbon neutrality goals. This study compares U.S. state-level emission reduction targets; applies an econometric model to assess the effectiveness of the Low Carbon Fuel Standard (LCFS), a major state-level road transportation policy, on CO2 emissions from transportation; and constructs a novel dataset comprised of near-real-time daily CO2 emissions for California’s road transportation sector in 2019. California’s carbon neutrality by 2045 target is one of the most ambitious long-term state-level emission reduction targets. Model results using estimated emissions for 2019 suggest that California’s adoption of the LCFS decreased state emissions by approximately 14.3 million metric tons in the post-intervention period. As subnational actors continue to drive climate and energy policy, empirical studies on established targets for highly polluting sectors can clarify concrete near-term priorities and inform long-term decarbonization strategies.</t>
  </si>
  <si>
    <t>carbon neutrality, daily carbon dioxide emission, econometric modeling, cumulative greenhouse gas emission, Low Carbon Fuel Standard</t>
  </si>
  <si>
    <t>YenE_2021-page1.pdf</t>
  </si>
  <si>
    <t>Excessive urban runoff poses a threat to society and the environment. Low impact development
(LID) seeks to mitigate these threats by restoring pre-development hydrological conditions, such
as runoff volume, to a site. LID practices have been implemented on the University of California,
Berkeley (UCB) campus, but their effectiveness has not been evaluated. This study investigates
the performance, cost-effectiveness, and optimal location for LID projects and practices on the
UCB campus. To quantify performance, I compared runoff volume at LID project sites to a
baseline scenario in which LID was not implemented. To determine cost-effectiveness, I tracked
the cost of abating 1 m3 of runoff over a 20-year period based on runoff volume abatement and
project cost. To identify locations for future LID projects, I located areas on the UCB campus with
steeper slopes and greater impervious surface coverage. The most effective LID projects on the
UCB campus were those at Wellman Courtyard Parking (609.5 m3 runoff abated/yr) and Dwinelle
Lot (558.9 m3 runoff abated/yr). The most effective LID practices were permeable pavement
(0.501 m3 runoff abated/m2 of treatment area/yr) and disconnections (0.242 m3 runoff abated/m2
of treatment area/yr). The most cost-effective LID practices were rainwater harvesting and
disconnections. The northeast quadrant of the UCB campus was the steepest and the most in need
of LID implementation. Future construction should aim to incorporate disconnections, permeable
pavement, and rainwater harvesting when possible. One possibility for a future LID project is the
installation of permeable pavement at Foothill Lot.</t>
  </si>
  <si>
    <t>Infrared thermography, Climate change, Marine mammal, Thermal window, Thermoregulatory
behavior</t>
  </si>
  <si>
    <t>Tasnim S. Ahmed</t>
  </si>
  <si>
    <t>Friends with Benefits: Mycorrhizal Resource Exchange between Serendipita bescii and Panicum hallii</t>
  </si>
  <si>
    <t>Climate change has progressively increased severe drought conditions throughout the hemispheres, causing large reductions in crop yields, particularly biofuel crops. Utilizing the benefits of the symbiotic relationship between fungi and plants can possibly enhance drought tolerance of agricultural biofuel crops and increase production. In this paper, I focus on the fungi, Serendipita bescii, which has demonstrated plant-growth promoting characteristics in previous studies. My research seeks to investigate whether Serendipita bescii enriched soils provide plant-growth promoting characteristics for Panicum hallii in drought and typical-watered versus uninoculated typical-watered and drought treatments. This study explores the differences in aboveground and belowground biomass between treatments. I then examine whether Serendipita bescii produce higher rates of colonization in drought-treated conditions versus typical-water treated conditions to evaluate the differences in morphological traits of Panicum hallii. This study also investigates the differences in morphology of Serendipita bescii under drought versus typical-watered treated conditions of Panicum hallii. To assess whether Serendipita bescii provided plant-growth promoting characteristics for Panicum hallii, I analyzed aboveground and belowground Biomass weight. I used PCR and microscopy techniques to confirm the presence of Serendipita bescii in the system and determine the percent colonization rates in the treatments. My results indicate that Serendipita bescii inoculated-watered replicates had the highest aboveground biomass while control-drought replicates had the highest belowground biomass. This finding supports the hypothesis that Serendipita bescii provides plant-growth promoting characteristics for Panicum hallii. This research promotes developing a more comprehensive understanding of mycorrhizal fungi and its role in future biofuel crop production.</t>
  </si>
  <si>
    <t>Biomass, Inoculate, Colonization, Mycorrhizae, Symbiotic Relationships</t>
  </si>
  <si>
    <t>AhmedT_2020-page1.pdf</t>
  </si>
  <si>
    <t>https://www.ocf.berkeley.edu/~pkmendez/envsci/projects/2020final/</t>
  </si>
  <si>
    <t>Lucy Bennett</t>
  </si>
  <si>
    <t>Can Crop Drought Resilience Be Improved with Alternative Soil Management Methods Via Mycorrhizal Fungal Associations?</t>
  </si>
  <si>
    <t>Drought conditions are increasing under global warming, threatening crops and the sustainability of agriculture. Soil management methods have the capacity to improve crop drought resilience by maximizing the ecosystem services of plant-fungal interactions. In the rhizosphere, arbuscular mycorrhizal fungal (AMF) can provide beneficial services by their associations with crop roots improving water uptake and drought resilience. This research investigates the impact of tillage and cropping regimes on the drought resilience of the experimental crop, black bush beans, Phaseolus vulgaris, and its associated AMF community. The bean crops were grown under simulated drought conditions for a 3-month growing period. Plant, bean, root, and fungal samples were collected once the crops were mature. We found that plant biomass and pod production were significantly higher in the cover crop treatments, but the AMF colonization was significantly lower. In contrast, the continuous production treatment had lower plant biomass and pod production but higher AMF colonization. All of the plant and fungal metrics were slightly, but not significantly, higher in the no till treatments. These results suggest that AMF colonization in agroecosystems is not necessarily associated with higher crop yields and that field cropping regimes are significant factors. Further research is needed to better understand the potential costs and benefits of particular AMF taxa with specific crop varieties. The interaction of tillage, cropping regimes, and drought conditions in field experiments have the potential to inform soil management practices for sustainable farming under climate change.</t>
  </si>
  <si>
    <t>Arbuscular mycorrhizal fungi, climate change, cover cropping, continuous production, ecological intensification, plant-fungal interactions, tillage</t>
  </si>
  <si>
    <t>BennettL_2020-page1.pdf</t>
  </si>
  <si>
    <t>Christopher G. Berven</t>
  </si>
  <si>
    <t>The Sustainable Groundwater Management Act’s Impact on Groundwater Withdrawl in the Sacramento Hydrologic Region</t>
  </si>
  <si>
    <t>Groundwater is a critical component of California’s water supply. Until very recently, there were no statewide regulations controlling groundwater extraction, which has led to overdraft, subsidence, and decreased groundwater quality as overlying users treat groundwater as a common pool resource. This historic absence of statewide regulations, as well as current conditions of overdraft and future hydrological disruptions caused by climate change, makes groundwater management one of the most important challenges facing the state of California. The Sustainable Groundwater Management Act became law in 2014, with the purpose of mitigating the negative impacts on California’s groundwater resources by 2042. The study design assesses whether the anticipation of future regulation impacted groundwater extraction patterns in the five years directly following regulatory implementation. The outcome variable is groundwater extraction from regulated and unregulated basins, estimated with groundwater elevation data from monitoring stations in sixteen different groundwater basins in Northern California. I employ a difference-in-differences regression model to analyze the treatment effect of policy intervention, and ensured the validity of the regression model by using an event study to confirm that the control group is an accurate counterfactual to the treatment group. The study demonstrated no evidence that the implementation of groundwater regulation had a measurable differential impact on groundwater withdrawal. The limited immediate observed impacts are the result of difficulties in regulatory compliance as well as legislative oversights, leading to inertia in achieving the goals of SGMA’s novel approach to groundwater management.</t>
  </si>
  <si>
    <t>difference-in-differences regression, hydroeconomic modelling, Central Valley, climate change, California</t>
  </si>
  <si>
    <t>BervenC_2020-page1.pdf</t>
  </si>
  <si>
    <t>Erin W. Cain</t>
  </si>
  <si>
    <t>Pesticide Application and Water Quality in the Central Valley: Calculating Sensitivity of CSCI scores to Pesticide Toxic Units and Visualizing Applied Pesticide and Ecosystem Health Data</t>
  </si>
  <si>
    <t>Pesticides runoff from agricultural fields introduces toxins into freshwater aquatic ecosystems. California’s Central Valley is vulnerable to pesticide pollution from extensive agricultural land use in areas where runoff contaminates the Sacramento-San Joaquin watershed harming ecosystems and limiting California’s freshwater supply. I studied which pesticides were detected at the greatest concentrations and in the greatest toxic units. Diuron, an herbicide, was detected at the highest concentration and highest TU over all my study sites. To understand the biological implications of chemicals entering the watershed I calculated correlations between the California Stream Condition Index and Toxic Units of pesticides groups appearing in the water. Total TU of all pesticides had a weak negative correlation of -0.13 (p=.28) with CSCI scores. Insecticide TU and CSCI scores had the highest correlation with -0.33 (p=.228). Poor ecosystem health, low CSCI scores, is correlated with higher levels of Toxic Units of pesticides. However, more Central Valley datapoints are required to evaluate statistically significant correlations. Additionally, I produced an interactive map to communicate pesticide application and biological health of aquatic ecosystems in the Central Valley. Data communication will help draw more definitive conclusions and sharing these findings with the public is important to increase engagement in this issue and encourage policy change to reduce pesticide use.</t>
  </si>
  <si>
    <t>Toxic Units, Biological Index, EC50, Environmental Pollutants, Interactive Visualization</t>
  </si>
  <si>
    <t>CainE_2020-page1.pdf</t>
  </si>
  <si>
    <t>Alexandra J. Cisneros Carey</t>
  </si>
  <si>
    <t>Mobile Consumers track Invertebrate Subsidies from Floating Algal Mats</t>
  </si>
  <si>
    <t>During summer, floating algal mats in many rivers host large numbers of larval invertebrates that
emerge as flying adults. In late summer, these mats detach and float downstream, subsidizing the
cobble bars they strand on. I investigated whether adult odonates and Lycosid spiders, two groups
of mobile consumers, track these patchy subsidies. In the South Fork Eel River (39˚44’ N, 123˚37’
W; 39˚44’ N, 123˚38’ W), Mendocino County, California, I moved 2.5x1 m2 floating mats of the
filamentous alga, Cladophora glomerata, along the river shoreline to create 7 experimental blocks,
each with 1 algae and 1 no-algae plot. I measured invertebrate emergence from mats and consumer
densities within 1m of the plot edge. Both consumers tracked emergence, which was on average
7% higher from algal plots. Odonates were on average 30% more abundant in plots with algal mats
and lycosids on average 11% more abundant. Their ability to track spatially and temporally patchy
algal mats, allowed these riparian consumers to exploit a trophic subsidy from aquatic production
in the sunlit mainstem river. Mapping the origins, fluxes and fates of organic production that link
freshwater, terrestrial, and marine food webs can reveal vital connections of ecosystems threatened
by change.</t>
  </si>
  <si>
    <t>Resource tracking, cross-habitat subsidies, food webs, aquatic insect emergence, odonates, Lycosids</t>
  </si>
  <si>
    <t>CareyA_2020-page1.pdf</t>
  </si>
  <si>
    <t>Layla G. Chamberlin</t>
  </si>
  <si>
    <t>Case Study: Evaluating Teaching and Environmental Literacy Education in Alameda Unified School District Middle Schools</t>
  </si>
  <si>
    <t>Although there is scientific consensus about the anthropogenic causes of climate change, public and political debate inhibits the necessary immediate, aggressive and unified action that needs to be taken against this global crisis. This continued debate evidences that the public lacks the essential critical thinking skills necessary for informed and responsible decision making and underlines the imperative to invest in environmental literacy education. Environmental literacy education cannot only radically shift our population’s attitude towards global warming, but can also equip the next generations with the skills they will need to solve the problems of the future. This study investigates the implementation of environmental literacy education in the Alameda Unified School District (AUSD) by conducting interviews with middle school teachers in the district and using classroom surveys to assess the students’ level of environmental literacy. The AUSD is one of 19 districts in California to implement an environmental literacy curriculum in K - 12 schools. This study will explore the challenges associated with teaching environmental literacy education in an interdisciplinary context as well as understanding what qualities, attributes and behaviors are critical for environmentally literacy.</t>
  </si>
  <si>
    <t>environmental knowledge, environmental attitude, informed behavior, environmental psychology, ideology, climate change denialism, skepticism, public education, media</t>
  </si>
  <si>
    <t>ChamberlinL_2020-page1.pdf</t>
  </si>
  <si>
    <t>Jenny Y. Chiu</t>
  </si>
  <si>
    <t>A Tale of To Go: A Comparative Life Cycle Assessment of Compostable Single Use Foodware</t>
  </si>
  <si>
    <t>With increasing pressure to find alternatives to petrochemical single use foodware, compostable foodware has risen to the forefront. In order to compare the environmental impacts of polylactic acid (PLA) and sugarcane fiber-based bagasse compostable takeout containers, I created a comparative cradle-to-grave life cycle assessment of bagasse and PLA that evaluated greenhouse gas emissions and energy consumption per kilogram of clamshell takeout containers. I approximated a calculation of the greenhouse gas emissions associated with the transportation processes and established four potential end-of-life scenarios. I concluded that PLA clamshell takeout containers resulted in marginally lower greenhouse gas emissions than bagasse (8.121 – 9.30 kg CO2 equivalents per kg bagasse and 6.383 – 9.109 kg CO2 equivalents per kg PLA). PLA clamshell takeout containers were 75 times more energetically costly to manufacture and process than bagasse (826.95 MJ per kg PLA and 10.97 MJ per kg bagasse). I also prepared a brief literature review of the environmental toxicants, namely per- and poly-flouroalkyl substances (PFAS), associated with the two types of compostable foodware materials.</t>
  </si>
  <si>
    <t>polylactic acid (PLA), sugarcane fiber (bagasse), cradle-to-grave, greenhouse gas emissions, energy consumption</t>
  </si>
  <si>
    <t>ChiuJ_2020-page1.pdf</t>
  </si>
  <si>
    <t>Augustus M. Clements</t>
  </si>
  <si>
    <t>Comparison of Spatial Characteristics of Cannabis Agriculture and Viticulture and Associated Effects on Freshwater Resources in Mendocino County, California</t>
  </si>
  <si>
    <t>Cannabis agricultural has been described as an ‐agricultural frontier‐ in California induced by legalization and high potential profits, conditions that drive opportunistic land use and environmental degradation. In particular, concerns have been raised about the potential impacts of cannabis agriculture on freshwater resources. Many of the regions in Northern California experiencing this frontier increase are also wine-producing areas that have already raised concerns about vineyard impacts on freshwater resources since the vineyard boom of the 1990s. To compare the spatial characteristics of both kinds of agriculture in a sample of watersheds in Mendocino, CA in 2018, I used manually mapped cannabis cultivation sites collected by Van Bustic, and vineyard data from the USDA’s Cropscape Data Layer (CDL). I then calculated descriptive spatial characteristics for all cultivation sites in ArcGIS and created data visualizations using R. I found that individual vineyards tend to be much larger than cannabis cultivation sites (3.04 acres and 0.098 acres respectively). There is also a larger total land area of vineyards (3190 acres) in the sample compared to cannabis (889 acres). Vineyards tend to be concentrated on low-lying land with shallow slopes, while cannabis farms are spread out across a range of locations with varying elevations and slopes. Vineyards tend to be located closer to streams and closer to critical habitat for both Coho and Chinook salmon. Using the cultivation area of each farm near streams as a proxy for the amount of bare soil on each farm, I determined that vineyards currently present more cause for concern than cannabis cultivation sites. However, erosion and runoff control methods should continue to be implemented for both kinds of agriculture to protect freshwater resources in Mendocino County.</t>
  </si>
  <si>
    <t>Land Use, Vineyards, Erosion, Geospatial, GIS, freshwater</t>
  </si>
  <si>
    <t>ClementsA_2020-page1.pdf</t>
  </si>
  <si>
    <t>Cambrie S. Congdon</t>
  </si>
  <si>
    <t>Effects of environmental variables on northern elephant seal thermoregulation on the Southeast Farallon Island</t>
  </si>
  <si>
    <t>Climate change and subsequent global warming have conspicuous, widespread effects on ecosystems. These increasing terrestrial climate stressors restrict the ability of semi-aquatic species to respond to changes when transitioning from water to land. Northern elephant seals are adapted to living underwater, but must haul out on shore to breed and molt. Seals have different thermoregulatory adaptations to allow them to cope with changing environments and maintain their body temperature, primarily to conserve heat. However, thermoregulatory costs increase when elephant seals haul out on land. Greater thermal stress caused by global warming may cause behavioral trade-offs. For example, seals may spend more time and energy behaviorally thermoregulating than on other important behaviors such as mating. My research addresses how environmental variables affect seal thermoregulation at two different habitats on the Southeast Farallon Island. I collected weather data via a localized weather station, and seal skin surface temperature data via infrared thermography. I found solar radiation to be significant in impacting average and maximum skin surface temperatures and thermal gradients, while relative humidity and ambient temperatures had significant influence on thermal window areas. There was no significant difference in location for any seal thermoregulatory variable. Although there are many laws protecting against direct impacts on marine mammals, indirect impacts such as habitat degradation and loss should be taken into consideration for management and conservation strategies. Studies such as this are able to predict future impacts of climate change on wildlife, and give insight on how to mitigate these effects.</t>
  </si>
  <si>
    <t>Marine Mammal, Skin Surface Temperature, Climate Change, Habitat Degradation, Conservation Physiology</t>
  </si>
  <si>
    <t>CongdonC_2020-page1.pdf</t>
  </si>
  <si>
    <t>Ansel J. Deng</t>
  </si>
  <si>
    <t>Is Awareness Converted into Practice? Local Berkeley Restaurants' Perception on Plastic Pollution</t>
  </si>
  <si>
    <t>Plastic pollution is a global issue that has exponentially grown in concern and magnitude over the years. It can be said that most people generally understand the detrimental effects of using plastic, but it remains an indispensable part of our lives. Research to-date focuses on measures taken to reduce plastic and consumer perceptions relating to plastics, while not enough attention is paid to firm-side opinions. To bridge this knowledge gap, I distributed a three-page survey containing Likert-scale and numerical fill-in-the-blank questions to restaurants adjacent to the UC Berkeley campus. The questionnaire collected data on awareness relating to plastic pollution, plastic usage, and thoughts on how much a consumer should be charged extra per plastic item. Then, I conducted correlation tests and constructed scatterplots displaying the association between the variables of interest. My results showed that though statistically insignificant, plastic pollution awareness and plastic foodware usage are negatively correlated. In other words, higher consciousness translates to lower usage of plastic in three metrics that I evaluated: utensils, to-go containers, and bags. Additionally, there was much variation when it came to how much restaurants thought consumers should be charged extra for plastic foodware. All in all, the results do not point to a robust conclusion regarding the variables I tested for, but there is still much to be learned from my study. First, it is the first of its kind to study firm-side perceptions, and my study may even inspire similar research to be done, thus filling the existing knowledge gap.</t>
  </si>
  <si>
    <t>firm-side attitudes, social cost of marine plastic, Single Use Disposable Foodware and Litter Reduction Ordinance (SUDFLRO), single-use plastic foodware, correlation tests and statistics</t>
  </si>
  <si>
    <t>DengA_2020-page1.pdf</t>
  </si>
  <si>
    <t>Gabriella M. Doerschlag</t>
  </si>
  <si>
    <t>Reduced Flow and Macroinvertebrate Emergence: How Climate Change in the Eastern Sierra Nevada Threatens Emergence Patterns of Aquatic Insects</t>
  </si>
  <si>
    <t>At high elevations, climate change will cause extended low flows in mountain streams. In the Sierra Nevada, low flow is predicted to occur two months earlier by 2080 as a result of climate change impacts. Aquatic insects may be especially vulnerable to low flow, which may decrease cross-ecosystem resource subsidies to terrestrial food webs. This thesis aims to understand how extended low flow will affect aquatic insect emergence. The experiment, conducted at the Sierra Nevada Aquatic Research Laboratory (SNARL) in Mono County, California, divided nine experimental stream channels into three treatment groups that simulated different climate change scenarios—unmitigated, mitigated, and current. I examined how early onset summer low flows influence the timing and duration of emergence in aquatic macroinvertebrates. Specifically, I determined how early low flows alter: 1) the abundance of emergent insects; 2) the size of emergent insects, and; 3) the community composition of emergent insects. Seasonality drove most of the variation in size and abundance, however, Chironominae’s peak emergence significantly advanced in an unmitigated climate change scenario (p=2.67 x10-3). Flow timing also explained variation in community composition (p=0.001). The impact of low flows on emergence patterns is important to consider as changes in the phenology, biomass, and composition of aquatic insect emergence could benefit some terrestrial consumers at the expense of others.</t>
  </si>
  <si>
    <t>Climate change, benthic invertebrates, freshwater stream ecology, life history, aquatic-terrestrial interactions</t>
  </si>
  <si>
    <t>DoerschlagG_2020-page1.pdf</t>
  </si>
  <si>
    <t>Sunny Elliott</t>
  </si>
  <si>
    <t>Evaluating the Effects of Drought, Wildfire, and Habitat on Beetle Assemblages in a Mediterranean Oak Woodland</t>
  </si>
  <si>
    <t>In California, droughts are becoming more frequent and severe as a result of climate change. Additionally, wildfires in California are becoming larger and more intense due to forest management practices and changes in seasonal patterns. Wildfire and drought have the potential to negatively affect California ecosystems because they have the potential to drastically alter the physical and chemical characteristics of a habitat. Soil-dwelling insects such as beetles provide essential ecosystem services and can be used as bioindicators for ecosystem recovery. In 2013, a high intensity fire burned 3,700 acres on Mount Diablo in the San Francisco East Bay, California. To assess the response of invertebrate abundance and diversity, I used arthropod abundance data collected monthly at 6 sites; 3 in a burned area, and 3 in an unburned area. To measure habitat change, I calculated the Normalized Difference Vegetation Index (NDVI) of the area using aerial imagery. Fire and drought had a consistent significant impact on diversity and abundance of both families (p &lt; 0.05). Vegetation change and habitat type had a significant impact on the abundance and diversity of Tenebrionidae (p &lt; 0.05), but not Carabidae. These results show that the sampled species of beetles are adapted to fire but aren’t well adapted to drought. Additionally, vegetation growth and habitat type show to be important to decomposers. These results have implications for forest management and climate action, as these decisions impact the severity of wildfires and droughts.</t>
  </si>
  <si>
    <t>California, vegetation, NDVI, Carabidae, Tenebrionidae</t>
  </si>
  <si>
    <t>ElliottS_2020-page1.pdf</t>
  </si>
  <si>
    <t>Charlotte A. Favre</t>
  </si>
  <si>
    <t>Species Composition and Location Relative to Highways of Roadkill in Idaho</t>
  </si>
  <si>
    <t>Roads are a ubiquitous feature of the landscape and a significant obstacle for wildlife, most directly through the mortality caused by wildlife-vehicle collisions. This study examines the species composition of two datasets—roadkill reported to the Idaho Dept. Fish and Game and wildlife observations recorded in iNaturalist—to compare the taxa of living wildlife with reported roadkill. Unsurprisingly, roadkill observations are markedly biased to mammals, with 89.3% of roadkill being large or medium sized mammals, while only 6.5% of iNaturalist observations are of these same species, indicating significant underreporting of wildlife-vehicle collisions involving all other wildlife taxa. By far the most common species to be reported as roadkill are white-tailed deer (Odocoileus virginianus) and mule deer (Odocoileus hemionus). Since 2005, there has been a significant 2.6% a year increase in the proportion of white-tailed deer to mule deer roadkill, adding to the body of evidence that mule deer are in decline in Idaho. The majority of roadkill, 83.5%, occurred within 200 meters of state and interstate highways. Sections of road identified as wildlife linkage zones account for 41.7% of the length of highways but contain 53.9% of highway roadkill, suggesting wildlife are disproportionately killed in these zones. These findings support the installation of wildlife crossing structures in these linkage zones to prevent wildlife-vehicle collisions, re-connect fragmented landscapes, and allow wildlife to exist alongside human society.</t>
  </si>
  <si>
    <t>citizen science, road ecology, landscape connectivity, wildlife movement</t>
  </si>
  <si>
    <t>FavreC_2020-page1.pdf</t>
  </si>
  <si>
    <t>Vanessa Garcia</t>
  </si>
  <si>
    <t>Analyzing Economic Feasibility of Greywater Systems: A San Francisco Case Study</t>
  </si>
  <si>
    <t>With the issue of water scarcity, the threat of climate change, people need methods of controlling their water consumption. Greywater systems like membrane bioreactors (MBR) and constructed wetlands (CW) offer a solution; but will only adopt these systems if they are economically feasible. To measure for economic feasibility, this paper uses a cost-benefit analysis that uses total costs associated with capital, operation, and maintenance costs alongside benefits from water savings to evaluate both systems for payback period, cost-benefit ratio, and net present value on a 20-year lifetime of the system. Both the single-family residence MBR and CW systems were found to be not economically feasible due to negative NPVs and payback periods larger than system lifetime. Feasibility was also analyzed for economies of scale by evaluating both systems fit for a single-family, multi-family, and commercial residence. The results found that among the six systems, the multi-family CW and MBR systems were the most feasible with payback periods of 4 years and NPVs of $120,563, and $161,362. Feasibility was also evaluated for the single residence MBR under 3 scenarios of increasing water rates. The study found that Scenario 3 with a 7.5% increase in water rates provided the most benefit and lowered the payback period of the system by 9 years when compared to the Scenario 1- BAU water rate projection. These results suggest that currently, the most economically feasible systems are multi-family MBR and CW systems, but more systems could become feasible as water rates rise in the future.</t>
  </si>
  <si>
    <t>Membrane Bioreactor, Constructed Wetlands, Cost-Benefit Analysis, Payback Period, Net Present Value</t>
  </si>
  <si>
    <t>GarciaV_2020-page1.pdf</t>
  </si>
  <si>
    <t>Bella Goñi</t>
  </si>
  <si>
    <t>Let Them Eat Grass: The Policy Structure of the Cattle Industry &amp; Potential Solutions to Incentivize Regenerative Grazing Practices</t>
  </si>
  <si>
    <t>The cattle production industry in the U.S. has become increasingly concentrated, massive, and industrialized over the past 50 years. Conventional free-grazing followed by feedlot-finishing systems lead to severe environmental and public health consequences. Alternative systems based on regenerative grazing and adaptive land management have high animal health and welfare standards while revitalizing ecosystems. Controlled grazing leads to increased soil carbon sequestration, water infiltration, and microbial diversity. Policy in combination with economics has caused a high rate of rancher bankruptcy, as conservation programs support conventional production. Regenerative cattle ranchers in Northern California were interviewed about their experiences with conservation programs, and recommendations for overcoming barriers to an agroecological transition and changing the incentive structure of federal-level policy to benefit sustainable operations. Interview and policy review results were combined to make differing levels of policy recommendations. The first phase was designed to have the most waterfall effects and be feasible in the current context. For EQIP, funding for CAFOs should be phased out, funding caps for projects lowered, AGI and funding cap waiver criteria made transparent and subsequently stricter each year, and prioritization guidelines made to focus on innovative, cost-effective projects. Funding for research on regenerative systems and carbon removal potential should be raised, with an increased percentage taken from industrial agriculture research annually. Lastly, illegal use of Beef Checkoff funds for CAFO lobbying should be prohibited, and state boards should be split into two interest groups – for conventional and alternative producers, to guarantee equitable representation in marketing, education and research.</t>
  </si>
  <si>
    <t>adaptive land management, rancher interviews, conservation programs, beef production, agroecological scalability</t>
  </si>
  <si>
    <t>GoniB_2020-page1.pdf</t>
  </si>
  <si>
    <t>Kevin J. Gonzalez</t>
  </si>
  <si>
    <t>Effects of Non-Native Eucalyptus globulus on Biological Soil Crusts in Berkeley's Tilden Park</t>
  </si>
  <si>
    <t>Biological soil crusts are a community of species which are vital to arid and semi-arid ecosystems because they regulate water and nutrient cycling and maintain soil cohesion. Despite this, biocrusts are often understudied with little to no research being done on the impacts of soil acidification on their well-being. Eucalyptus globulus is one plant with allelochemicals that causes soil acidification and harms biocrusts. The invasive impacts of eucalyptus can be seen in the mixed forests of the San Francisco Bay Area. To obtain a better understanding of how these volatile chemicals impact biocrust growth and diversity, I analyzed biocrust samples from Tilden Park in Berkeley, California along a eucalyptus exposure gradient. I then exposed these samples to varying concentrations of allelochemical "teas" made by straining E. globulus leaves and pouring this liquid onto the samples to simulate leaching from rainfall. The tea concentrations spanned a pH range of approximately 7 to 1. The effect on cyanobacteria was not able to be measured. After exposure to tea treatments, overall surface biocrust biodiversity dropped from an average of 0.024 genera per individual to a mean of 0.014. Plant and fungal growth also decreased. Average moss length dropped by 30% while average lichen height dropped by 50%. Soil cohesion dropped by an average of 16%. Overall, lichen and fungi were the most impacted while mosses were impacted to a lesser degree which is to be expected given that mosses tend to be more resilient in acidic soils than other plants.</t>
  </si>
  <si>
    <t>soil acidification, invasive species, soil leaching, soil litter, allelochemicals</t>
  </si>
  <si>
    <t>GonzalezK_2020-page1.pdf</t>
  </si>
  <si>
    <t>Ursula Harwood</t>
  </si>
  <si>
    <t>Assessing Strategies for Decreasing Severe Fire Hazard in Young Plantation Forests in the Sierra Nevada</t>
  </si>
  <si>
    <t>Since the 1980s, forest fire activity has increased in the western United States, resulting in longer fire seasons, increased number of large fires, more acreage burning at high severity, and larger patch sizes of high severity fire. In an increasing number of scenarios, conifer seedlings fail to reestablish in large, high severity patches due to weather, decreased seed source, and competition from shrubs. Concern over type conversion will likely result in an increase in plantation forestry in the wake of these fires in the coming decades. Plantations possess homogeneous characteristics; even-aged stands planted in grid-like patterns with low species variability create scenarios in which fire can travel with exceptional efficiency throughout a stand. I assessed how four management treatments change stand structure, fuel loading, and predicted tree mortality via a modeling analysis using the Forest Vegetation Simulator (FVS) in young plantations in the Sierra Nevada. I found significant differences across most structural variables as well as fine fuel classes. In all modeled scenarios, treatments reduced predicted mortality relative to a modeled "untreated" control. Predicted mortality was similar across treatments in severe weather but was variable in moderate weather. The greatest reduction from severe to moderate weather was seen in mastication-only stands. My results demonstrate the need for young plantation forests to undergo management treatments to increase heterogeneity and therefore resiliency to fire and other disturbance events, and a framework for interpreting management impacts in FVS.</t>
  </si>
  <si>
    <t>mastication, herbicide, prescribed fire, forest modeling, FFE-FVS, mortality</t>
  </si>
  <si>
    <t>HarwoodU_2020-page1.pdf</t>
  </si>
  <si>
    <t>Emily Hou</t>
  </si>
  <si>
    <t>Parasitic Hymenopteran Food and Habitat Preferences in Urban Agriculture</t>
  </si>
  <si>
    <t>Since the first introduction of parasitoids to control pests in the 1920s, various species of parasitoids have been used as biological control agents in agricultural pest management. This research investigates the theory that parasitic Hymenoptera have food and habitat preferences, and by supporting them with floral resources, biological control can be strengthened. From collection data based in San Francisco Bay Area, three major groups of parasitoids were present on the urban farms including, Chalcidoidea, Cynipoidea, and Braconidae. Based on the parasitoids’ visiting frequencies of various plants, it is apparent that these parasitoids have food and habitat preferences, and different subfamilies and families of wasps visit different types of flowers. Chalcidoidea were present in large numbers on many flowering plants because of their wide variety of feeding behavior. Cynipoidea: Alloxystinae are hyperparasitoids and were found on certain flowers with nectar. Braconidae: Aphidiinae are parasitoids and Aphidiinae were found on some flowers with nectar as well. By recognizing the different wasp subfamilies’ varying presence on different flowering plants, biological control can be reinforced when taking into account of parasitoid’s floral habitat preferences, and types of flowers to plant to best support sustainable agriculture.</t>
  </si>
  <si>
    <t>parasitoids, biological control, chalcidoidea, cynipoidea, braconidae</t>
  </si>
  <si>
    <t>HouE_2020-page1.pdf</t>
  </si>
  <si>
    <t>Melissa R. Jaffe</t>
  </si>
  <si>
    <t>Remotely Sensed Prescribed Fire Shrub Consumption in Mixed Conifer Forests from the Southern Sierra Nevada</t>
  </si>
  <si>
    <t>Live shrubs in forest understories pose a challenge for forest managers seeking to reduce fuel loads to mitigate wildfire risk with prescribed fire. Shrub consumption in prescribed burns is often highly variable and difficult to quantify, let alone explain the factors driving it. This study investigated spatial patterns and drivers of Sierra Nevada mixed conifer forest shrub consumption in prescribed burns through analysis of high-resolution imagery taken before and after prescribed fire. I applied a spatially explicit, generalized additive model to assess the importance of forest overstory and coarse woody debris as potential drivers of shrub consumption in prescribed burns. Shrub cover before burning was 37.5% in thin from below and 58.5% in the shelterwood treatments; post fire shrub cover was 35.9% and 32.6%, respectively. The patch density decreased for both treatments; shelterwood was not able to break up the larger patches of shrubs. The area weighted mean patch size increased for the thin from below and decreased for the shelterwood treatment. I found that coarse woody debris was a better driver of prescribed fire than proximity to overstory on the shrub canopies.</t>
  </si>
  <si>
    <t>Generalized additive model, High resolution imagery, Teakettle Experimental Forest, Mixed conifer</t>
  </si>
  <si>
    <t>JaffeM_2020-page1.pdf</t>
  </si>
  <si>
    <t>Lena Kondrashova</t>
  </si>
  <si>
    <t>Decolonization through Environmental Restoration and Stewardship in Native American Communities</t>
  </si>
  <si>
    <t>California’s Native Americans represent an extraordinarily diverse group of cultures that are under continual threat of extinction due to colonial influences. The central component of tribal life that enables cultural continuity is the Native Peoples’ relationship with the natural world. The legacy of environmental degradation and land dispossession disrupted this vital connection. As indigenous Californians navigate decolonization through environmental restoration and stewardship, assessing various factors’ relative impact on tribal initiatives presents a number of practical challenges. By focusing on a subset of California’s native communities and employing a phenomenological qualitative approach, I seek to identify impeding and facilitating influences on tribal ecocultural revitalization. Key informant interviews and literature analysis provide an insight into the range of current environmental problems on tribal lands, solutions the tribes seek out and key impacts on the projects’ outcome. My findings suggest that indigenous Californians included in the study are most concerned with environmental health, cultural species loss and climate change impacts. The eco-restorative programs the tribes pursue focus on subsistence traditions’ revitalization, climate change adaptation, conservation and green economic development. I conclude that community involvement, funding, social climate, policy landscape and partnerships are key influences on the ecocultural projects surveyed.</t>
  </si>
  <si>
    <t>ecocultural revitalization, Native American conservation, environmental policy, subsistence, indigenous climate adaptation</t>
  </si>
  <si>
    <t>KondrashovaL_2020-page1.pdf</t>
  </si>
  <si>
    <t>Claire A. Krumm</t>
  </si>
  <si>
    <t>California’s Human Right to Water: A Comparative Analysis of Domestic Well Water Quality Modeling</t>
  </si>
  <si>
    <t>Several bills have been passed in California to fund community-level water quality improvement projects aimed at achieving the Human Right to Water. In an effort to produce a continuous model of water quality throughout the state, several research groups have utilized different modeling methods in terms of data sources used, time period from which water quality data was included, and geography over which individual water well measurements were aggregated. In this study, I used water quality data from GeoTracker GAMA to model concentrations of arsenic (As), chromium-6 (CR-6), 1,2,3-Trichloropropane (1,2,3-TCP), and nitrate as nitrogen (N). I controlled the parameters of time by comparing models using the past ten years of data to models using the past twenty years of data and geography by comparing models aggregating over sections and townships. Modeling choices impacted estimates of at-risk populations on the order of thousands to tens of thousands of people, although time affected these estimates to a lesser extent than geography. The two-pronged approach taken for 1,2,3-TCP demonstrated that the quality of existing data and the data cleaning choices made in the modeling process also largely impact final model estimates. Future water quality modeling efforts should incorporate a sensitivity analysis evaluating how different choices affect model outcomes and highlights the need for more complete and regular water quality testing throughout the state.</t>
  </si>
  <si>
    <t>GeoTracker GAMA, Maximum Contaminant Level (MCL), likely Domestic Well Area (DWA), time-weighted average, at-risk population</t>
  </si>
  <si>
    <t>KrummC_2020-page1.pdf</t>
  </si>
  <si>
    <t>Johanna B. Laraway</t>
  </si>
  <si>
    <t>Get ahead of the Lead: How Statistical Modeling Can Assist in Identifying Areas of Lead Exposure Risk</t>
  </si>
  <si>
    <t>Lead exposure is a threat to all manner of vulnerable population groups across the globe, as it continues to act as both a public health hazard and an environmental justice concern. In low and middle-income countries, poor water lead level (WLL) monitoring infrastructure yields social circumstances wherein at-risk groups and areas of elevated lead content are largely undefined, thereby augmenting the likelihood of chronic lead ingestion and poisoning. In order to mitigate such consequences, more information is necessary regarding the spatial variation in magnitude of lead leaching. This paper presents a statistical approach to model and predict water lead levels (WLL) in any given area using chemical water quality characteristics as well as socioeconomic information. To assess the validity of this proposed methodology, I first selected 1,831 WLL samples taken from public schools within 21 California public water supply systems. I then gathered the necessary indicator variable data for each of these water systems, which included poverty rate and several chemical attributes, and performed multiple regression analysis. This ultimately revealed a statistically insignificant relationship, where only 8% of WLL variance could be explained by the predictor variables. Therefore, at present, this modeling strategy does not represent a viable means of predicting WLL where lead monitoring programs are insufficient. Even so, these results provide important insights into how the model creation process might be altered in the future to generate more accurate predictions and assist in much needed lead exposure hotspot identification.</t>
  </si>
  <si>
    <t>Water lead levels (WLL), disproportionate exposure, model scalability, Multivariable Linear Regression</t>
  </si>
  <si>
    <t>LarawayJ_2020-page1.pdf</t>
  </si>
  <si>
    <t>Samuel J. Larkin</t>
  </si>
  <si>
    <t>Bioenergetics of Juvenile Salmonid Foraging: a Mediterranean Stream Case Study</t>
  </si>
  <si>
    <t>Bioenergetics, in a broader ecological context, is the study of energy relationships and energy transformations in organisms. I adapted a pre-existing bioenergetics model for juvenile coho salmon and juvenile steelhead trout, to account for an alternative form of foraging (search foraging, a previously understudied strategy for obtaining calories in fish) in a Northern-California Mediterranean climate stream. I calculated how the energetic profitabilities of different foraging modes (both drift foraging and search foraging) changed throughout the summer as flow decreased, water temperature increased, and dissolved oxygen decreased. I found that it was more energetically beneficial for the juvenile salmonid fish to search forage in the summer months, and I observed a significant increase in the percentage of search foraging behavioral events as the summer went on. The fish are hypothesized to be able to evaluate the relative energetic profitabilities of each foraging mode and are also able to change their behavior accordingly. These results have the potential to inform conservation and management of Mediterranean streams, as well as improving the accuracy of existing bioenergetics models.</t>
  </si>
  <si>
    <t>aquatic ecology, fish conservation, streamflow, foraging behavior, ecological modeling</t>
  </si>
  <si>
    <t>LarkinS_2020-page1.pdf</t>
  </si>
  <si>
    <t>Rebecca Lim</t>
  </si>
  <si>
    <t>Social Media CSR Communications: Comparative Content Analysis via Topic Modellingacross Four Industries</t>
  </si>
  <si>
    <t>This paper uses topic modelling to observe the content type distribution across companies’ CSR communications on the platform Twitter, focusing on four main industries : Entertainment, Beauty, Retail, and tech. Industry groupings as well as account type groupings are used to model topics that span across three main dimensions of CSR within the triple bottom line model: environmental, social, and economic sustainability. Findings reflect the strength of CSR-dedicated accounts in expressing salient and focused topics, while showing room for representation of economic sustainability within CSR communications. General accounts seem to be focused on brand promotion over CSR related content, but depending on industry target demographics, sustainability content representation can be more prominent.</t>
  </si>
  <si>
    <t>Sustainability, LDA, Topic, Business Communication, Twitter, Sustainable Computing</t>
  </si>
  <si>
    <t>LimR_2020-page1.pdf</t>
  </si>
  <si>
    <t>Joshua T. W.-A. Lin</t>
  </si>
  <si>
    <t>In Search of Food Justice: Analyzing Variation across Californian Asian American Food Security in 2017</t>
  </si>
  <si>
    <t>The Asian American community consists of about 20 ethnic groups, but oftentimes, discourse surrounding the community often homogenizes the group into a singular entity. However, this aggregation erases the unique ethnographic histories, cultures, and the distinct challenges each ethnic group faces. One problem area that disproportionately affects certain groups more than others is food security. Previous research suggests that it is likely some ethnic groups may be more prone to food insecurity compared to others, but the current field of literature is quite small. This project seeks to further this research by providing more evidence for this hypothesis. For my research, I utilized a mixed-methods approach. First, I conducted a cross-sectional multivariate regression analysis on ethnic food security data from the 2017 California Health Interview Survey. I found the following regression coefficients: Chinese (-0.0524), Japanese (-0.0823), Korean (-0.0229), Vietnamese (0.0592), Filipino (-0.0260), Other Asian (-0.0616). Each group tested statistically significant, except for Korean and Filipino Americans. Additional tests with added controls (language fluency, location, and gender) were done as well. Then, in order to supplement my discussion of my quantitative results, I held seven interviews with individuals from food bank organizations, Asian American community organizations, research institutions, and the California state CalFresh office. My data suggests that there is variation in food security levels across different ethnic groups, and this could be due to varying access to wealth and capital and distinct ethnographic histories. My research also exposes the lack of sufficient government support for the Asian American community.</t>
  </si>
  <si>
    <t>food systems studies, food security, Asian Americans, model minority, environmental justice, cross-sectional multivariate regression, cross-sectional interviews</t>
  </si>
  <si>
    <t>LinJ_2020-page1.pdf</t>
  </si>
  <si>
    <t>Yifei Liu</t>
  </si>
  <si>
    <t>Farming the Sun and the Crops at Once: A Cost Benefit-Analysis of Implementing an Agrivoltaic System in China</t>
  </si>
  <si>
    <t>An Agrivoltaic system advocates growing crops underneath solar panels to ensure agricultural productions and solar energy generations at once. This system can potentially solve land use conflicts and promote sustainable farming in China. Multiple field studies have been conducted to understand performances of the Agrivoltaic system across the globe. Yet, literatures have neither discussed how the system performances would vary due to geographic heterogeneities on a larger scale nor understood how farmers would respond to these variations in terms of making adoption decisions. In this study, I investigate whether Chinese farmers are willing to adopt the Agrivoltaic system in their farmlands given their residential regions and corresponding regional solar policies. I found that six provinces (Shandong Province, Shanxi Province, Liaoning Province, Jilin Province, Inner Mongolia region, and Tibet region) have natural advantages for the system. Through cost-benefit analysis, I also found that 99% of the counties in China would economically benefit from adopting the system given current sets of solar subsidies while 93% of the counties would profit even if the subsidy drops 20% in the next 25 years. The northeast three provinces, the Jilin province in particular, have the highest economic potential for the Agrivoltaic system. Meanwhile, this study also indicates the implementation of the system can help address climate change by increasing renewable energy shares in the electricity market.</t>
  </si>
  <si>
    <t>On-farm solar, photovoltaic, sustainable farming, geographic heterogeneities, decision making</t>
  </si>
  <si>
    <t>LiuY_2020-page1.pdf</t>
  </si>
  <si>
    <t>Shannon K. Louie</t>
  </si>
  <si>
    <t>Projecting hydrological microrefugias: The impact of climate change on the hydrology of the Sagehen Drainage Basin</t>
  </si>
  <si>
    <t>As earth’s surface temperatures rise and climate change intensifies, groundwater dependent ecosystems, like meadows, present themselves as a cause for conservation. In ecosystems like the Sagehen Drainage Basin, where certain areas of the meadows are saturated with water year-long, it is typically thought that geomorphological factors play a role in groundwater variability. Factors such as slope and elevation, are predictors for groundwater levels. In this study, I found that average groundwater levels can be better predicted by identifying the intersection of hydrological process zones and plant functional types. Using field observations, GPS coordinates, and QGIS, the Sagehen Drainage Basin can be characterized by three hydrological process zones (alluvial fan, riparian, and terrace) and by three plant functional types (willow trees, sedges, and mixed herbaceous species). Together, a combination of these two factors generate 9 crosses and indicated novel groundwater availability trends. There was no significant difference between mean groundwater levels across meadows on an elevation gradient (p=0.611), but there was a statistical difference between mean groundwater levels based on its hydrological process zones and plant functional types (p&gt;0.05 for 24 of the 36 pairwise comparisons). Groundwater levels are better understood when placed in the context of understanding the hydrogeomorphology of the basin, rather than just geographic features.</t>
  </si>
  <si>
    <t>Groundwater, hydrogeomorphology, LiDAR, geographic information systems, QGIS</t>
  </si>
  <si>
    <t>LouieS_2020-page1.pdf</t>
  </si>
  <si>
    <t>Tiffany M. Lwin</t>
  </si>
  <si>
    <t>Garden to Table: Consumer Access of Urban Produce Among Food Insecure Communities around Berkeley, California</t>
  </si>
  <si>
    <t>In an effort to understand consumer demographics of urban farming networks within Berkeley, a research team and I conducted a cross sectional survey at the UC Gill Tract Farm Stand on March 8, 2020. We found that the Gill Tract was generally effective in grassroots organizing and reaching out to food insecure communities relative to its geographic location. The primary consumer motivations for attending the urban farm stand included environmental benefits, food quality, affordability, and social justice. In addition, most consumers believed they wasted little to no produce they gathered from the farm stand. More longitudinal studies at various urban farming sites are needed to gain a deeper understanding of consumer networks around Berkeley.</t>
  </si>
  <si>
    <t>urban agriculture, UC Gill Tract, social justice, food insecurity, food sovereignty</t>
  </si>
  <si>
    <t>LwinT_2020-page1.pdf</t>
  </si>
  <si>
    <t>Sang Hyun Ma</t>
  </si>
  <si>
    <t>Are Ozone Warnings and Alerts Serving Their Purpose? Ozone Alert Effects on Mortality Rates Attributed to Ambient Ozone Exposure in Seoul, Korea</t>
  </si>
  <si>
    <t>Korea has a long history of air pollution. While the government was able to reduce some pollutants compared to the 1990s, tropospheric ozone and particulate matter still contribute to air pollution events. Exposures to high levels of tropospheric ozone pollution have been attributed to increased mortality rates, especially in deaths attributed to circulatory and respiratory causes. Less established are the effects of policy measures such as ozone alerts on observed mortality rates. Currently, Korea issues ozone alerts when hourly ozone concentrations exceed 0.12ppm. I ran a series of regressions with lag times from 0-3 days to identify the explanatory variables attributed to mortality rates and gauge the effectiveness of the ozone alert. I calculated the expected increases in cardiovascular and respiratory mortality events after an ozone alert day. For every 0.1ppm increase of O3 after an ozone alert day there was about 12% (lag = 0 days), 14% (lag = 1 day and lag = 3 days) and 16% (lag = 2 days) increases in mortality rates. Because a decrease in expected mortality rates with increasing time lag signifies that the ozone alert is effective, the results of this study suggest that ozone alerts are not as efficient. Additionally, 1-hour maximum ambient ozone concentrations were not statistically significant (p &lt; 0.05) to mortality rates, which suggest that exposures to ozone could not explain the observed deaths. Therefore, the ozone alert (and the conditions associated with the ozone alert) may not be an appropriate proxy to explain the observed mortalities in Seoul.</t>
  </si>
  <si>
    <t>Epidemiology, Air Pollution Events, Health Effects, Regression Analysis, Policy Evaluation</t>
  </si>
  <si>
    <t>MaS_2020-page1.pdf</t>
  </si>
  <si>
    <t>Kylie M. Murdock</t>
  </si>
  <si>
    <t>The Relationship between Socioeconomic Factors and Climate Denial in the United States</t>
  </si>
  <si>
    <t>We are currently facing a climate crisis, and inaction to address this crisis will have devastating consequences. One reason for climate inaction is the pervasive culture of climate denial in the United States. According to the Yale Program on Climate Change Communication, only 53% of Americans believe in anthropogenic climate change. To address climate denial, we need to know who is denying climate change. My research looks at the relationship between socioeconomic factors and climate change denial, specifically gender, race, age, political party, religious affiliation, income, education, geographic location, and physical vulnerability. Few studies have looked specifically at social factors influencing climate change denial in the United States. Past research measured climate or environmental concern, and focused on one input variable. Race, age, and physical vulnerability have been overlooked in past research. Using data collected by Gallup, I ran multiple regression models to measure these relationships. The most important variables in predicting climate change belief are age, political party, and geographic location. The effect of age on belief has decreased over the past 10 years while the effect of political party on belief has increased over the past 13 years. Physical vulnerability is not a significant variable in predicting climate change belief. Climate change education should be targeted at those denying it: older people, Republicans, and those living in small cities and rural areas.</t>
  </si>
  <si>
    <t>Climate Change Denial, Gender, Race, Political Party, Age, Physical Vulnerability</t>
  </si>
  <si>
    <t>MurdockK_2020-page1.pdf</t>
  </si>
  <si>
    <t>Nhu Nguyen</t>
  </si>
  <si>
    <t>Influences of the Exposure to Environmental Issues on Environmental Justice Engagement and Educational Trajectories of Vietnamese-American College Students</t>
  </si>
  <si>
    <t>Since the end of the Vietnam War 1975, the legacy of environmental problems persisting in Vietnamese American immigrant communities has not been extensively documented nor disaggregated. After experiencing life-threatening situations during their journey to the United States, many Vietnamese Americans continue to face issues of socioenvironmental inequities after resettlement. Cyclically driving these issues are low rates of higher education attainment and high poverty rates in the community. In order to better understand the narrative of environmental issues affecting Vietnamese American communities and to seek avenues of change, I surveyed the Vietnamese American student community at the University of California, Berkeley. Evidently, 85.2% of respondents have experienced or were aware of environmental issues occurring in their hometowns, and they also recognize that those issues carry socioeconomic consequences. There is a strong belief among respondents that environmental issues are discriminately affecting Vietnamese American communities with less socioeconomic mobility, and that ways to bring forth progress include higher education attainment and environmental advocacy.</t>
  </si>
  <si>
    <t>Vietnamese American, resettlement, immigration legacy, disaggregation, environmental racism, higher education, environmental justice</t>
  </si>
  <si>
    <t>NguyenN_2020-page1.pdf</t>
  </si>
  <si>
    <t>Stanley Ou</t>
  </si>
  <si>
    <t>Economic and Environmental Cost Assessment of Lighting at UC Berkeley</t>
  </si>
  <si>
    <t>Improving lighting efficiencies is an attractive opportunity towards reducing the carbon footprint and operational costs on college campuses. However, it is difficult to quantify savings for a specific institution because of the effort it requires to perform a large-scale audit with many variables involved. In this cost-benefit analysis paper, I will focus on the UC Berkeley campus while using expedient methods in order to reduce the complexity of energy auditing a large institution. I will estimate the monetary and carbon costs of lighting under current lighting technologies and practices. After, I will extend the lighting cost calculations operating from better lighting technologies such as LEDs. The findings show that there are attractive benefits in the magnitude of millions of dollars and grams of CO2 saved over a few years. However, there are still notable barriers that prevent college campuses across the country to invest in lighting efficiency.</t>
  </si>
  <si>
    <t>lighting, energy efficiency, carbon costs, climate change, savings</t>
  </si>
  <si>
    <t>OuS_2020-page1.pdf</t>
  </si>
  <si>
    <t>Young L. Park</t>
  </si>
  <si>
    <t>An Environmental Justice and Policy Assessment of California Prisons: The Impact of Prisons on Community Health Disparity</t>
  </si>
  <si>
    <t>This paper investigates health outcomes in communities living near a prison controlling for demographic and environmental factors possibly affecting health outcomes, given that (1) the location of prisons are not random, (2) populations that live near prisons may be very different than populations not living near prisons, and (3) other factors such as environmental differences may differ between prison and non-prison locations. This study hypothesizes that cardiovascular disease rates in census tracts with prisons are higher than census tracts without prisons across California. Am ordinary least squares regression correlation of incidence of cardiovascular disease with an indicator whether the community has a nearby prison, has found a significant correlation which corresponds to a 9.6% higher incidence of cardiovascular disease . When controlling for demographic differences (race, age, etc.), I find a higher correlation which corresponds to 8.6%. Finally, a third multiple regression controlled for environmental variations (nearby landfills, treatment facilities, etc.) with a higher incidence of cardiovascular disease. Although not causal, my findings reveal a positive correlation indicating that individuals living near prisons have higher cardiovascular disease. Through an extensive literature review, I isolate accelerated aging, lack of quality health care, and failing environmental conditions in prisons as the three most reasonable factors for the increased health disparity rates. By integrating an environmental justice framework to address an institutional prison issue, the prison site represents a rallying point for community activism towards equity improvements in health care, labor conditions, policing regulations, hygiene standards, green technology, and more.</t>
  </si>
  <si>
    <t>Prison Industrial Complex, Prison Reform, Environmental Health, Environmental Racism, Cardiovascular Disease</t>
  </si>
  <si>
    <t>ParkY_2020-page1.pdf</t>
  </si>
  <si>
    <t>Dana M. Price</t>
  </si>
  <si>
    <t>A Comparative Fava Bean Growth Assay Using Berkeley's Municipal Solid WasteCompost</t>
  </si>
  <si>
    <t>The city of Berkeley provides its residents with free municipal solid waste compost that can be used as an organic amendment for plant cultivation. In order to understand its efficacy as an organic amendment of urban soil, I planted a crop of fava beans in 3 treatments: bare soil, soil amended with Berkeley municipal solid waste (MSW) compost, and soil amended with commercial industrial compost. I measured stem height and diameter, vegetative mass, and weed mass. Weed mass increased in both treatments compared to the control and stem height increased in the commercial compost compared to the control, but not compared to the MSW compost treatment. In fact, I found no significant differences between the two compost treatments for stem height, stem diameter, vegetative mass, and weed mass. This suggests that Berkeley’s MSW compost is a comparable organic amendment to commercial compost for the purpose of growing food crops in urban soil. This information can help bolster public support for similar recycling initiatives in other municipalities and guide the decisions of low-budget urban agriculturalists in the Bay Area when choosing between organic amendments available for cultivation.</t>
  </si>
  <si>
    <t>municipal compost, municipal solid waste, urban soil, urban agriculture, organic agriculture, organic matter, cover crops</t>
  </si>
  <si>
    <t>PriceD_2020-page1.pdf</t>
  </si>
  <si>
    <t>Celia M. Rodriguez</t>
  </si>
  <si>
    <t>Effects of Artichoke Thistle Management on Grassland Regeneration in Wildcat Canyon Regional Park</t>
  </si>
  <si>
    <t>Artichoke thistle is an invasive weed that can outcompete grassland vegetation species and reduce wildlife mobility by creating dense monocultures. Prior to EBRPD’s management, artichoke thistle thrived in Wildcat Canyon and created widespread problems for the ecosystem. This research project seeks to combine historical photographs and follow up surveys to examine the grassland regeneration following the removal of artichoke thistle. Historic photographs aided in identifying three site locations that were once heavily covered in artichoke thistle. Line point transects were used to collect species composition trends. Artichoke thistle image cover decreased 15.95% over all sites surveyed and was no longer detected in present day imagery. Nonnative annual grasses (NNAG) were the most frequent and abundant functional group surveyed at all three sites. A reduction of artichoke thistle patches and a return of NNAG dominance suggests a recovery of grassland function.</t>
  </si>
  <si>
    <t>Long-term management, invasive weeds, public land, rangelands</t>
  </si>
  <si>
    <t>RodriguezC_2020-page1.pdf</t>
  </si>
  <si>
    <t>Remie Sai</t>
  </si>
  <si>
    <t>Phasing Out: Plastic Ban Effects on Local Businesses Based on Resident and Owner Perceptions in Taiwan</t>
  </si>
  <si>
    <t>Plastic pollution is a problem that occurs globally, and its production is rapidly increasing. Governments have proposed solutions to combat this problem. Taiwan’s Environmental Protection Administration proposed a plastic ban aimed at the elimination of single-use plastics, specifically straws, bags, tableware, and cups by 2030. Tableware will be regulated at government buildings, supermarkets, and storefront food businesses, etc. The purpose of this thesis is to analyze how tableware regulations towards storefront food businesses will impact them. Surveys were administered to residents and storefront restaurants. Based on both surveys, all 4 business owners and 175 residents (N = 196) agreed with the ban’s intent. 84.3% of individuals who labeled themselves as not knowledgeable of the legislation’s details also agreed with its implementation. Two business owners support financial assistance programs for additional costs of applying to the regulations but would rather have the government assist in lowering the cost of plastic-alternatives. Owners were mainly concerned with the customer response to switching to reusables or when businesses charge extra for switching to plastic alternatives. 15.5% of individuals would avoid going to businesses with the added charge. In conclusion, businesses can be affected during the plastic ban in terms of increased costs for purchasing single-use plastic alternatives and customer satisfaction. Suggestions include educating customers on why businesses are making these changes, financial assistance from the government, and communication between all stakeholders of the ban, including small business owners who depend on their businesses for their livelihoods.</t>
  </si>
  <si>
    <t>single-use tableware, storefront restaurants, plastic policy, government assistance, sustainability</t>
  </si>
  <si>
    <t>SaiR_2020-page1.pdf</t>
  </si>
  <si>
    <t>Angelica A. Santos</t>
  </si>
  <si>
    <t>Comparative Analysis of the Dispersal Behaviors of Californian and Hawaiian Tetragnatha Spiders</t>
  </si>
  <si>
    <t>Dispersal behaviors and biogeographical patterns are inextricably linked as organisms evolve and adapt to their environments to ensure the best chance of survival. Long distance dispersal has allowed organisms to colonize populations in remote locations. However, once established, dispersal reduction becomes necessary to maintain the population. While some organisms have evolved to lose phenological traits to prevent long distance dispersal, spiders are unable to lose the physical structures used for dispersal, since silk is used not only for dispersal, but also mating, feeding, and habitat establishment. Therefore, dispersal reduction in spiders must occur in behavioral changes rather than phenological changes. In order to understand how dispersal behavior changes for spiders living on islands, Tetragnatha stellarobusta spiders from Hawaii and Tetragnatha versicolor spiders from California were observed in dispersal trials and tiptoe, rappelling, and bridging behaviors were recorded. For all three behaviors, T. stellarobusta exhibited more conservative dispersal behavior than T. versicolor, demonstrating dispersal reduction in the island species.</t>
  </si>
  <si>
    <t>Dispersal reduction, ballooning, evolution, ecology, biogeography</t>
  </si>
  <si>
    <t>SantosA_2020-page1.pdf</t>
  </si>
  <si>
    <t>Dara Sengchanthavong</t>
  </si>
  <si>
    <t>Synthesizing the Relationship Between Environmental Racism and Educational Attainment for Southeast Asian Youth in North Orange County, CA</t>
  </si>
  <si>
    <t>From an environment destroyed by war to navigating environmental health disparities, Southeast Asian youth are caught in a cycle of survival two to three generations from their family’s refugee resettlement into the United States. For Southeast Asian Americans, this means being faced with heightened environmental health risks, as many immigrant communities face, such as poor air quality and exposure to toxic chemicals. Within Orange County, California, there exists stark disparities between the North and South—in immigrant populations, air pollution exposure, income levels, and politics. To protect these refugee communities as well as their youth it is imperative that we engage with their lived experiences to better understand what processes are affecting them and how these relationships are webbed together. Coupling immigrant communities’ heightened environmental health risks with Southeast Asian American’s generally low educational attainment, what this study aimed to do was synthesize how the relationship between these two entities affected Vietnamese and Laotian youth from North Orange County—which has a higher environmental risk index than the South as well as larger immigrant population. To assess this, I interviewed a group of individuals who attended secondary school in North Orange County, and focused on evaluating their experiences with environmental health and if it affected their education. The results indicate that Southeast Asian youth rely on proximity to environmental health disparities in order to acknowledge the existence of them; yet even with acknowledgement, many exhibit behaviors that could be linked to the inert psyche to constantly be in survival mode as passed down from refugee resettlement history. Recognizing a relationship between environmental racism and educational attainment was not conceived until the subject had physically left North Orange County, in most cases this was due to the pursuit of higher education. The findings from this study offer insight to the lack of accessible environmental education in Orange County, as well as a lack in policy and practices to protect vulnerable communities. Additionally, this study contributes to discussion surrounding the development of refugee communities two generations out from initial resettlement, with a focus on their youths’ success and livelihood.</t>
  </si>
  <si>
    <t>environmental justice, environmental health, health disparities, health inequities, refugee resettlement, Vietnamese, Laotian</t>
  </si>
  <si>
    <t>SengchanthavongD_2020-page1.pdf</t>
  </si>
  <si>
    <t>Natasha Thompson</t>
  </si>
  <si>
    <t>Geospatial Analysis and Prediction of Human – Panther (Puma concolor coryi) Depredations in Collier County, Florida (2005-2018)</t>
  </si>
  <si>
    <t>The Florida Panther (Puma concolor coryi) is an endangered species with a recovery goal of 3 independent populations of 240 individuals each, planned to be achieved by habitat expansion and reintroduction into public and private lands. Landowner support for this effort is contingent on their tolerance of panther presence, which is directly related to their perception of panther associated risk. In order to address this potentially disproportionate perception of risk, this study aimed to (i) identify hotspots of depredation risk within the Collier County, (ii) quantify the influence of various landscape variables on depredation, and (iii) assess the utility of a depredation-based model, as opposed to established resource intensive telemetry models. I constructed a Maxent model of reported depredation incidents and relevant environmental variables, finding that it was significant with moderate performance. My model indicated that the highest probabilities of panther depredations occur in the low intensity urban – natural areas interface, contrasting with the literature on panther habitat models, which generally predict the highest probability of panther presences away from urban areas. This result suggests that depredations and observed panther habitat preferences may exhibit different spatial patterns and requires further research.</t>
  </si>
  <si>
    <t>Depredation, depredation probability, depredation risk, Human Wildlife Conflict, Maxent, panther conservation</t>
  </si>
  <si>
    <t>ThompsonN_2020-page1.pdf</t>
  </si>
  <si>
    <t>Carol Tsai</t>
  </si>
  <si>
    <t>Categorizing River Networks into Functional Process Zones using Geographic Information Systems</t>
  </si>
  <si>
    <t>Understanding the physical properties of river networks is important for understanding their ecology and improving their management. Functional Process Zones (FPZs) are a system for categorizing streams in a watershed into different sections by measuring and grouping different geomorphological variables. In this study, I characterized the Salmon Creek Watershed in Sonoma County, California into FPZs using elevation, geology, and precipitation datasets and measure variables. I collected 9 physical variables that included variables related to climate, elevation, geology, and river valley shape from 87 sites placed every 2 km along the watershed. I then did a cluster analysis in R with a cut off of 80% dissimilarity to identify groupings and visualized the groupings using a Principal Components Analysis. I identified a total of 4 FPZs: Constrained, Open-Valley Upland, Open-Valley Lowland, and Lowland Alluvial. The results of this analysis can help inform management of the Salmon Creek Watershed as climate change and irrigation continue to impact the health of these ecosystems.</t>
  </si>
  <si>
    <t>Agricultural watershed, Salmon Creek, Riverine Ecosystem Synthesis, geomorphology, ArcGIS</t>
  </si>
  <si>
    <t>TsaiC_2020-page1.pdf</t>
  </si>
  <si>
    <t>Chase W. Turnbull</t>
  </si>
  <si>
    <t>The Role of the APE1 Gene in the Development of Arabidopsis thaliana</t>
  </si>
  <si>
    <t>Acclimation to the photosynthetic environment is among the most important components of development as plants adjust to changing light conditions. Through alterations to thylakoid arrangement and composition, plant physiology adjusts photosynthetic parameters to protect light-capturing machinery and make photosynthesis more effective. Among the genes responsible for these alterations is the APE1 gene, first studied as one of several acclimation to the photosynthetic environment (ape) mutants with varying photosynthetic parameters. Limited change to maximum photosynthetic capacity occurs in ape mutants, but more notable changes to the efficiency of photosystems I and II have been recorded. This study sought to further ascertain the role of the APE1 gene using the CRISPR-Cas9 complex to induce a loss-of-function mutation. I measured mutants for max photosynthetic capacity (Pmax) in addition to various parameters pertaining to photosystem II efficiency (ΦPSII) and photosystem I efficiency (ΦPSI) to determine how the phenotype of the mutant lines is affected. I determined reductions in both ΦPSII and ΦPSI in the mutant lines as compared to the wildtype. Difference in parameters for fluorescence (Fv and Fm) indicated the most likely site of deficiency was somewhere in the electron transport chain between PSII and PSI. Lab closures due to the COVID-19 outbreak prevented the final stage of data collection via immunoblot analysis to determine the exact nature of the mutation. Completion of this data collection represents the future work to be done on the APE1 gene.</t>
  </si>
  <si>
    <t>acclimation to the photosynthetic environment, P700 absorption, chlorophyll fluorescence, thylakoid composition, photosystem</t>
  </si>
  <si>
    <t>TurnbullC_2020-page1.pdf</t>
  </si>
  <si>
    <t>Uthara Vengrai</t>
  </si>
  <si>
    <t>Compost Application Effects on Soil Greenhouse Gas Emissions Along the Climatic Gradient of California Grasslands</t>
  </si>
  <si>
    <t>To slow global climate change, it is becoming increasingly important to consider carbon (C) drawdown pathways to reduce carbon dioxide (CO2) concentrations in the atmosphere. Compost application to grasslands has been proposed as a CO2 removal mechanism to mitigate climate change. However, compost application may cause exacerbated greenhouse gas (GHG) emissions and significantly offset CO2 removal. To determine whether compost amendments could act as a net CO2 source or sink, it is critical to understand patterns of GHG emissions with compost across a wide range of soil conditions. I used a laboratory incubation experiment with soils from five annual grasslands representing a range of soil conditions to determine the potential impacts of compost application on GHG emissions. I found that heterotrophic respiration was elevated under compost application at all sites, and was significantly greater in soils with higher initial C contents. Methane and nitrous oxide production were similar between amended and control soils, though my results showed that site-specific precipitation regimes might influence the production of these gases. My results suggest that, due to the priming effect of organic amendments, less C-rich sites should be a priority for compost addition. Models of long-term soil organic carbon (SOC) storage reinforce this; however, they also demonstrate that each of these sites will still sequester far more C than they will release over short- and long-time scales.</t>
  </si>
  <si>
    <t>microbial activity, carbon sequestration, aerobic respiration, carbon, greenhouse gas emissions</t>
  </si>
  <si>
    <t>VengraiU_2020-page1.pdf</t>
  </si>
  <si>
    <t>Eileen Alcantar Williams</t>
  </si>
  <si>
    <t>Hero and Incarcerated: A Breakdown of Barriers for Formerly Incarcerated Firefighters in California</t>
  </si>
  <si>
    <t>As more frequent, intense and longer wildfire seasons become standard in California, the question arises on how California will adapt to ensure there are enough resources and personnel to fight these intense fires. Studies have shown that current and future climate changes will exacerbate the need for these resources and personnel; therefore, California must be prepared to address these changes. One type of personnel California utilizes to fight forest fires are incarcerated firefighters. The California Department of Forestry and Fire (CalFire) works with the California Department of Corrections and Rehabilitation (CDCR) to facilitate fire camps where incarcerated individuals work in fire management jobs across California. My research focuses on the employment barriers that impact formerly incarcerated firefighters in California once they are released from the carceral system. There has been little to no research done on employment barriers for formerly incarcerated firefighters, and research fails to incorporate formerly incarcerated voices into employment barrier research. To address this, I have developed the following research and sub-research questions: Why are there so few formerly incarcerated firefighters pursuing firefighting and fire management careers following release from prison? Additionally, how has the hero and incarcerated identity dynamic changed for these firefighters as fire season grows longer and more intense? Lastly, what are the specific barriers impacting employment? Using a case study approach, I interview three stakeholders and analyze two assembly bills to understand the various obstacles and proponents impacting formerly incarcerated firefighters on their journey to obtaining fire management jobs following release. I identify eight employment barriers impacting formerly incarcerated firefighters firefighting and multiple gaps in legislation I address through recommendations. I conclude that the employment barriers impacting formerly incarcerated firefighters are complex and can begin at various stages of the employment process.</t>
  </si>
  <si>
    <t>employment post-incarceration, professional firefighting, conservation fire camps, fire suppression, incarcerated labor</t>
  </si>
  <si>
    <t>WilliamsE_2020-page1.pdf</t>
  </si>
  <si>
    <t>Michael K. Yi</t>
  </si>
  <si>
    <t>The Economic Impact of Air Pollution Related Diseases on West Oakland</t>
  </si>
  <si>
    <t>Air pollution has been a large problem for the residents of Oakland, and West Oakland experiences the highest concentrations of air pollution in Alameda County. Although there is a plethora of research on PM2.5 concentrations, respiratory diseases, and death rates, there is nothing concrete on the economic impacts as a result of the air pollution. Therefore, using BenMAP, I wanted to estimate the economic impacts of the air pollution in West Oakland. I chose West Oakland as they suffer the harshest concentrations of the air pollution. Using averages of hospital admissions and mortality valuations from outside studies and the incidence rates found from BenMAP, I was able to estimate the economic impacts of air pollution in West Oakland. I found average incidence rates of Emergency Visit (EV) for Asthma = 127.4422, Hospital Admissions (HA) for All Respiratory Diseases = 167.1933, HA for Asthma = 14.8670, and Mortality = 476.4446. As for the valuations, the average cost of EV for Asthma is $400, the average cost of an HA for Asthma is $5,000, the average cost of HA for Respiratory Diseases is $9,700, and the average cost of a Mortality is $6 Million. The valuations were found from different research. Knowing how much money air pollution costs can be a big deciding factor in implementing change or policy to improve air quality conditions.</t>
  </si>
  <si>
    <t>BenMAP, particulate matter 2.5 (PM2.5), health impacts, estimates, hospital valuations</t>
  </si>
  <si>
    <t>YiM_2020-page1.pdf</t>
  </si>
  <si>
    <t>Amy Zhang</t>
  </si>
  <si>
    <t>A Cross Sectional Study on the Association Between Traffic Related Air Pollutants and Biomarkers of Metabolic Dysfunction</t>
  </si>
  <si>
    <t>It is well known that poor diet, lack of exercise, and genetics are all factors that contribute to metabolic diseases. New research reveals associations between long-term air pollution exposure and subclinical inflammation, including metabolic syndrome in adults; however, these associations are less explored in children. Communities of lower socioeconomic standing, especially those of minority populations, are most vulnerable to sources of air pollution. In many of these areas, both houses and schools are located close to areas of concentrated sources of air pollution, such as highways or factories. In this study, we conduct cross-sectional regression analyses in a predominantly low income sample of children (n=218) to explore associations between several traffic-related air pollutants: NO2 , NOx, elemental carbon (EC) and polycyclic aromatic hydrocarbons (PAHs) and blood biomarkers for risk of metabolic disease: high-density lipoprotein (HDL, the “good” type of cholesterol) and C-reactive protein (CRP, a marker of systemic inflammation. Overall, the results demonstrated a pattern of decreasing HDL with increases in NO2, with the strongest for short term exposure (1-day) and an estimate of -15.4 mg/dL decrease per IQR increase in NO2 (95% CI = -27.4, -3.4). Bringing to light possible associations between air pollution and adverse health outcomes could promote policy change and community-wide programs to alleviate issues of environmental justice stemming from unequal burden of environmental stressors.</t>
  </si>
  <si>
    <t>airway inflammation, epidemiology, pediatric studies, C-reactive protein, HDL cholesterol</t>
  </si>
  <si>
    <t>ZhangA_2020-page1.pdf</t>
  </si>
  <si>
    <t>Jon D. Abdon</t>
  </si>
  <si>
    <t>A Systematic Review of Management Practices for Biosolids Land Application</t>
  </si>
  <si>
    <t>Land application is generally considered a cost-effective and sustainable method to manage biosolids by recycling and reusing them as soil amendments to improve soil quality. However, biosolids are not a panacea. Health concerns, malodors, and environmental precautions are some of the controversial topics that drive public opposition towards biosolids land-application. The purpose of this review is to gather existing knowledge and related information regarding biosolids and the current management practices and regulations that dictate land application limits. This paper also suggests changes to current management practices and regulations that might be outdated and inconsiderate towards public health risks. Additional research and amendments to existing regulation are needed to reduce potential short-term and long-term detrimental effects of biosolids land application to humans and the environment.</t>
  </si>
  <si>
    <t>40 CFR Part 503, wetland restoration, human health effects of biosolids, environmental risks of biosolids, policy recommendations for biosolids</t>
  </si>
  <si>
    <t>AbdonJ_2019-page1.pdf</t>
  </si>
  <si>
    <t>https://www.ocf.berkeley.edu/~pkmendez/envsci/projects/2019final/</t>
  </si>
  <si>
    <t>Karina Aguilera</t>
  </si>
  <si>
    <t>Listening to the People: The Effects of an Unregulated Landfill in Salamanca, Guanajuato, Mexico</t>
  </si>
  <si>
    <t>Improper waste management practices have led to public outcry to demand closure of a landfill in Salamanca, Guanajuato, Mexico. To assess the environmental and social impacts of the landfill on residents, I collected air quality measurements and conducted surveys and interviews in three towns: La Labor, Valtierra, and Buenavista. Buenavista exceeded the federal standard for particulate matter (PM2.5 micrometers or smaller) 8 out of 10 days of data collection. There are many elderly residents in the town who have a heightened sensitivity to potential respiratory and cardiovascular effects due to poor air quality. A majority of the respondents were willing to accept the placement of the landfill near their towns as long as proper regulations were enforced and illegal dumping ceased. My analysis of political leaders’ statements about the landfill suggests an apolitical rendering of issues faced by residents has led to multiple ongoing environmental injustices. In this case, policy intervention is not needed: only proper regulation and compliance with standards already in place. Otherwise, residents suggest landfill closure. The findings from this study offer insights into adverse health effects, environmental injustices, and methods that can be used to encourage enforcement of existing regulations in landfills across Mexico.</t>
  </si>
  <si>
    <t>waste management, environmental justice, environmental health, political ecology, air quality</t>
  </si>
  <si>
    <t>AguileraK_2019-page1.pdf</t>
  </si>
  <si>
    <t>Clemente Arreguin</t>
  </si>
  <si>
    <t>Maximizing Carbon Dioxide Storage in Oak Savanna Ecosystems: Identifying the Effects of Ecosystem Disturbances</t>
  </si>
  <si>
    <t>Identifying opportunities to combat threats of climate change that have important implications for the international community has become a paramount objective for a sustainable future. In order to achieve meaningful mitigation, all of these available opportunities must be explored. Aboveground biomass of terrestrial ecosystems absorbs large quantities of carbon dioxide through photosynthetic processes, and as such, these ecosystems are a good opportunity to increase carbon dioxide sequestration on a large scale. Different ecosystem disturbances have been shown to significantly alter the ability of forest ecosystems to store carbon. However, little literature has considered these disturbances and their associated affects on carbon storage in Oak Savanna ecosystems, which span over large land areas of the United States. This study aims to quantify the effects of ecosystem disturbances, namely grazing and wildfire, on live tree carbon stocks of Oak Savanna ecosystems and provide insight onto how landowners ought to manage disturbances in order to uphold live tree carbon stocks. Data for live tree carbon stocks were analyzed in R and Excel, including summary statistics, Welch’s Approximate t-Tests, and regression analysis. There was no significant difference in carbon stocks between ecosystem disturbance histories, as p-values for all pair-wised tests were &gt;.20. Regression analysis showed a strong, positive correlation between average tree size and carbon density on a plot scale (r-squared=.91, p-value=.000841).</t>
  </si>
  <si>
    <t>climate change, wildfire, grazing, land management, tree size</t>
  </si>
  <si>
    <t>ArreguinC_2019-page1.pdf</t>
  </si>
  <si>
    <t>Caroline M. Ayala</t>
  </si>
  <si>
    <t>Fuel Treatment Impacts on Overstory Species Composition in Mixed-Conifer Forests of the Sierra Nevada</t>
  </si>
  <si>
    <t>Prior to fire suppression policies, the Sierra Nevada range of California experienced high frequency, low severity fires that created a heterogeneous landscape. However, current forests are dense with trees, high in fuel loads, and changed in species composition with shade tolerant species shading out shade intolerant species. Current fires are of high severity that raises concerns for future forest structure. Fuel treatments are a method to replicate historic fire regimes and to meet desired forest management objectives. Three different fuel treatments, a prescribed burn, mechanical thinning, and a combination of the two, were applied in 2002 by the Fire-and-Fire Surrogates project to alter forest structure and data was collected in 2003, 2009, and 2016. I used a linear mixed effects model to determine changes in both the proportional basal area and individual species’ basal area of the five most important mixed-conifer forest tree species in response to the fuel treatment applied and the time after initial treatment. MECH and MECHBURN treatments generally resulted in the largest and longest effects across species compared to control treatments. MECH and MECHBURN treatments also decreased the basal area of shade tolerant tree species: White Fir and Incense-Cedar. These results can be used by forest managers to determine the best management approach for their specific objective and the potential longevity of their treatment on overstory species composition.</t>
  </si>
  <si>
    <t>Basal area, prescribed burning, mechanical thinning, species proportion, fuel treatment longevity</t>
  </si>
  <si>
    <t>AyalaC_2019-page1.pdf</t>
  </si>
  <si>
    <t>Sophie K. Babka</t>
  </si>
  <si>
    <t>A Breakdown of Compostable Plastic Recovery in California</t>
  </si>
  <si>
    <t>Compostable plastics, a new form of plastic designed to breakdown in commercial composting facilities, have recently become widely available in the US. However, the extent to which these compostable plastics are accepted at California compost facilities and actually recovered to produce a final compost product has not been reported. I determined which facilities in California accept compostable plastic and how much of the compost waste stream this represents by weight. Only 14 food waste permitted compost facilities in California accept compostable plastics. Other facilities’ treatment processes are unable to breakdown the plastics or have identified other reasons for non-acceptance. Further, due to consumer misconception and inaccurate labeling processes, many consumers incorrectly dispose of non-compostable plastics into the compost waste stream, requiring the need for facilities to have a pre-treatment sorting process. For some facilities, the inability to differentiate between compostable and non-compostable plastics in an economically viable manner, leads to all plastics received at the facilities being removed and redirected to landfills, preventing the recovery of compostable plastics. A lack of communication has led to a disconnect between compostable plastic producers and the waste disposal sites. This has resulted in the inability for compostable plastics to be recovered in our current waste stream, preventing California from reaching its goals of lowering landfill based methane emissions.</t>
  </si>
  <si>
    <t>Waste Management, Plastic Pollution, Compost, ASTM, Petrochemical Plastic Alternatives</t>
  </si>
  <si>
    <t>BabkaS_2019-page1.pdf</t>
  </si>
  <si>
    <t>Sophia B Bagshaw</t>
  </si>
  <si>
    <t>Coast redwoods (Sequoia sempervirens) and Climate Change: Age Based Differences in Leaf Hydraulic Traits</t>
  </si>
  <si>
    <t>Climate change is projected to increase the frequency and severity of droughts in many regions.
However, there is not yet a consensus on how forests will respond in part because we lack
understanding about how hydraulic traits that confer drought tolerance change as trees age. In this
study, I aimed to determine if and how hydraulic traits differ with age in Sequoia sempervirens (S.
sempervirens) growing in a secondary forest. I tested for a difference in hydraulic traits, dawn and
midday leaf water potential (Ψleaf) and leaf turgor loss point (TLP), between S. sempervirens in
different age groups. I also measured differences in the hydraulic traits of juveniles growing under
nursery trees compared to those growing in more open locations to test for a nursery effect. Using
diameter at breast height (DBH) as a proxy for age I separated coast redwoods within Redwood
Regional Park in Oakland, California into 5 DBH size classes. To measure the nursery-tree effect
on the hydraulic traits of recruits I had two groups within the smallest size class that where ~0.3m
and &gt;1.7m from a more mature S. sempervirens. Dawn Ψleaf had no trend across size-classes,
however, both midday Ψleaf and TLP were negatively correlated with tree height. Additionally,
juvenile trees growing in close proximity to a mature tree had considerable higher midday Ψleaf
and TLP compared to the freestanding juvenile trees suggesting that they benefited from a nursery
effect. These results provide a physiological mechanism for explaining how older and larger trees
within a forest canopy tolerate higher levels of water-stress when compared to younger understory
trees.</t>
  </si>
  <si>
    <t>life history stage, ontological plasticity, forest ecology, Plant physiology, functional diversity</t>
  </si>
  <si>
    <t>BagshawS_2019-page1.pdf</t>
  </si>
  <si>
    <t>Andrea A. Bassetti</t>
  </si>
  <si>
    <t>Expanding the Impact of Ecolabels: Leveraging Standards to Propose Sustainable Practices for Paper Products Without Certifications</t>
  </si>
  <si>
    <t>An ecolabel is a voluntary certification that can be put on a product’s packaging to indicate that it has fulfilled certain requirements to be more environmentally, socially, and fiscally sustainable. Due to a lack of standardization and trust from stakeholders and consumers, certifying bodies have focused on creating certifications that will sell, covering only a few common products that are used across multiple industries. I investigate whether information from existing certifications and Environmental Preferable Policies (EPP) can be used to expand the range of products covered by ecolabels. Using certified paper products as a test case, I explore the possibility of making practice suggestions for products that are similar in nature but have no certifications available. Out of a total of 79 paper products, only 12 are covered by certifications. I isolated one product at a time and used the other 11 products to make practice predictions. The result showed high levels of precision, with an average of 96% correct suggested practices over total suggested practices. The accuracy levels were lower, with an average of 59% correct suggested practices over the total available practices. The precision levels show that the suggestions were correct, and therefore we can use information across products as long as they are similar in nature. The accuracy level showed that the method can be improved to be more comprehensive of the practices. These results show that there is potential to increase product coverage, therefore improving environmental practices across the market.</t>
  </si>
  <si>
    <t>ecolabel standard, environmental preferable policy, practices, precision, accuracy, impact area</t>
  </si>
  <si>
    <t>BassettiA_2019-page1.pdf</t>
  </si>
  <si>
    <t>Daisy Cervantes-Hernandez</t>
  </si>
  <si>
    <t>Understanding Structuring Drivers of Fish Assemblages in Suisun Bay, California</t>
  </si>
  <si>
    <t>The Sacramento-San Joaquin River Delta is among one of the most important water sources in California as it provides water for irrigation to the Central Valley and urban uses for Southern California. The Delta is a highly altered ecosystem due to the transformation of estuarine habitat such as wetlands and marshes to agricultural land. I used abiotic and biotic factors to analyze their effects on the structure of fish assemblages in the Delta. Multivariate analysis approaches such as Principal Component analysis (PCA) and Non-Metric Multidimensional scaling (NMDS) were utilized to identify the structure of fish assemblages among four habitat types and seven geographic locations in the Delta. Both PCA and NMDS plots did not show significant evidence that environmental factors within habitats and location influence the structure of native and non-native fish assemblages. Species co-occurrence analysis results identified some positive association between native and non-native species in the Delta which could provide information on the structure of fish assemblages for future studies.</t>
  </si>
  <si>
    <t>Native California fish, California Delta, tidal marsh, species co-occurrence, fish community</t>
  </si>
  <si>
    <t>CervantesHernandezD_2019-page1.pdf</t>
  </si>
  <si>
    <t>Ho-Ying Helena Chang</t>
  </si>
  <si>
    <t>Escaping the Gap: Escape Rooms as an Environmental Education Tool</t>
  </si>
  <si>
    <t>Environmental education (EE) pedagogy is in need of reform due to the dissonance between individuals’ values and their actions, the value-action gap. To examine an innovative way to address this phenomenon, I designed an escape room focused on sustainable consumption habits that aimed to reduce the gap in young adults. I then surveyed study participants to further understand their learning experience and what information they retained. The escape room increased the sustainable values and behaviors of participants and decreased the number of participants exhibiting the value-action gap. The changes were statistically significant. Metaphorical puzzle design, hands-on experiences, and interaction with friends as well as strangers all influenced participants’ changes in values, behaviors and their gap. Escape rooms have potential to be effective tools in environmental education to empower students and decrease the value-action gap, but consistency and immersive factors of the escape room need redesigning. Future direction includes different themed rooms, testing with different age groups and increasing accessibility to the public.</t>
  </si>
  <si>
    <t>Value-Action Gap, Individual Action, Consumerism, Learning Experience, Simulations</t>
  </si>
  <si>
    <t>ChangH_2019-page1.pdf</t>
  </si>
  <si>
    <t>Zahira H. Chaudhry</t>
  </si>
  <si>
    <t>The Potential for Soil Carbon Sequestration in the San Joaquin Delta</t>
  </si>
  <si>
    <t>Soil texture analysis can be used as a predictor of soil carbon content in managed agricultural peat
soils in the San Joaquin Delta. I conducted a soil texture analysis of 65 soil samples from four
different land uses: pastureland, wetland, corn, and alfalfa. Soil samples were collected at various
sites across the Delta using soil core augering, taken at 5 m intervals along three 20 m transects at
each site. Soil samples were processed then analyzed using the hydrometer method to determine
the percent composition of clay, sand and silt of each soil sample. I ran a one-way ANOVA to
determine the distribution of clay, sand and silt content across the three depth categories and to
compare distributions between drained and flooded soils. Linear regression analysis illustrated the
relationship between the percentage of clay, sand and silt content and the percentage of calculated
carbon content. Soils with higher clay content were expected to hold a higher amount of carbon,
but no trends between soil carbon and clay were found. Negative trends between silt and carbon
may indicate the importance of silt as a source of redox active minerals that may limit soil carbon
sequestration. Positive correlations between sand and carbon may illustrate that sandy soils have
the highest potential for soil carbon sequestration. Overall, management practices such as
reflooding are the best options to aid soil carbon sequestration in the San Joaquin Delta.</t>
  </si>
  <si>
    <t>peatland, soil texture, clay, flooding, redox active minerals</t>
  </si>
  <si>
    <t>ChaudhryZ_2019-page1.pdf</t>
  </si>
  <si>
    <t>Yirong Chen</t>
  </si>
  <si>
    <t>Evaluating Long-term Impact of Waste Separation Pilot Programs in Shanghai, China</t>
  </si>
  <si>
    <t>Waste separation is the first step to ensure a successful waste management system. Several rounds of pilot programs on promoting waste separation have been implemented in Shanghai, China, though their effect in the long term was not previously studied. The objective of this study is to analyze which kind of pilot program had the most impact over the long term and which demographic factors influence people’s waste separation behavior. To collect information on waste separation, attitudes toward the programs, and demographics, I conducted a questionnaire survey. I chose three communities based on distinctive waste sorting categories and promotional schemes in their pilot programs. Survey results showed that the community with the most straightforward sorting categories and the most attractive incentives had the best long-term effect on resident’s behaviors, with 76.9% of the respondents still separating waste five years later. Age was the main influencing demographic factor behind respondents’ waste separation behavior with the elderly taking the most active role. Meanwhile, gender was no longer an influencing factor behind respondents’ behavior, contrary to previous studies’ findings. To ensure the success of future pilot programs, incentive type, the convenience of separation and disposal, neighbor pressure, and ample environmental education should be all taken into consideration when designing the program.</t>
  </si>
  <si>
    <t>waste management, environmental behavior, demographical factor, incentive, survey</t>
  </si>
  <si>
    <t>ChenY_2019-page1.pdf</t>
  </si>
  <si>
    <t>Colette Christensen</t>
  </si>
  <si>
    <t>Caddisfly Species Identification via Wing Morphometrics and Potential Applications</t>
  </si>
  <si>
    <t>Species identification is an important aspect of many biological studies, and something that remains incredibly challenging in entomology. Researchers strive to discover new methods of identification, using more technological resources in recent years. In this study, I determined if geometric morphometrics of caddisfly wing venation could identify differences between species in the family Hydropsychidae and sexes. To examine wing venation with the geometric morphometrics, I mounted fore and hind wings on glass slides and identified 45 landmarks on each individual. I analyzed differences between individuals via Generalized Procrustes Analysis and Principal Component Analysis. The tests revealed variation largely in the central crossveins; PCA scores showed at least 50% variation between wing landmarks, enough to distinguish species into three distinct clusters. Ideally, this data can be used in future applications of machine learning identification.</t>
  </si>
  <si>
    <t>Geometric morphometrics, wing venation, hydropsychidae, machine learning</t>
  </si>
  <si>
    <t>ChristensenC_2019-page1.pdf</t>
  </si>
  <si>
    <t>Emily T. Cox</t>
  </si>
  <si>
    <t>Daisies in Distress: Growth Responses of Lasthenia gracilis to Simulated Drought over a Geographic Gradient</t>
  </si>
  <si>
    <t>Climate change impacts the severity and frequency of droughts in California. As a result, native plants will likely face changes in soil moisture as temperature and weather patterns shift. Lasthenia gracilis, commonly known as needle goldfields, is a species of native California flower with habitats ranging from northern to southern California. Therefore, this species is ideal for testing how a controlled variable affects a set of populations differing by latitude. Through a gridded greenhouse experiment, I measured the effects of water stress on the growth and reproductive fitness of this species of native California daisy to explore if there is variation in response between northern and southern populations. I also measured general survivorship, days to germination, germination rate, and days to flowering to further compare responses among the geographically distinct populations. The results of my research are expected to show that individuals from southern populations will be more resilient to drought conditions, by exhibiting slower growth rates and higher inflorescence counts than plants from northern populations exposed to the same degree of water stress. This higher drought fitness is expected to significantly correlate with higher numbers of inflorescences, a measure of reproductive fitness. Studying the effects of limited water availability on growth and reproductive ability of specific native California plants can provide insights into how climate change will impact important California ecosystems such as grasslands. This knowledge of ecological vulnerability is crucial when assessing and weighing the importance of mitigating the many detrimental effects of climate change.</t>
  </si>
  <si>
    <t>water stress, adaptive differentiation, greenhouse experiment, climate change, phenology</t>
  </si>
  <si>
    <t>CoxE_2019-page1.pdf</t>
  </si>
  <si>
    <t>Trisha A. Daluro</t>
  </si>
  <si>
    <t>The Impacts of Anthropogenic Disturbance on the Behavior of Rangeland Mammals</t>
  </si>
  <si>
    <t>Understanding the behavior of wild mammals is essential to effectively manage them. Rangelands provide recreational opportunities and economic benefits of grazing, but at the cost of reducing habitat value. For instance, rangeland mammals can avoid interacting with humans and domesticated animals by shifting their temporal activity patterns. To determine whether mammals in Yuba Narrows, California behave differently in response to the presence of humans and domesticated animals, 12 camera traps were placed to monitor anthropogenic and wildlife activities. I ran a regression analysis of the number of mammals detected in response to different rates of anthropogenic disturbance. I found that mammals avoided the study area when cows were present but did not behave differently when humans, horses, or dogs were present. I found that herbivores were more likely than omnivores to avoid the study site when cows were present. Moreover, I looked at mammal and anthropogenic activities on a site-by-site case to determine whether mammals avoided sites recently visited by humans and other domesticated animals. I found that there was no significant difference in response to the two different groups. I also monitored the behavioral responses of different species to spatial disturbance. I found that bears and mountain lions were more abundant on sites that were highly disturbed by humans, horses, and dogs. Minimizing disturbance on days and sites with high disturbance rates can prevent behavioral changes of mammals in response to them.</t>
  </si>
  <si>
    <t>Wildlife, cattle, recreation, behavioral adaptations, camera traps</t>
  </si>
  <si>
    <t>DaluroT_2019-page1.pdf</t>
  </si>
  <si>
    <t>Ryan G. DeGeer</t>
  </si>
  <si>
    <t>A Source of Sexual Dysfunction: Estrogen Output from Wastewater Treatment Plants to the San Francisco Estuary</t>
  </si>
  <si>
    <t>Given the incidence of estrogenic activity in the San Francisco Estuary (SFE) and corresponding declines in open-water fish species since 2001, a key initial goal in reducing future exposure to estrogenic compounds is to identify the primary routes they take into the ecosystem. Anthropogenic estrogenic-endocrine disrupting chemicals (e-EDCs) typically enter the environment through wastewater treatment plants (WWTPs) and their associated effluent discharge points. Estimates for the daily outputs of the four most potent estrogenic compounds, estrone (E1), 17β-estradiol (E2), estriol (E3), and 17α-ethynylestradiol (EE2), are calculated over the course of the 2018 water year along with the corresponding estrogenic potency the combined effluent possesses upon discharge. Average discharge concentrations for E1, E2, E3, and EE2 are 1.643 ng/L, 0.561 ng/L, 0.537 ng/L, and 0.0330 ng/L respectively. Combined estrogenic activity is calculated in estradiol equivalents (EEQs [ng/L]) and ranges from 18.699 EEQs to 31.388 EEQs with an average value of 25.236 EEQs. Results indicate that with the exception of the American Canyon and Las Gallinas WWTPs, all other WWTPs discharge at EEQ values greater than the 0.30 EEQ threshold associated with long-term exposure risk to aquatic organisms. This suggests that effluent discharge points into the SFE are likely candidates for being contributing sources of the sexual dysfunction observed in some open-water fish species in the estuary. The persistent exposure of organisms in the SFE to sub-lethal yet deleterious concentrations of estrogenic compounds suggests that additional attention and precaution should be paid to these increasingly prevalent and ubiquitous aquatic pollutants.</t>
  </si>
  <si>
    <t>estrogenic endocrine-disrupting chemical, Estradiol Equivalent, natural estrogen, wastewater treatment plant, effluent</t>
  </si>
  <si>
    <t>DeGeerR_2019-page1.pdf</t>
  </si>
  <si>
    <t>Alexa N. Frederick</t>
  </si>
  <si>
    <t>An Evaluation of Social, Ecological and Administrative Factors that Influence the Effectiveness of Wildlife Damages Compensation Programs</t>
  </si>
  <si>
    <t>This paper investigates the social, ecological, and administrative factors that can impact the implementation of compensation programs as a human-wildlife conflict management strategy in the United States. Compensation programs are currently the source of over $5 million dollars worth of conservation spending, so understanding how to make them effective is key to efficient spending of limited resources. A key finding to this study was that less than 75% of current compensation programs clearly identify goals and less than 50% state intentions to perform follow up studies. Moving forward, ensuring clear goals and outcomes will be an important aspect of compensation program planning and implementation. In terms of factors that influence program implementation, presence of a fundamental barrier, species being compensated for, and perception of wildlife conflict were the most important indicators. Future directions for this study include repeating a systematic review in another country with compensation programs and conducting surveys in regions with compensation programs to evaluate tolerance improvements.</t>
  </si>
  <si>
    <t>Human-wildlife conflict, systematic review, conflict mitigation strategies, United States program inventory</t>
  </si>
  <si>
    <t>FrederickA_2019-page1.pdf</t>
  </si>
  <si>
    <t>Michael A. Gallegos</t>
  </si>
  <si>
    <t>Habitat preference and distribution of the Northern California legless lizard (Anniella pulchra) in Eastern Contra Costa County</t>
  </si>
  <si>
    <t>Contra Costa County is the Northern most range of a California Department of Fish and Wildlife Special Species of Special Concern, the Northern California Legless Lizard (Anniella pulchra). Historically extensive habitat for this species was present in the Antioch Dune System which extended along the South bank of San Joaquin River for a distance of about 16 km from the towns of Antioch to Knightsen. Massive habitat destruction started in the late 1800s reducing this once prime legless habitat to a small fraction of the original dune system. For my senior thesis I decided to survey remaining parts of this and other areas of apparent suitable sandy habitat in Eastern Contra Costa County. My goal was to determine the current status of previously known populations in the region and if possible, find new populations. Using literature and museum records, field work was conducted between November 2018 and the end of April 2019. The primary method of surveys was the placement of cover boards that were placed in suitable sandy habitats and were checked at a later date. Lizards are now still very common at two previously known sites, the Antioch Dunes National Wildlife Refuge and the Silvery Legless Lizard Preserve. I compared present and past studies and found that possibly due to reduced predation pressure, incidences of tail loss and regeneration are amazingly lower now at the Antioch Dune site than they were almost 80 years ago.</t>
  </si>
  <si>
    <t>Anniella, Antioch dunes, conservation, population distribution, predation</t>
  </si>
  <si>
    <t>GallegosM_2019-page1.pdf</t>
  </si>
  <si>
    <t>Victoria M. Glynn</t>
  </si>
  <si>
    <t>Bird Health in California’s Central Coast: Using Immunological Parameters to Understand the Impact of Land Use and Life History on Avian Communities</t>
  </si>
  <si>
    <t>The Central Coast of California has implemented bare-ground buffers to deter the presence of food-borne pathogens in produce. Besides being ineffective, the destruction of natural habitat may also place avian communities at risk as they decrease critical resources for wildlife. To ascertain how rapid land use changes in the Central Coast are impacting surrounding biotic communities, I mist-netted birds on organic strawberry farms in Monterey and Santa Cruz counties during July and August 2018. I sampled passerine and near passerine birds as they are commonly used as indicators of environmental health. For each sampled bird, a blood smear was made and stained with Giemsa-Wright stain for the quantification of white blood cells. The ratio of two white blood cells, heterophils and lymphocytes, (H:L ratio) served as a proxy for bird health. Mixed-effects modelling revealed that song sparrow health slightly increased on farms with high proportions of agriculture; this trend was marginally significant at p = 0.08. High levels of reproductive readiness were also linked to improved song sparrow health, with this trend being statistically significant at p = 0.007. Foraging and habitat resources created by agriculturalists and fledging survivorship may be impacting bird health in the Central Coast. This preliminary work calls for a re-evaluation of human-wildlife relationships as agricultural spaces may be safeguarding avian communities. Providing farmers with incentives and resources to foment bird-friendly crop production may be critical in balancing wildlife and human concerns in rapidly changing agricultural regions.</t>
  </si>
  <si>
    <t>Passerine and near passerine birds, organic strawberry farms, H:L ratio, mixed-effects models, ArcGIS</t>
  </si>
  <si>
    <t>GlynnV_2019-page1.pdf</t>
  </si>
  <si>
    <t>Brice M. Hagan</t>
  </si>
  <si>
    <t>Mitigating conflict between Tule Elk conservation and Point Reyes ranching</t>
  </si>
  <si>
    <t>Point Reyes National Seashore in Marin County is home to a unique working landscape of historical family operated dairy and cattle ranches. However since the creation of free ranging tule elk herds, the elk have expanded onto pastoral lands. This is causing conflict with ranchers who operate under strict organic certifications. As cattle and elk compete for forage, the ranchers’ certification and key to business is under threat. Along with this elk damage fences, irrigation systems, and cause injury to cattle. The settlement of a contentious lawsuit that was brought forth against ranching has forced the National Park Service to update their General Management Plan and consider a range of alternatives from reducing ranching and the management of free ranging tule elk. This process has incorporated a public comment forum which was released to the public. From this forum, an instrumental approach to stakeholder analysis was completed which identified and categorized four key stakeholder groups. These groups were ranchers as “key players”, environmental groups as “context setters”, local business and regional government as “subjects”, and the general public as the “crowd”. From this stakeholder analysis emerged unforeseen congruencies across the groups. This supportiveness for ranching and management was then extended to look at four management alternatives. These were relocation, contraception, lethal control, and fencing. Examining previous management studies in Point Reyes National Seashore and linking them to the public comments revealed that fencing is the most feasible and amicable current option.</t>
  </si>
  <si>
    <t>Human wildlife conflict, stakeholder analysis, working landscape, Marin county, national seashore</t>
  </si>
  <si>
    <t>HaganB_2019-page1.pdf</t>
  </si>
  <si>
    <t>Maeve O. Hanafin</t>
  </si>
  <si>
    <t>Exploring the Relationship between Bark Beetle and Drought Induced Tree Mortality in the Sierra Nevada</t>
  </si>
  <si>
    <t>From 2012- 2015 CA experienced one of the worst droughts in the state’s history leaving a lasting imprint on California's forest health. When a tree is stressed, it puts all its energy into survival, impairing defense mechanisms against insects and pathogens. As a result, trees are left vulnerable to attack from outside forces, especially bark beetles. Studies attribute 86% of large tree mortality to insects and pathogens, crediting 40% specifically to bark beetles. To understand the dynamics between bark beetles and tree mortality in the Sierra Nevada after a period of prolonged drought, I analyzed tree mortality and bark beetle presence and variation for eight sites over the Sierra Nevada. I then tested predictor variables for their significance in predicting the presence of the western pine beetle and the fir engraver beetle. Out of eight sites analyzed, five showed spatial trends of bark beetle and tree mortality dynamics. In general, in sites with higher presence of bark beetle, an increased number of dead trees occurred. The highest prediction in the landscape for beetle presence and tree mortality occurred in Yosemite Pine Forest, with 79.3% beetle presence 44.2% mortality. The most reliable predictor variable for the western pine beetle in Yosemite National Park was basal area. Higher incidences of western pine beetle occurred in sites with higher basal area. In contrast, the strongest predictor of fir engraver beetle presence was tree density (trees per hectare). Fir engraver beetle population decreased as tree density increased.</t>
  </si>
  <si>
    <t>Ecosystem ecology, forest management, geospatial analysis, predictor and response variables.</t>
  </si>
  <si>
    <t>HanafinM_2019-page1.pdf</t>
  </si>
  <si>
    <t>Nika Hoffman</t>
  </si>
  <si>
    <t>Water Quality and Autonomous Surface Vessel Technology in the Ala Wai Canal</t>
  </si>
  <si>
    <t>Algal blooms are increasing in frequency in marine and freshwater ecosystems worldwide. Algal blooms can be detrimental to ecosystems as well as pose a public health risk to humans. The Ala Wai Canal, a drainage system that surrounds the tourist destination Waikiki Beach, has been contaminated by the harmful bacteria Vibrio vulnificus and sewage spills. Vibrio vulnificus has been shown to increase in growth and survival during algal blooms, and sewage spills can cause Waikiki Beach to close. Therefore, it is important to understand how water moves through and away from the canal. I examined data from February 2019 to determine the effects rainfall has on chlorophyll a and turbidity, and developed qualifications to determine the feasibility of deploying an autonomous surface vessel, specifically a Wave Glider, to aid in data collection and monitoring of this at-risk area. I found that rainfall led to two peaks occurring in both chlorophyll a and turbidity values, but found that chlorophyll a did not cause the peaks in turbidity to occur. I also found no distinguishable patterns between how large the peaks were, how long it took for the peaks to occur, and how much rain had fallen when the peaks occurred, which highlights the need for more advanced monitoring. I determined that a Wave Glider deployment is feasible if the vessel is properly monitored. A deployment could assist researchers and public health officials by providing data in real time and tracking variables of interest.</t>
  </si>
  <si>
    <t>chlorophyll a, turbidity, rainfall, harmful algal blooms, public health</t>
  </si>
  <si>
    <t>HoffmanN_2019-page1.pdf</t>
  </si>
  <si>
    <t>Ben Kopania</t>
  </si>
  <si>
    <t>A Comparison of Methods for Obtaining Aboveground Biomass Estimates Using Terrestrial LiDAR</t>
  </si>
  <si>
    <t>The terrestrial biosphere acts a critical sink for atmospheric carbon, but little is understood about the dynamics of this sink. In order to better understand how the terrestrial biosphere acts as a carbon sink, the biomass of ecosystems must be accurately measured over time. Allometric equations are currently used to make these estimations, but are prone to large inaccuracies. Terrestrial laser scanning provides a way of making much more accurate biomass estimates by calculating the volume of trees, but is very expensive. This study examines the difference in biomass estimates in a stand of Eucalyptus globulus trees from allometric and volumetric approaches and assesses the feasibility of making biomass estimates from terrestrial laser scanners using only free and open-source software. The difference between volumetric and allometric equations increased exponentially as a function of diameter at breast height. The two estimation methods produced a concordance correlation coefficient of 0.95 for the 4 smaller trees studied and 0.48 for the four larger trees studied. This study establishes that the production of biomass estimates from terrestrial laser scanners is possible using only free and open-source software, but methods must be streamlined to make this process more efficient.</t>
  </si>
  <si>
    <t>Laser scanning, Allometric equations, free and open source software, forest inventory, Eucalyptptus globulus</t>
  </si>
  <si>
    <t>KopaniaB_2019-page1.pdf</t>
  </si>
  <si>
    <t>Daye S. Lee</t>
  </si>
  <si>
    <t>Discovering Green Marketing Opportunities in Social Media For the South Korean Cosmetics Industry</t>
  </si>
  <si>
    <t>This paper aims to discover the potential to utilize social media as a green marketing platform for South Korean cosmetics industry. Through the methods of content analysis and surveys, the perception of South Korean consumers on green cosmetics advertisements on social media was measured. Results show that females born in 1990s and onwards respond the most to these advertisements. Skin benefits was the most important value associated with green cosmetics products, and organic ingredients was the most popular environmental component of concern. Advertisements emphasizing anti-animal testing resulted in most positive impressions, while those focusing on organic ingredients were the most effective in leading to purchase decisions. The work presented here has implications for future studies examining relationships of green marketing with social media and may contribute to expanding the currently lagging green consumerism in South Korea.</t>
  </si>
  <si>
    <t>green consumerism, environmentalism, organic ingredients, anti-animal testing, eco-packaging</t>
  </si>
  <si>
    <t>LeeD_2019-page1.pdf</t>
  </si>
  <si>
    <t>Yu Guan Leong</t>
  </si>
  <si>
    <t>Buried Alive? The Effect of Sediments on White Abalone Larvae Settlement</t>
  </si>
  <si>
    <t>Along the coast of California, the negative impacts of sediments input from the post-mining legacies of the Gold Rush era, agricultural runoffs, coastal development projects and erosions from the loss of ground cover have yet to capture the attention of scientists. Many studies have looked at the responses of corals and sea urchins in the presence of sediments. Yet, there are only a few that focused on abalones, moreover an endangered species, the white abalone (Haliotis sorenseni). For many abalone species, crustose coralline algae (CCA) play a major role in cueing the planktonic stage larvae into settling onto the substrate. When sedimentation occurs, it interrupts the abalone’s lifecycle by trapping larvae in sediments and also reducing the available crustose coralline algae (CCA) surface. In order to investigate the effect of sediment on white abalone larvae settlement, an experiment, using different thickness of silt and ground oyster shell treatment, was conducted. It was found that there was a significant decrease in larvae settlement rate when either types of sediment were present. Besides, many larvae were observed to be trapped in the thick silt treatment, whereas in the other sediment treatments, larvae were observed settling on the side of the culture wells and also on the sides of the CCA plate.</t>
  </si>
  <si>
    <t>Benthic, marine, substrate, captive breeding, silt</t>
  </si>
  <si>
    <t>LeongY_2019-page1.pdf</t>
  </si>
  <si>
    <t>Guozheng Li</t>
  </si>
  <si>
    <t>Evaluating Agricultural Land Suitability and Vegetable Production in East Bay Area</t>
  </si>
  <si>
    <t>Urbanization is growing globally. 68% of population will be living in the urban area in 30 years. As the result, residences will struggle with food security and limited job opportunity during the process of urbanization. In order to solve those problems, local government needs to balance up the development of economy, environment, and society at the same time. Urban agriculture can be used as a tool to resolve those problems, since it is able to provide job opportunity, stable food supply, and green space to the city. Geological information system, local demography data, USDA food consumption report are used to compute the agriculture suitable land and potential food production for the East Bay area. There is 10.0% of the land in East Bay is highly suitable for agriculture, 10.1% of land is moderately suitable for agriculture, 32.5% is poorly suitable for agriculture, 4.6% is barely suitable, and 42.8 % is unsuitable. If we use all the land except unsuitable area to perform intense level agriculture practice, it can produce 8475% times of current vegetable consumption. If only highly suitable area is used with sustainable level agriculture practice, it is able to produce 116% times of recommended vegetable consumption. Urban agriculture is able to supply the local vegetable need while mitigating the unemployment problem and greening the city. Stack holders at highly urbanized cities and cities under urbanization should consider incorporating urban agriculture as part of city system.</t>
  </si>
  <si>
    <t>Geological Information System, Analytical Hierarchy System, Suitability Analysis, Urban Agriculture, Food Security</t>
  </si>
  <si>
    <t>LiG_2019-page1.pdf</t>
  </si>
  <si>
    <t>Shuanger Li</t>
  </si>
  <si>
    <t>Ginger Invasion in Hawaii: Sampling Arthropod Assemblages through Metagenomics of Spider Gut Contents</t>
  </si>
  <si>
    <t>The Hawaiian Islands are home for many endemic flora and fauna cannot be found elsewhere. However, in recent years, ecosystems in the Hawaiian Islands are threatened by biological invasions. Hedychium gardnerianum, a ginger plant native to the India’s Himalaya regions, whose presence was first noted in Hawaii in 1954, and has modified the local ecosystems considerably since then. Arthropod communities are often affected by local vegetation, yet comparing the arthropod assemblages are difficult. In this study, I aim to investigate the impact of invasive ginger on native arthropod communities in Maui, HI, using gut content metagenomics with CO1 primer and a combination of 16S, 18S, 28S rDNA primers. CO1 primer successfully amplifies prey DNA from Tetragnathidae gut content, but for Philodromidae and Theridiidae, instead overwhelmingly amplifying predator DNA. I compared the gut content composition differences between spider of different sexes and collected from native versus invaded site. I detected overall gut content composition difference between Philodromidae collected from native and invaded sites; and in invaded site, more Philodromidae and Tetragnathidae preyed upon Pscoptera and more Philodromidae preyed upon Entomobrymorpha, and in native site, more Philodromidae preyed upon Hemiptera.</t>
  </si>
  <si>
    <t>Invasive species, gut content metagenomics, spider diet composition, parasite, tropical conservation biology</t>
  </si>
  <si>
    <t>LiS_2019-page1.pdf</t>
  </si>
  <si>
    <t>Le Lu</t>
  </si>
  <si>
    <t>Assessing Gross Primary Productivity of Cropland – an Index Perspective</t>
  </si>
  <si>
    <t>One critical tool used to monitor vegetation dynamics is the spectral vegetation index. Among many options, the Normalized Difference Vegetation Index (NDVI) has long been the most popular choice. However, numerous studies have suggested that NDVI becomes insensitive, or saturated, to growth of vegetation when biomass is dense. Here, with reflectance data collected in 2018 from an alfalfa and a corn field located in the Sacramento-San Joaquin River Delta, I examined the sensitivity of two alternatives: The Wide Dynamic Range Vegetation Index (WDRVI) and Enhanced Vegetation Index (EVI). I compared with sensitivity of each index to plant growth indicated by gross primary productivity (GPP). I found that WDRVI was more sensitive to growth once NDVI reached 0.4 in the corn site. For alfalfa, WDRVI was almost always at least as sensitive as NDVI throughout 2018. EVI, on the other hand, exhibited no improvements for alfalfa. Based on these results, WDRVI is a superior index because it does not become as saturated as NDVI at high biomass density. These findings are critical to further the use of vegetation index as a cost-effective way to estimate GPP of similar sites and even GPP on the global scale.</t>
  </si>
  <si>
    <t>vegetation index, alfalfa, corn, saturation, GPP, NDVI, WDRVI, EVI</t>
  </si>
  <si>
    <t>LuL_2019-page1.pdf</t>
  </si>
  <si>
    <t>Carter L. Ly</t>
  </si>
  <si>
    <t>Organic Coating of Biochar by Compost-Incubation</t>
  </si>
  <si>
    <t>I conducted a common garden experiment by growing golden nugget tomatoes at the Oxford Tract Greenhouses at the University of California, Berkeley in Berkeley, CA. I tested the viability of incubating biochar and compost in the presence of a molasses solution to facilitate organic coating formation on biochar. From my results, I concluded that co-incubation at moderate biochar/compost levels leads to organic coating formation. Further, biochar elemental composition changes from co-incubation. Correlation between compost percentage in my treatments reached statistical significance (P&lt;0.05) for the carbon to oxygen elemental ratio, potassium, and oxygen content. Although biological data reached statistical significance for tomato shoot height and number of leaves, the practical significance was limited, possibly to the limitations of my experimental design.</t>
  </si>
  <si>
    <t>pot trial, sem, eds, molasses, tomato, common garden experiment, co-composting</t>
  </si>
  <si>
    <t>LyC_2019-page1.pdf</t>
  </si>
  <si>
    <t>Fatima Mahmud</t>
  </si>
  <si>
    <t>Habitat Fragmentation Impacts on Primary Production of Seagrasses in the Central Red Sea</t>
  </si>
  <si>
    <t>The objective of this study is to determine if there is a significant difference in primary production between varying seagrass cover densities: bare sediment, high-density of seagrass, and low-density seagrass and to quantify it. To estimate and quantify the impacts of habitat fragmentation on seagrass ecosystems in the central Red Sea, I used primary production as a proxy. Primary production was quantified by day and night in-situ incubations that recorded oxygen fluxes using a sensor to estimate GPP, R and NPP. Moreover, water samples at the start and end of each incubation were taken to record DIC fluxes, which could also be used to determine GPP, R and NPP values. The trends in the oxygen flux data and the DIC flux data were compared to each other to determine accuracy. These values were also compared to estimates made in other scientific papers to assess the accuracy of values concerning the decrease in the carbon sequestration capabilities given current rates of global seagrass depletion. I expect that primary production will decrease within seagrass meadows as they shift in density from more vegetated substrate samples to unvegetated substrate samples. This decrease in primary productivity would also be apparent in decreased levels of organic carbon being created by primary producers and hence less nutrients available for consumers in subsequent trophic levels. The findings of this study will be important for management of coastal development by demonstrating the impact of habitat fragmentation on seagrass beds in the Red Sea.</t>
  </si>
  <si>
    <t>Oxygen flux, Dissolved Inorganic Carbon (DIC) flux, benthic incubation chambers, Net Primary Productivity (NPP), Gross Primary productivity (GPP), Respiration (R)</t>
  </si>
  <si>
    <t>MahmudF_2019-page1.pdf</t>
  </si>
  <si>
    <t>Hannah Marsh</t>
  </si>
  <si>
    <t>The Climate Change Mitigation Potential of Food Waste Compost Application to Grassland Soils</t>
  </si>
  <si>
    <t>To slow the harmful effects of global climate change, it is increasingly important to understand how to lower anthropogenic greenhouse gas emissions as well as remove CO2 from the atmosphere. One method to remove atmospheric carbon is to store it in soil. Soil carbon sequestration can be achieved through multiple approaches, but one particularly promising approach is through compost applications, including composting food waste, a large source of greenhouse gas emissions. However, few studies have tested the effects of food waste compost application to grassland soils. We used a controlled laboratory incubation experiment to test the response of soil greenhouse gas emissions to the application of food waste compost to grasslands soils. Additionally, we used the biogeochemical model DayCent to project the long-term changes in soil carbon stocks following the application of food waste compost to grassland soils, and tested the impact of future climate change by simulating the treatments under two climate warming scenarios. The 7-week incubation experiment showed that total weekly emissions were significantly higher in the compost treatment compared to the control (P &lt; 0.0001). Soil CO2 contributed 99% of the total cumulative emissions over the 7 weeks. We observed no significant change in CH4 and N2O emissions following the application of food waste compost, nor was there any significant changes in soil C in the incubation study. The model output predicted that total soil organic C would increase immediately following the application of food waste and persist for more than a decade. All three modeled soil carbon pools (slow, passive, and active) experienced a net gain in C under both climate warming scenarios. When compared to the emissions produced by the application of raw cow manure and green waste compost, food waste produced much lower emissions while still increasing soil C, suggesting a greater potential to mitigate climate change.</t>
  </si>
  <si>
    <t>California grasslands, carbon sequestration, DayCent modeling, Greenhouse gas emissions, soil respiration</t>
  </si>
  <si>
    <t>MarshH_2019-page1.pdf</t>
  </si>
  <si>
    <t>Ann B. McElvein</t>
  </si>
  <si>
    <t>Mapping Potential Carbon Emissions from Thawing Permafrost Soils in the Yukon-Kuskokwim Delta</t>
  </si>
  <si>
    <t>Permafrost across the Arctic and subarctic is thawing due to climate change. This study aims to better understand carbon emissions from permafrost thaw by producing models of carbon pools and carbon lability in the subarctic Yukon-Kuskokwim delta watershed. Permafrost contains cast amounts of carbon, around 1500 petagrams. I collected soil samples in-field, tested for carbon pools and lability, then mapped carbon pools and vulnerability over various land cover classes using supervised and unsupervised classification algorithms in Google Earth Engine. Classification algorithms revealed burned areas in the region have less carbon and are less labile (2-15 kg/m&amp;sup2; carbon pool, 0.8954-.9842 lability index) than unburned areas (20-30 kg/m&amp;sup2; carbon pool, 1.035-1.187 lability index), and elevated, dry areas have less carbon and are less labile (4-10 kg/m&amp;sup2; carbon pools and 0.9081-.9588 lability index) than low-lying, wet areas (25-30 kg/m&amp;sup2; carbon pool, 1.035-1.187 lability index). This investigation revealed a relationship between carbon lability and pools across the landscape, areas of high carbon lability have high carbon pools and areas of low carbon lability have low carbon pools. Additionally, this research produced models and workflows to investigate carbon emissions from subarctic regions, which will become increasingly relevant as Arctic regions continue warming and become increasingly similar to subarctic regions in permafrost thaw.</t>
  </si>
  <si>
    <t>Climate change, carbon lability, microbial emissions, remote sensing, classification algorithm</t>
  </si>
  <si>
    <t>McElveinA_2019-page1.pdf</t>
  </si>
  <si>
    <t>Nidhi Menon</t>
  </si>
  <si>
    <t>Food Expenditure and Household Welfare in India: MGNREGA Program Outcomes</t>
  </si>
  <si>
    <t>The Mahatma Gandhi National Rural Employment Guarantee Act (MGNREGA), enacted in 2005, is the largest public works program in the world. It provides employment to over 130 million Indians every year. Although this act increased rural household wages since its implementation, it is important to understand its effect on household welfare. I used monthly food expenditure and nutritional value data for over 400,000 households in Uttar Pradesh, India between 2006 and 2009 to understand how welfare had changed before and after the implementation of MGNREGA. I divided these households into three groups based on when the policy was implemented in their district (Phase I, Phase II, Phase III). Next, I analyzed the per capita food expenditure and nutritional adequacy ratio and aggregated them based on districts, and then Phases. Using Phase I households as my Treatment Group and Phase III households as my Control Group, I conducted a difference-in-difference (DID) estimation to understand the effect of MGNREGA on welfare. In 2006, household food expenditure in all Phases was approximately the same but by 2009, Phase III households spent about 35 percent more than Phase I households. The nutritional adequacy ratio decreased for all three Phases over time. MGNREGA had, on average, a positive effect on fat, energy, iron, beta-carotene and riboflavin intake in households but a negative effect on protein, calcium, thiamin, and ascorbic acid. MGNREGA had no effect on the average in niacin intake. These results could be largely due to food price and inflation, agricultural and non-agricultural wages, and allocation of districts into Phases. A better understanding of why these fluctuations occurred would provide justification on the effectiveness of MGNREGA on household welfare.</t>
  </si>
  <si>
    <t>Uttar Pradesh, Food Consumption, Food Expenditure, Nutritional Adequacy Ratio, Difference-in-Difference Estimation</t>
  </si>
  <si>
    <t>MenonN_2019-page1.pdf</t>
  </si>
  <si>
    <t>Neena Mohan</t>
  </si>
  <si>
    <t>Bioclimatic and Access Indicators of Investor Preferences for Agricultural Land Deals in Sub-Saharan Africa</t>
  </si>
  <si>
    <t>Large scale land acquisitions, also referred to as land grab deals, are a global phenomenon often associated with neoliberalism and globalization. Land deals conducted for agricultural purposes are often driven by climate change induced food insecurity and demand for biofuels. Sub-Saharan Africa has a long history of large scale agricultural land acquisitions by foreign entities. This region is often targeted due to a lack of legal protections for local community and indigenous groups and other historical sociopolitical and economic factors, and is legitimized by neocolonial discourse from major development organizations. While these elements of agricultural land deals have been explored thoroughly in the literature, there is very little information regarding the bioclimatic and access elements investors may consider when deciding where to buy land for agroexport purposes, and particularly a lack of quantitative research. This study creates a framework for exploring investor preferences of bioclimatic and access dimensions of agricultural land deals in Sub-Saharan Africa using geospatial and statistical methods. My results indicate that in a majority of tested countries, investors seemed to considered levels of mean annual precipitation, aridity, and access in land deal location. Within these parameters, investors preferred areas with higher levels of mean annual precipitation, lower aridity, and better access, but did not consider interannual variability for a majority of countries. Additionally, I found no correlation between aridity and access for a majority of countries. This information can be used to inform more targeted policy and intervention efforts to better safeguard these types of areas from land grabs. This method can also be applied to other relevant variables and be used to explore other impacted countries in the Global South to better understand patterns of investment in order to protect these areas.</t>
  </si>
  <si>
    <t>Geospatial, neoliberalism, globalization, climate change, land rights</t>
  </si>
  <si>
    <t>MohanN_2019-page1.pdf</t>
  </si>
  <si>
    <t>Erin M. Murphy</t>
  </si>
  <si>
    <t>Nutrient Cycling in Organic and Conventional Agricultural Systems with Winter Cover Crops</t>
  </si>
  <si>
    <t>Agricultural management practices influence nutrient cycling processes such as decomposition, N immobilization, and nutrient release. These are vital to soil quality and therefore agroecosystem productivity. The aim of this study was to investigate the impacts of different management practices combined with the use of winter cover crops (WCC) on soil quality variables in a Mediterranean environment. The soil sampling took place at Russell Ranch in Davis, CA, where 6 samples from an organic + wcc system and 6 from a conventional + wcc system were taken. The results show that soil dissolved nutrients C and N, pH, and moisture were all greater (p&lt;0.05) in the organic + wcc system than the conventional + wcc system. Furthermore, the WCC root and shoot yields were both greater in the organic + wcc over the conventional + wcc system. This implies that the fertilizer regime of the organic system created healthier soil over time, and in combination with cover crops, increased nutrient cycling more than the conventional system. Research like this is useful when determining the sustainability of agriculture, and importantly, soil, for the future.</t>
  </si>
  <si>
    <t>Microbial biomass, crop yields, long-term study, fertilizer regime, soil quality</t>
  </si>
  <si>
    <t>MurphyE_2019-page1.pdf</t>
  </si>
  <si>
    <t>Chellam E. Nayar</t>
  </si>
  <si>
    <t>Lineage Composition and Genetic Diversity of Batrachochytrium dendrobatidis in the California Bay Area</t>
  </si>
  <si>
    <t>Chytridiomycosis, caused by the fungal pathogen Batrachochytrium dendrobatidis (Bd), has caused the decline and extinction of over 500 species of amphibians. Different lineages of the fungus are found throughout the world due to the human-mediated transportation and trade of amphibians. While Bd-GPL – a hypervirulent lineage – is found across the globe, other lineages are regionally endemic. Newly introduced and rapidly spreading lineages typically have low genetic diversity because they do not have sufficient time to diversify. In contrast, lineages that have existed in an area for a long time exhibit more diversity due to a history of host-pathogen coevolution. In California, Bd-GPL is the only lineage known to occur, yet studies have not yet characterized the fungus’s genetic diversity in areas that exhibit a high flux of incoming amphibians. To discover the lineage composition and genetic diversity of Bd in the San Francisco Bay Area, I sequenced 240 genes from the Bd genome infecting 4 host species collected over 5 years, then constructed a maximum likelihood phylogeny showing which samples were most closely related. Among the samples that grouped with known Bd-GPL references, there was no association between Bd genetics and species or year, suggesting that the fungus is spreading quickly across the study area. Additionally, 3 samples grouped with known standards of the South American lineage Bd-Brazil, providing evidence that this lineage has now entered California. My study shows that human-mediated transportation has the power to bring diseases to new areas, allowing them to interact with communities in new ways.</t>
  </si>
  <si>
    <t>chytridiomycosis, disease ecology, invasive species, amphibians, emerging infectious diseases</t>
  </si>
  <si>
    <t>NayarC_2019-page1.pdf</t>
  </si>
  <si>
    <t>Kavya Niranjan</t>
  </si>
  <si>
    <t>As the Bee Flies: Predicting Native Bee Diversity in Brentwood, CA Using Landcover and Bee Life History</t>
  </si>
  <si>
    <t>In the face of honeybee decline and rising colony costs, attention has turned to native bee health and their role as pollinators in the agricultural industry. I compiled information on landcover suitability and bee life history for use in the InVEST Crop Pollination Model. I used the model to predict bee abundance in Brentwood, California and validated the prediction using field-collected abundance data. I then conducted a sensitivity analysis to evaluate the impact of uncertainty on the model. The model predicted bee abundance with high significance, and the sensitivity analysis highlighted two landcover types that were highly sensitive to changes in model parameters: grassland/herbaceous and cultivated crops. These are the two most dominant land classes in the landscape, and contain important resources for native bee health.</t>
  </si>
  <si>
    <t>native bee conservation, geospatial modeling, landuse change, life history, flight distance</t>
  </si>
  <si>
    <t>NiranjanK_2019-page1.pdf</t>
  </si>
  <si>
    <t>Sean P. O’Neil</t>
  </si>
  <si>
    <t>Colonizations and Chytridiomycosis: A Case Study of American Bullfrogs in Tilden Regional Park, Orinda, CA</t>
  </si>
  <si>
    <t>American bullfrogs have been introduced outside their native range in Europe, South America, and Asia, and North America. Not only are they aggressive predators, they are a carrier species for Batrachochytrium dendrobatidis (Bd). Bd is a fungal pathogen responsible for the large population declines of amphibian species worldwide. Although Bd has been present in California for nearly 50 years, few specific case studies on its transmission and localized impacts in the San Francisco Bay Area have been conducted. During my study, I counted a total of 9 bullfrogs over the course of my study in the Botanical Garden Pond, Junior Ranger Pond, and Environmental Education Center Ponds. Six Bullfrogs colonized the Environmental Education Center Ponds, 2 bullfrogs colonized the Junior Ranger Pond, and no bullfrogs colonized the Botanical Garden Pond. With the support of the East Bay Parks District staff, I conducted 4 separate collection events at each of the three sink populations along with Lake Anza and Wildcat Creek to sample for Bd presence. We took skin swabs of 11 bullfrogs, 14 Pacific Chorus Frogs, 5 Slender Salamanders, and 37 California Newts. Bd presence was highest among California Newts. The small, seasonal Junior Ranger Pond had the highest Bd prevalence of any source or sink location. The high concentration of Bd positive California Newts in a seasonal body of water should necessitate further study on their potential as a Bd transmission vector. Management efforts should aim to reduce the population of bullfrogs outside of their native range and to prevent existing invasive populations from spreading further.</t>
  </si>
  <si>
    <t>Lithobates catesbeianus, Batrachochytrium dendrobatidis, Invasive Species, Disease Ecology</t>
  </si>
  <si>
    <t>ONeilS_2019-page1.pdf</t>
  </si>
  <si>
    <t>Christopher J. Orner</t>
  </si>
  <si>
    <t>Occupancy of Riparian Birds in the Southern Central Valley: Applying Remote Sensing Methods to Understand Species Relationship with Vegetation</t>
  </si>
  <si>
    <t>Bird species are often used as indicator species to assess ecosystem health, so understanding how birds respond to their environment can inform how landscape managers can support their populations. Bird species are often strongly related to vegetation, but the specific relationships vary between species, across scales, and between regions. Occupancy modeling is a powerful tool to analysis these relationships over a landscape, and remote sensing methods can provide meaningful metrics across entire landscapes that fields surveys cannot provide. This paper explores what factors are important for modeling individual bird species occupancy and detectability, and how can both be used to inform management decisions. First, a vegetation classification was performed to assess (1) how easily can best practice remote sensing methods be applied to publicly available imagery, (2) what vegetation taxonomic granularity can publicly available imagery provide. Second, an occupancy was run for 21 species using both remotely sensed vegetation and field survey data to assess (1) what factors impact detectability, (2) what factors impact occupancy, and (3) how do these factors vary among species. Species’ detectability and occupancy were heterogeneously affected by nearly every variable. Observer was the most commonly shared variable for detectability (15 of 21), and vegetation was for occupancy (15 of 21). Most species occupancy was positively affected by vegetation, so landscape managers should broadly protect, restore, and support riparian vegetation to protect species.</t>
  </si>
  <si>
    <t>annual grasslands, riparian vegetation, remote sensing, vegetation classification, multi-year occupancy modeling, detection probability</t>
  </si>
  <si>
    <t>OrnerC_2019-page1.pdf</t>
  </si>
  <si>
    <t>Claudia Ruslim</t>
  </si>
  <si>
    <t>Evaluating the Spider Community of Sulawesi along Elevational Change and Forest Cover Loss</t>
  </si>
  <si>
    <t>Due to their consistent temperature and long-term isolation, tropical islands contain a majority of the global biodiversity. Within the last few decades, forests in Southeast Asia in particular has experienced some of the highest losses of forest cover caused by monoculture plantations. Past studies have linked anthropogenic disturbance and landscape changes to negatively impact the species community of islands, yet many have neglected to holistically implement how historical processes also play a role. As one of the world’s largest islands situated in between Indonesia and Australia, Sulawesi provides an ideal setting to study both past and modern changes. Sulawesi has undergone geological transformations due to past tectonic collisions, unifying land masses that held their own unique compilation of biota. Within the island, spiders can be used to study effects from elevational gradients and forest cover, which represent the two types of changes the island has experienced. Spiders are the fourth most diverse order of species and can be found in almost all kinds of environment. Using data from a sampling period, I quantified the land cover change in the two mountain sites of interest and identified how spiders compare across elevation and forest cover. I found that species diversity is lowest at the highest elevations and maximizes with higher forest cover when it is not affected by the harsh environment of higher elevations. As preluded by this finding, factors from differing types of modifications must be considered in future studies, especially in areas with major geological changes and high-intensity disturbance.</t>
  </si>
  <si>
    <t>geospatial analysis, evolutionary ecology, arthropods, island dynamics, land cover classification</t>
  </si>
  <si>
    <t>RuslimC_2019-page1.pdf</t>
  </si>
  <si>
    <t>Alicia M. J. Sadowski</t>
  </si>
  <si>
    <t>Short-term response to Hurricane Disturbance: Impacts of Hurricane Maria onLitter Debris in Puerto Rico</t>
  </si>
  <si>
    <t>Tropical wet forests play a critical role in the atmospheric carbon cycle (C) and are vulnerable due to climate change causing an increase in the frequency of hurricanes. In the Caribbean, hurricanes are important disturbances that structure tropical ecosystems by triggering regeneration cycles during forest recovery. In Puerto Rico, the Canopy Trimming Experiment (CTE), was established in 2002 with the Luquillo Long-Term Ecological Research Program (LTER) in the Luquillo Ecological Forest (LEF). The experiment was designed to investigate the impact of disturbance by separating the two principal interacting responses: canopy opening and litter deposition. In 2004 and 2014, CTE treatments were applied to simulate an increase in hurricane frequency. After Hurricane Maria, a Category 4 storm, hit landfall in the LEF in October 2017, litter was collected from all plots in November 2017, March 2018, June 2018, and October 2018. To determine how hurricane disturbance affects short-term litter-derived nutrients in a tropical forest, I compared patterns in nutrient mineralization and litter decomposition between hurricane manipulation and control plots. For nutrient concentration, time period, rather than disturbance legacy of treatment, was significant. Leaf and palm C concentrations was significant across the trim + debris and no trim + debris plot, indicating the relative importance of canopy opening. Decomposition occurred most rapidly in the first month after the hurricane. By the end of my study, 63.4% of necromass had been decomposed. These results indicate that short term biogeochemical response is driven by the severity and impact of the most recent disturbance.</t>
  </si>
  <si>
    <t>forest regeneration, canopy opening, litter deposition, microbial decomposition, mineralization</t>
  </si>
  <si>
    <t>SadowskiA_2019-page1.pdf</t>
  </si>
  <si>
    <t>Sinareth Sagn</t>
  </si>
  <si>
    <t>Regeneration After the Cambodian Genocide: Khmer Elders’ Perspectives on PTSD and Gardening</t>
  </si>
  <si>
    <t>Post-traumatic stress disorder (PTSD) is prevalent among war refugee populations. Intervention is imperative to help refugees who are still affected by physical and psychological traumas that result from living through wars. This study investigated Khmer elders’ experiences under the Khmer Rouge, perspectives on PTSD, and gardening as a possible form of intervention to alleviate PTSD-related experiences. I conducted semi-structured interviews of Khmer elders in Long Beach, CA who survived the Khmer Rouge regime. I found that women tend to self-report greater affects from PTSD symptoms, and participants believed that gardening helped with their mental health by offering many benefits like social interaction, reconnection with nature, organic sustenance, exercise etc. This study suggests the need for future research to address gardening as a valuable therapeutic intervention for communities who are dealing with PTSD.</t>
  </si>
  <si>
    <t>Gardening, Khmer Rouge, mental health, environmental health, refugees</t>
  </si>
  <si>
    <t>SagnS_2019-page1.pdf</t>
  </si>
  <si>
    <t>Giselle Serafin</t>
  </si>
  <si>
    <t>Bridging Connections: Environmental Justice Organizing in the Inland Empire</t>
  </si>
  <si>
    <t>Environmental Justice (EJ) framing must be at the forefront of city planning and community development. In disadvantaged areas with predominantly communities of color, it is especially important to address EJ concerns. There are currently EJ components entering policy and regulations, which lead to funding opportunities to address these issues such as the Transformative Climate Communities Grant. To understand how EJ is being addressed in a specific community in the Inland Empire, I interviewed three main groups of stakeholders in the City of Ontario. These stakeholders included city government workers, city planners, and members of the community organization Huerta Del Valle. Four themes arose throughout all of the interviews: the emphasis on community involvement, city government involvement, organizational limitations and navigating power relations. Within these themes, the stakeholders noted key challenges in communicating and creating change, which include majority Spanish speaking communities, low- income neighbourhoods, economic development, food deserts, private vs public land, and low- education attainment. In addressing these barriers and injustices in general, I found that local city governments have a lot of power and influence over the framing of environmental justice in their city. They can either support these endeavours directly funding community organizers as seen in the city of Ontario, or prioritize economic development and other issues, which is the more common outcome especially of smaller more conservative cities.</t>
  </si>
  <si>
    <t>city planning, Ontario California, community voice, power structures, organizing</t>
  </si>
  <si>
    <t>SerafinG_2019-page1.pdf</t>
  </si>
  <si>
    <t>Roxanne M. Shiu</t>
  </si>
  <si>
    <t>Perceptions and Uses of Ford GoBikes by U.C. Berkeley Students</t>
  </si>
  <si>
    <t>Community perspectives are invaluable when it comes to city planning. As global environmental stressors are threatening resources and shared commons, inhabitable space will reduce and city planners will have to start implementing more sustainable practices. Therefore, city planners and government officials should enlist the help of residents when introducing sustainable projects. Ford GoBikes were installed in five Bay Area cities with little to no community consent. This bike-sharing program had the goals of creating a healthier social and physical environment by encouraging bicycling for exercise, as well as reducing carbon emissions traditional fossil fuel burning vehicles emit. The distribution of docked Ford GoBikes in Berkeley aims to cater to the college town’s permanent residents and student body population. Being a college town, the population of Berkeley changes by the season, and therefore affects the perceptions and uses of the Ford GoBikes as new residents move in and old residents leave. Now that the Ford GoBikes are established, however, their impact on the town is well known. In this study a survey was distributed to the undergraduate population of U.C. Berkeley to discover the true perceptions and use practices of the Ford GoBikes. It was discovered that there are no extreme opinions about the Ford GoBikes, but both the users and nonusers have recommendations for improvement based on impressions alone. Other college towns with a high population of students should use this method of student consultation to understand the wants and needs of the community they are servicing.</t>
  </si>
  <si>
    <t>Bike-share programs, city planning, environmental values, Likert scale survey analysis, active transportation</t>
  </si>
  <si>
    <t>ShiuR_2019-page1.pdf</t>
  </si>
  <si>
    <t>Scott F. Silva</t>
  </si>
  <si>
    <t>Optimizing UC Berkeley's Plastics Recycling Facility</t>
  </si>
  <si>
    <t>Plastic pollution is becoming a major environmental concern due to inadequate handling and disposal procedures associated with the end-life of plastic material. As recyclables have become an international commodity, with many of the exports going to China and East Asia, many negative social impacts are associated with this recycling industry. Local, circular economies with identified end-life uses for plastic materials must be established domestically in order to sustain the plastic materials economy. UC Berkeley students have created a recycling research facility with the assistance of staff and faculty from multiple campus departments. This facility will process all waste within the facility grounds, an innovative approach to waste materials management. In this study, I perform a systems analysis of the UC Berkeley Plastic’s Recycling Facility Project, identifying the relative economic successes and stakeholder benefits associated with this program. Using optimization to evaluate economic gain, I identified that a positive revenue (considering variable production costs) could be attained, considering waste audit data and total work hours available. The optimal solution for handling 121.4 tons of recycling waste generated in 2018 at UC Berkeley was to recycle all waste into circular economy projects, rather than landfill. I conducted interviews with key stakeholders, identifying the many non-economic benefits of the project, such as research connections between staff and students, an interdisciplinary approach to sustainability, and innovative materials management protocols. This system analysis serves as a model for domestic waste management operations, with many economic and social benefits associated from the establishment of a closed-loop, local, circular economy-focused plastics recycling system.</t>
  </si>
  <si>
    <t>Waste management, optimization, waste systems analysis, materials management, circular economy</t>
  </si>
  <si>
    <t>SilvaS_2019-page1.pdf</t>
  </si>
  <si>
    <t>Hans W. Singh</t>
  </si>
  <si>
    <t>A Comparison of Winter and Summer Microbial Culture Libraries from a High-elevation Mountainous Soil Ecosystem</t>
  </si>
  <si>
    <t>Microbes play a key role in regulating the flow of nutrients through high-elevation, mountainous ecosystems. Although there is a well-established microbial biomass crash along the winter-spring transition period in mountainous ecosystems, the extent to which this is coupled to the plant growing period is still being determined – especially in the face of climate change acceleration. Model isolates can be used to characterize the pre-snowmelt and post-snowmelt soil communities and analyze how they differ physiologically to determine the potential impacts of climate change on high-elevation systems. In this study, I examined what microbial isolates could be cultured from the winter and summer montane soil communities under various growth parameters. In all, 423 microbial isolates were cultured and saved as glycerol stocks, with 363 appearing to be bacterial and 60 fungal. Of these, a representative subset of 87 bacterial isolates was chosen for sequencing and physiological assays. Summer isolates showed slightly greater diversity and appeared significantly quicker on plates than winter isolates. The nutrient levels in the media and the temperatures the isolates were grown at did not change the taxa that could be cultured, but the presence of Streptomycin was key in generating Proteobacterial isolates. In all, Actinobacteria was the most commonly phyla seen of those sequenced (57 isolates), while Proteobacteria (21 isolates), Bacteriodetes (8 isolates) and Firmicutes (1 isolate) were also seen. Isolates saved as glycerol stocks can be used in further laboratory-controlled experiments to simulate the effects of various growth conditions on select high-elevation soil microbes.</t>
  </si>
  <si>
    <t>Microbial diversity, culture-dependent, isolates, winter-spring transition, montane, optimal growth conditions</t>
  </si>
  <si>
    <t>SinghH_2019-page1.pdf</t>
  </si>
  <si>
    <t>Shuhan Song</t>
  </si>
  <si>
    <t>Assessing the Impact of Climate and Snowpack on the Distribution of Amphibian Species in Sierra Nevada</t>
  </si>
  <si>
    <t>Amphibian biodiversity decline is a severe global problem. With 22 out of 69 species at conservation risks, climate change is a key environmental factor for the decline in California. Snowpack is closely related to the life history of amphibians but its impact on species range remains unknown. To model current and future species distribution of amphibians in Sierra Nevada (SN) using Maxent, I assembled species occurrence data of 10 species from the Museum of Vertebrate Zoology, bioclimatic data from WorldClim, and snowpack data from Cal-Adapt. I evaluated the model performance and projected future species range in 2050 and 2070 under the climate change scenarios of RCP4.5 and RCP8.5. Overall, the model fitted strongly for 8 species and computed high model contributions from average snow water equivalence, precipitation seasonality, mean diurnal temperature range, and annual precipitation. Projections gave 1 species maintaining, 2 species expanding, and 7 species losing their ranges, including 2 species shrunk inconsistently under the four future scenarios. Comparing the two climate change scenarios with different limiting novel predictors and values, amphibians in general lost larger suitable habitat range under RCP8.5. Specifically, Hydromantes platycephalus would bear the highest risk of extinction even under RCP4.5 in 2050 so that requires immediate conservation and research attention. I concluded snowpack as an important environmental predictor in future studies of amphibian distribution, high-elevation endemic species and species of Plethodontidae as the most susceptible groups to climate change, and RCP4.5 being more bearable than RCP8.5 for amphibians in SN.</t>
  </si>
  <si>
    <t>climate change, Maxent, Plethondontidae, high-elevation endemic species, RCP</t>
  </si>
  <si>
    <t>SongS_2019-page1.pdf</t>
  </si>
  <si>
    <t>Cindy Valdivia</t>
  </si>
  <si>
    <t>Assessing the Importance and Accessibility of Culturally Appropriate Food Among Undergraduate Students at UC Berkeley</t>
  </si>
  <si>
    <t>Culturally appropriate food (CAF), also known as culturally acceptable and culturally sensitive food, is the core food or cuisine of a culture, often eaten regularly and with gusto. Research on CAF as well as its role in food justice and nutrition are lacking. Therefore, CAF presents a topic of study worth investigating, especially on how it impacts people. In order to research the significance and accessibility of CAF, I surveyed students enrolled in ESPM 50AC, Introduction to Cultural and National Resource Management of UC Berkeley during the Fall 2018 and Spring 2019 semesters. Evidently, 76% of students surveyed find their CAF important. Most students do not face critical challenges when obtaining their CAF, although some students have noted obstacles such as time and distance. Very few cultural groups, such as students who identify as Filipinos and Brazilians, face significant barriers in accessing their CAF due to the absence of their cultural food in Berkeley. Moreover, students voiced their reasons as to why CAF is significant, which revealed themes of comfort, family, and home, as well as other themes relating to heritage. CAF has proven to be important, and the reasons for its significance is enough to argue in favor of CAF and its role in helping students, especially those who are far from home.</t>
  </si>
  <si>
    <t>Food environment, culture, identity, heritage, values</t>
  </si>
  <si>
    <t>ValdiviaC_2019-page1.pdf</t>
  </si>
  <si>
    <t>Isaac W. Vendig</t>
  </si>
  <si>
    <t>Effects of No-Till and Daikon Winter Crops on Surface Soil Structure and Hydrology</t>
  </si>
  <si>
    <t>With rising awareness of the detrimental effects of long-term tillage on agricultural soils, interest in alternative management techniques such as no-till is on the rise. Alongside this is an increased awareness of the benefits to soil provided by winter cover crops. The Daikon radish has been proposed as a winter crop to break up soil compaction and alter infiltration rates, but currently lacks adequate research. Many previous studies have sought to compare soil physical structure and hydrology of no-till soils with conventionally tilled soils but have often failed to account for the dynamic nature of a conventionally tilled soil. The goal of this study is three-fold: first, to compare the soil structure and water retention properties of a no-till soil with those of a conventionally tilled soil. Second, to assess the impact of varying the sampling date of a tilled soil with respect to the most recent tillage event, and lastly to assess the impact of Daikon radish winter cropping on surface soil structure and hydrology. The results of this study indicate that substituting a “recently disturbed” tilled soil for a “settled” tilled soil in a no-till comparison is most likely to produce substantially different results in macroporosity comparisons whereas the same substitution plays a minor or insignificant role in plant available water and microporosity comparisons. The use of a Daikon cover crop with no-till resulted in a significantly reduced pore volume in the 7.5 to 0.75 micron diameter region, possibly hinting at a deleterious effect of Daikon cover crop usage in the top 5 cm of no-till soil.</t>
  </si>
  <si>
    <t>Macroporosity, microporosity, plant available water, tillage, long term experiment</t>
  </si>
  <si>
    <t>VendigI_2019-page1.pdf</t>
  </si>
  <si>
    <t>Lisa Wu</t>
  </si>
  <si>
    <t>Spatial and Temporal Variation of Water Deficits as a Result of Virtual Water Trade - Focus on Soy Bean</t>
  </si>
  <si>
    <t>Agriculture is the largest source of fresh water use in the world. In fact, many agricultural practice around the world uses water unsustainably, leading to surface and ground water depletion. International trade, one of the main drivers for agricultural production, also plays a role in causing water depletion. My study focuses on relationship between the international soy bean trade and water stress. I did that by calculating the unsustainably used water – defined as “water deficit (WD)”- embedded in the amount of soy beans exchanged between countries with available data from 2000 to 2016. By analyzing the spatial and temporal patterns of water deficit I found that countries that export greatest amounts of water deficit are United States, China, Spain, Argentina and Romania; countries that import the greatest amount of water deficits are Cyprus, Cuba, Azerbaijan, Costa Rica and Denmark. My results can serve as a reference for future researches on water deficit exchange among countries and for creating trade policies in response to water stress.</t>
  </si>
  <si>
    <t>Virtual water, international trade, soybean, water stress, water deficits</t>
  </si>
  <si>
    <t>WuL_2019-page1.pdf</t>
  </si>
  <si>
    <t>Yujing Wu</t>
  </si>
  <si>
    <t>The Impacts of Urbanization on Birds in the San Francisco East Bay</t>
  </si>
  <si>
    <t>Around the globe, urbanization has changed wildlife habitats and affected species in a variety of ways. Few previous studies have explored the impacts of urbanization on avian communities along the coastlines. In this study, I focus on the urbanization gradient along the San Francisco East Bay and explore the relationships between land cover variables and the avian community. Specifically, my study aims to answer two questions: (1) how does the amount of living vegetation affect the abundance and species richness of birds across the urbanization gradient at San Francisco East Bay? and (2) how does the percentage of impervious surface affect the birds across this urbanization gradient? To answer these questions, I used remote sensing data and surveyed birds at three study sites. A linear mixed-effect model failed to show any significant impacts of the amount of living vegetation (p-value = 0.4368) and impervious surface (p-value = 0.9046) on the bird species richness. It also failed to show any significant impacts of the amount of living vegetation (p-value = 0.3995) and impervious surface (p-value = 0.3928) on the bird abundance. However, further analyses using non-metric multidimensional scaling did reveal the differences among the communities at the three study sites at the species level. Overall, this study provided important information in terms of the spatial and temporal scale of studies on this subject. It also revealed certain limitations of collecting data with point counts and indicated the possibility of using other datasets in addition to point count data in future studies.</t>
  </si>
  <si>
    <t>Wildlife ecology, land cover, landscape ecology, species richness, abundance</t>
  </si>
  <si>
    <t>WuY_2019-page1.pdf</t>
  </si>
  <si>
    <t>Kumi Yanagihara</t>
  </si>
  <si>
    <t>AP Environmental Science Student Perspectives on Environmental Education</t>
  </si>
  <si>
    <t>As anthropogenic climate change progresses, and human activities degrade and deplete our natural resources, we are slowly approaching a “point of no return.” Consequences of climate change and environmental damage will affect all life, and many species, including humans, are feeling its effects already. Because of this, it is getting increasingly important for students to learn about the environment, and how humans play a role in its destruction. Environmental education is not widespread in public education, but it is occasionally offered in high schools via the College Board’s Advanced Placement Environmental Science (APES) program. By surveying past APES students on their experience of the course, as well as its effects on them, I aimed to get an understanding of how APES is taught and whether it is effective in instilling urgency with optimism regarding the future of our environment. As the current and next generation of students will be the ones who need to solve environmental problems, giving them a strong foundation of environmental education is going to be necessary to ensure that they, first, know that the problems exist, and subsequently, are given the tools with which they can solve these problems.</t>
  </si>
  <si>
    <t>environmental education, Advanced Placement, pedagogy, environmental perspectives</t>
  </si>
  <si>
    <t>YanagiharaK_2019-page1.pdf</t>
  </si>
  <si>
    <t>Emily Yan</t>
  </si>
  <si>
    <t>Green Business or Greenwashing? Consumer Valuation of Green Business Certifications</t>
  </si>
  <si>
    <t>Rising interest in corporate social responsibility in the mid-1900s has led to widespread adoption of green certifications. While research has been conducted on how consumers react to green building, fair trade, and other types of certifications, there is a lack of knowledge on consumers and green business certifications. To motivate businesses to continue to seek green business certifications, it is imperative to understand how consumers support and value these certifications. To better understand consumer valuation, I distributed a survey amongst UC Berkeley students that measured consumer environmental value scores, consumer value of green business certifications through willingness to travel (WTT), and the effect of information on consumer values. I found that consumers were willing to travel further for certified green businesses and, on average, were willing to travel further with the presence of information about the certification. I also found that the information treatment and environmental score, a score indicating a consumer’s level of concern for the environment, had a positive effect on consumer WTT. On the other hand, demographic factors like age and income had no effect on consumer WTT. Quantifying consumer support and value for certified green businesses will help incentivize businesses to get certified, implement sustainable solutions into their business models and supply chains, and ultimately combat global climate change and environmental degradation.</t>
  </si>
  <si>
    <t>Corporate social responsibility, green certifications, survey, willingness to travel, information treatment</t>
  </si>
  <si>
    <t>YanE_2019-page1.pdf</t>
  </si>
  <si>
    <t>Katelyn A. Yu</t>
  </si>
  <si>
    <t>Water Use Efficiency of California Evergreen Species from OCO-2 Satellite Data</t>
  </si>
  <si>
    <t>Forest evapotranspiration has the potential to affect climate and forests in other regions through “ecoclimate teleconnections.” Climate models do not take into account species differences in water use efficiency (WUE), and research is currently conducted through time and labor-intensive field studies. This study attempts a unique method of detecting species differences in WUE using a combination of satellite data from the Orbiting Carbon Observatory-2 dataset and tree survey data from the Forest Inventory Analysis dataset. Only 13% of FIA data had overlapping summer satellite data. The study sites were three 0.6 x 0.6 degree forested areas in Northern California dominated by either Ponderosa Pine, Douglas Fir, or White Fir. A transpiration index was calculated for each major species to determine which of the species would have a non-negligible effect on atmospheric concentrations. The area dominated by Douglas Firs exhibited a very narrow unimodal distribution of low WUE index values, but there was a much wider distribution in the other two areas where Ponderosa Pine had a relatively large transpiration index. Because Ponderosa Pine is suspected to have a higher WUE, there is a possibility that this difference in graphs could be a visualization of the effects of species differences in WUE. Although not definitive, this study has provided a first step in revealing how we should approach quantifying species differences in WUE from space, which could guide climate change mitigation efforts and improve predictive climate models in the future.</t>
  </si>
  <si>
    <t>remote sensing, climate, evapotranspiration, species differences, water vapor</t>
  </si>
  <si>
    <t>YuK_2019-page1.pdf</t>
  </si>
  <si>
    <t>Haolan Zhou</t>
  </si>
  <si>
    <t>The Future of Hydropower in Sichuan Province, China: High-voltage Transmission Line Extension and Hydropower Installed Capacity</t>
  </si>
  <si>
    <t>Currently, the increasing hydropower installed capacity in Sichuan exceeds the provincial demand for electricity, and many hydropower plants decrease their operating hours to prevent the grid system from being overloaded. Lower operating hours decreases profits and could lower investor interest in new hydropower plant construction in Sichuan. However, with the installation of high-voltage (500 Kv) power transmission lines, more hydroelectricity can be transmitted from Sichuan to other provinces, which promotes the development of the hydropower industry. In this research paper, I determine the numerical relationship between the length of high-voltage power transmission line and hydropower installed capacity in Sichuan. I collected four sets of data, including the hydropower installed capacity, the annual amount of hydroelectricity, exported hydroelectricity, and the length of high-voltage transmission line from 2009 to 2016 in Sichuan Statistical Yearbooks. I found the exported hydroelectricity and length of the high-voltage transmission line was positively correlated, and the slope of the best fit line was 0.0163. Additionally, the annual hydroelectricity and hydropower installed capacity were positively correlated, and the slope of the best fit line was 0.228. Through those two equations, I estimated the increasing of hydropower installed capacity in relation to the extension of the high-voltage transmission line in 2020. This research paper can serve as a model for analyzing the effects of extending the high-voltage transmission line on the development of hydropower in other regions.</t>
  </si>
  <si>
    <t>Sichuan, oversupplied electricity, exported hydroelectricity, length of high-voltage transmission line, linearity</t>
  </si>
  <si>
    <t>ZhouHL_2019-page1.pdf</t>
  </si>
  <si>
    <t>Madeleine E. Zuercher</t>
  </si>
  <si>
    <t>Factors Predicting Bat Detection, Occupancy and Activity across Iowa Landscapes</t>
  </si>
  <si>
    <t>Bats provide crucial ecosystem services to the midwestern United States. However, many populations are in decline as a result of climate change, habitat fragmentation, wind turbine fatalities, and White-nose syndrome. To protect habitats in an effort to preserve bat species populations, details about their preferred habitat need to be determined. Nine bat species are native to Dubuque County, Iowa, though their current activity in the county is unknown. I set up acoustic detectors at twenty-two sites in the county. Acoustic detectors at each site recorded bat activity for four nights throughout the summer of 2018. I also recorded landscape and weather covariates. Reliable occupancy and detection models were produced for four bat species: Eptesicus fuscus, Lasiurus borealis, Myotis lucifugus, and Perimyotis subflavus. The models revealed how bat presence varied over the landscape and how bat detection varied with nightly covariates. Regressions on bat species activity data revealed that activity of seven species was strongly correlated to at least one landscape characteristic. Land cover variables, including urban, forest, and agricultural cover, were common covariates. These predictive factors were generally related to bat species life history and ecology. These revealed habitat preferences can guide management strategies for species vulnerable to population declines in the midwestern United States. Over 400 calls from the Federally Endangered species Myotis sodalis were detected in the county, indicating the urgency for proactive management and further study to document the species in this county.</t>
  </si>
  <si>
    <t>Vespertilionidae, presence, modeling, wildlife management, midwestern United States</t>
  </si>
  <si>
    <t>ZuercherM_2019-page1.pdf</t>
  </si>
  <si>
    <t>Daniel J. Ahrens</t>
  </si>
  <si>
    <t>What is ‘Clean’ Water? Sovereignty under the Clean Water Act’s Treatment as a State Program</t>
  </si>
  <si>
    <t>Recent water quality issues for tribal waters, such as the Gold King Mine Spill or the Dakota Access Pipeline, posit that tribal sovereignty is as important a strategy in protecting water quality as other public health policies. The United States Environmental Protection Agency delegates some water quality management authority to tribes under the authority of the Clean Water Act’s Treatment As a State program (TAS). Under this program, tribes can develop their own Water Quality Standards for the purposes of the National Pollution Discharge Elimination System. In order to evaluate the effectiveness of this program at advancing the goal of tribal sovereignty, I analyzed toxins regulations for the 44 tribes that have promulgated standards under this program. I found that tribes were meeting the requirements of federal delegation and developing unique standards that exceed those requirements. Additionally, tribal regulation showed dissimilarity, suggesting independence from state and federal regulatory structures. Finally, tribes are using multiple strategies outside numeric standards to pursue their water quality goals. These findings suggest that not only is TAS a program that can advance tribal sovereignty, it is a space where tribes are negotiating frameworks of water quality management.</t>
  </si>
  <si>
    <t>Water quality, Multi-level governance, cultural use, ceremonial use, Indigenous knowledge</t>
  </si>
  <si>
    <t>AhrensD_2018-page1.pdf</t>
  </si>
  <si>
    <t>https://www.ocf.berkeley.edu/~pkmendez/envsci/projects/2018final/</t>
  </si>
  <si>
    <t>Christina C. Bitten</t>
  </si>
  <si>
    <t>Perceptions of and Solutions to Inclusivity, Privilege, Wealth, and Whiteness in University Campus Gardens: Case study of the UC Berkeley Student Organic Garden (SOGA)</t>
  </si>
  <si>
    <t>The alternative food movement and, in particular, urban agriculture is often praised for its ability to empower and educate, yet the critique of the movement’s privilege position and lack of inclusivity, particularly to low income individuals and people of color, has become increasingly pervasive. To understand if and how these ideas of privilege and inclusivity were perceived at UC Berkeley’s Student Organic Garden Association (SOGA), I created and distributed a voluntary online survey that collected over 500 responses. The results exemplify the variety of opinions, ranging from strong feelings of absolute inclusivity to explicit statements describing a lack of inclusivity and representation. The ideas presented most in favor of inclusion include that the garden is a kind, welcoming space with a diverse population of students who hold both diverse and similar passions. Ideas presented most in negation of inclusion include the over-representation of Caucasians in the garden space, the under-representation of students of color in leadership positions in the organization, and issues with physical access and the ability to spend free time volunteering in the garden. After isolating certain identifiers such as financial situation, gender, race and ethnicity, and familiarity of the garden space, a number of significant trends were found. This report provides a summary of the survey results and a discussion of the findings and challenges that confront SOGA in improving its feeling of inclusivity in the future.</t>
  </si>
  <si>
    <t>urban agriculture, food justice, inclusivity, intersectionality, identity-driven perceptions</t>
  </si>
  <si>
    <t>BittenC_2018-page1.pdf</t>
  </si>
  <si>
    <t>Sara C. Brown</t>
  </si>
  <si>
    <t>Impact of Household Behavior and Environmental Factors on the Presence of Pathogenic E. coli in Rural Bangladesh</t>
  </si>
  <si>
    <t>Little is known about the patterns of fecal contamination in rural Bangladeshi households, specifically transmission pathways of pathogenic Escherichia coli. By understanding these disease transmission patterns, more effective sanitation intervention can be introduced to relieve the diarrheal disease burden of these communities. We analyzed soil (N=749), stored water (N=732), mother hand (N=734), and children hand samples (N=372) collected from approximately 720 households in the central floodplain of rural Bangladesh for the presence of five different pathogenic E. coli gene types. Pathogenic E. coli was highly prevalent in all sample types: 59% of soil samples, 32% of children hands, 21% of mother hands, and 37% of stored water samples tested positive for at least one gene type of pathogenic E. coli. There were statistically significant associations between all combinations of sample types for differing pathogenic E. coli gene types, the strongest being between mother hands and children hands (X^2 = 11.5; p &lt; 0.001). Pathogenic E. coli of animal origin were present in every statistically significant pathway except mother hands and stored water, suggesting domestic animal presence plays a large role in disease transmission in rural Bangladesh. There were no strong similarities in trends between temperature and precipitation and the presence of pathogenic E. coli, and soil moisture content was only weakly informative. Soil, animal presence, and child behavior are key in understanding the patterns of pathogenic E. coli transmission within households of rural Bangladesh. Future modeling these transmission pathways will allow us to better understand the directionality of these findings.</t>
  </si>
  <si>
    <t>Domestic fecal contamination, diarrheal disease, exposure factors, virulence genes, enteric bacteria</t>
  </si>
  <si>
    <t>BrownS_2018-page1.pdf</t>
  </si>
  <si>
    <t>Lewis G. Campbell</t>
  </si>
  <si>
    <t>Investigating Short-term Stem Circumference Fluctuations in Coast Redwood (Sequoia sempervirens) on Jackson Demonstration State Forest</t>
  </si>
  <si>
    <t>Many trees species have been found to have periods of temporary, reversible shrinkage in diameter, but this phenomenon has not been studied in the unique coastal climate of California. As California undergoes a changing climate, it becomes increasingly important to study growth processes such as these. In this study I use dendrometer band data to look at growth patterns in S. sempervirens in Mendocino County, CA and correlate them with vapor pressure deficit levels. I examine specifically the periods of shrinkage in circumference and compare it to annual growth as well as tree size. I found a significant negative correlation between VPD and stem circumference changes in three out of four plots, as well as in all trees combined. Maximum shrinkage magnitudes ranged from 0.243% to 0.389% of tree size across plots and averaged between 18% and 24% of annual tree growth, increasing with distance from the coast. I found potential for isolating the effect of the outer bark on these reversible fluctuations, but my results were inconclusive due to lack of data. The large shrinkage events suggest that they need to be accounted for when measuring annual growth in S. sempervirens, and the VPD correlation suggests that we may be able to use VPD levels to predict shrinkage events and periods of slow growth.</t>
  </si>
  <si>
    <t>shrinkage, vapor pressure deficit, bark, reversible circumference change, fog</t>
  </si>
  <si>
    <t>CampbellL_2018-page1.pdf</t>
  </si>
  <si>
    <t>Andrew Capistrano</t>
  </si>
  <si>
    <t>Tracking the Vegetative Compositional Changes 4 Years After the Rim Fire in Yosemite National Park</t>
  </si>
  <si>
    <t>The Rim Fire burned through 257,314 acres of the Stanisluas National Forest and Yosemite National Park, California from August 15 to October 23, 2013. In 2017, I measured total plant canopy cover, plant species richness and plant composition of areas of high and low burn sites. The total understory plant canopy cover was significantly higher in areas of high severity (p-value: 0.000278). Overall, there was high richness of non-native forb and graminoids species at higher severity sites but the cover was unexpectedly low at &lt;3% across all severities. There were also no significant differences in exotic forb and graminoid cover between high and low burn severities sites. Areas of high severity burns did have significantly higher shrub cover compared to low severity burn sites (p-value: 0.00000343). Indicator species analysis showed the indicators of high severity sites were deerbrush (Ceanothus integerrimus) and cheatgrass (Bromus tectorum). In addition, NMDS analysis similarly identified deerbrush, whitethorn, cheatgrass and rat-tail as the vegetative differences between the high severity burned sites and low severity burned sites. Although shrub cover increases in high severity sites, any long-term impacts of high severity fires on the plant community requires continued monitoring of the sites.</t>
  </si>
  <si>
    <t>Fire Regime, high-severity fire, community structure, cover by life form, indicator species analysis</t>
  </si>
  <si>
    <t>CapistranoA_2018-page1.pdf</t>
  </si>
  <si>
    <t>Junrun Chen</t>
  </si>
  <si>
    <t>Cuticular Hydrocarbon Melting Temperatures and Quantity of Linepithema humile in California</t>
  </si>
  <si>
    <t>Argentine ants (Linepithema humile) are invasive ant species to California. Argentine ants are so successful in competing native ant species and extending their habitat ranges that they spread their footprints across California. Argentine ants experience different levels of desiccation stress in their habitats. The result of desiccation assay conducted by the Tsutsui Lab at UC Berkeley indicated that Argentine ants from different colonies across California have different desiccation resistance. To cope with various desiccation stress, Argentine ants alter physical property and composition of Cuticular hydrocarbons (CHCs). CHCs are functioned as a layer of desiccation barrier for Argentine ants. Yet, how Argentine ants manipulate CHCs to resist body water loss is barely studied. I specifically investigated two CHC properties that are likely varied among Argentine ants from different colonies and hence cause variation in desiccation resistance. I examined CHC melting temperature and CHC quantity measured by weigh from different Argentine ant colonies in California. The correlations between the two CHC properties and desiccation resistance were analyzed. I discovered a negative correlation between CHC melting temperature and desiccation resistance. No correlation was found between CHC quantity and desiccation resistance. The conclusion to the research was that the higher CHC melting temperature a colony of ants has, the weaker desiccation resistance they have, and ants that have higher desiccation resistance do not necessarily have a larger amount of CHCs.</t>
  </si>
  <si>
    <t>Insect Chemistry, Desiccation Resistance, Desiccation Barrier, Argentine Ant</t>
  </si>
  <si>
    <t>ChenJ_2018-page1.pdf</t>
  </si>
  <si>
    <t>Nick Chou</t>
  </si>
  <si>
    <t>Exploration of Induced Polarization as a Non-Invasive Method to Quantify Herbaceous Root Traits</t>
  </si>
  <si>
    <t>This study evaluated the potential of using induced polarization to quantify herbaceous crop root traits. The target crop species was wheat (T. aestivum) grown in a lab-scaled hydroponic system. The magnitude of induced polarization was measured from the fixed electrodes in six vertical subzones (0-30cm) near the root on a Rhizotron. The magnitude was expressed in terms of resistance under two current injection scenarios: injection into the background aqueous medium versus into the plant via lower stem. The difference of the resistance between the two injection scenarios corresponded to the change in polarization response from the root exterior at which the measurements were acquired. We examined the correlation between the resistance contrast and the five root traits measured ex situ in the root image analysis software WinRhizo (length, surface area, volume, dry and wet biomasses). We selected root volume as our target root trait for quantification because it had the most similar vertical pattern and highest correlation with resistance data. Then, we created a two-step regression model combining a three-parameter logistic growth with a linear model to mathematically link resistance to the global root volume. We observed a general decrease in polarization response from the root exterior between the two injection scenarios, and we examined its relationship with the increase in sub-cellular and tissue-scaled capacitance within the root interior. Our regression model showed significant relationship between resistance and global root volume especially in the lower range of the values.</t>
  </si>
  <si>
    <t>Root resistance, Root capacitance, Regression modeling, WinRhizo, Root volume, Hydroponic</t>
  </si>
  <si>
    <t>ChouN_2018-page1.pdf</t>
  </si>
  <si>
    <t>Weijie Dong</t>
  </si>
  <si>
    <t>3D Modeling of UC Berkeley’s Strawberry Creek using Terrestrial LiDAR</t>
  </si>
  <si>
    <t>Riparian zones are an important indicator of ecosystem health. However, gathering data in these study sites can be challenging. The increased use of remote sensing technology such as aerial LiDAR have emerged as a way to help gather data in river ecosystems. Although marginally useful in riparian zones, aerial LiDAR also has its limitations, especially in areas where high vegetative cover blocks aerial LiDAR scanners from collecting data underneath the vegetation. In our study, we collected point data that was underneath the vegetation using a terrestrial LiDAR scanner. Our goal was to provide a blueprint for the use of terrestrial LiDAR scanning in stream riparian zones and to create a ground point model for Strawberry Creek so that we could understand its geomorphology. Through our use of a terrestrial LiDAR scanner to collect data for Strawberry Creek, we found it to be extremely important that the coordinate system the LiDAR scanner is collecting data in matches up with the coordinate system of the control points that will be used for georeferencing. In addition, having enough manpower and assigning tasks to everyone would have increased the efficiency of our data collection in the field. The ground point models we produced from the LiDAR scans created a complete ground model of the two natural areas. Overall, terrestrial LiDAR scanning can provide a tremendous amount of data that would be extremely helpful in assessing riparian streams.</t>
  </si>
  <si>
    <t>Stream ecology, geomorphology, terrestrial LiDAR, Digital Elevation Models (DEMs)</t>
  </si>
  <si>
    <t>DongW_2018-page1.pdf</t>
  </si>
  <si>
    <t>Allison J Herbert</t>
  </si>
  <si>
    <t>A Transitioning Water Industry: Water Demand Management Policy in Post-Drought Australia</t>
  </si>
  <si>
    <t>Australia was forced to address water security concerns during a decade long Millennium Drought (2000-2010). During this time Australia experienced a drastic increase in policies supporting water conservation with a particular growth in demand side management (DSM) programs targeting the residential sector. This thesis analysed how DSM programs are affected by the end of a drought, using Melbourne, Australia as a case study. To analyse this, I reviewed non-price residential water DSM programs established by the Melbourne water utilities from the start of the Millennium Drought in 2000 to 2017 as well as the institution history of the Water industry. I found that there was a significant decline in DSM programs after the drought that may have been caused by a change in governance and institutional structures after the Liberal Party came into power between 2010 and 2014. These results will help assess the feasibility of implementing DSM during extended water crises and whether these policies can be sustained post-drought when they are no longer critical for water conservation.</t>
  </si>
  <si>
    <t>Residential demand management, water conservation, mitigation, urban water management, post-crisis, industry transition</t>
  </si>
  <si>
    <t>HerbertA_2018-page1.pdf</t>
  </si>
  <si>
    <t>Isaias Hernandez</t>
  </si>
  <si>
    <t>What is the UCGTF? Student Perceptions of the University of California Gill Tract Farm</t>
  </si>
  <si>
    <t>Urban agriculture has become increasingly popular in recent years due to the rising levels of food insecurity. While urban agriculture holds to address social, economic, and environmental issues in its field, it also fosters a place for activism, alternative sustainable food systems, and food politic discourse. Studies have shown that urban agriculture offers a solution to reduce food insecurity in local communities, creation of green jobs, and promotion of educational programs. However, it still faces several adversities such as lack of access to land, soil degradation, and community-based participation. My study looks at the University of California Gill Tract Farm (UCGTF), an urban farm that holds several amenity values to several students, community members, and researchers. The UCGTF differs from other urban agriculture areas because of the multitude of programs it has to offer such as the Stewardship Assembly, UCGTF Fellowship Team, and center for agriculture research. Though the area has so many resources available to students at UC Berkeley it has faced issues with engagement and retention at the space I identified that undergraduates at UC Berkeley were never aware of the services the UCGTF provided. The results showed that students had some knowledge of urban garden topics and expressed interest in interacting in the services that the UCGTF had to offer once they were given information about the farm. However, they expressed that accessibility such as transportation was an issue and lack of communication between professors and students of history of the UCGTF.</t>
  </si>
  <si>
    <t>urban agriculture, food justice, food insecurity, food sovereignty, food movement, urban farming, community development, grassroots movements</t>
  </si>
  <si>
    <t>HernandezI_2018-page1.pdf</t>
  </si>
  <si>
    <t>Alexis C. Hidalgo</t>
  </si>
  <si>
    <t>Barriers and Strategies to Integrating Native Bee Habitats in Bay Area Farms</t>
  </si>
  <si>
    <t>Pollination is essential to ecosystems, economies, and food security. As honey bees are often the most important pollinator for many crops, their precipitous decline should be a major cause for concern. However, native bees are a reliable and more sustainable alternative to honey bees because they are more readily available, cheaper to manage, and less labor intensive. Native bee populations require a consistent and diverse supply of plants for sustenance as well as sufficient undeveloped land for burrowing. Crop farmers can provide a crucial role increasing native bee habitats as their cyclical crop growth process attracts pollinators. While there are research studies and resources dedicated to informing farmers about implementing native bee habitats, current worldwide agriculture trends indicate deterioration of agro-ecosystems and habitats, which means less naturally occurring services such as native bee pollination. In this research, I conducted a series of interviews and surveys with Bay Area farmers and farmer advisors to analyze barriers in implementing native bee habitats and strategies to overcome these barriers. This research identified that the two most effective strategies in implementing native bee habitats are the opportunity for one-on-one technical assistance and the interaction with a network of farmers with already-operational native bee habitats.</t>
  </si>
  <si>
    <t>native bee populations, wild bee practices, pollinator habitats, sustainable pollination, farmer partnerships, collaborative research</t>
  </si>
  <si>
    <t>HidalgoA_2018-page1.pdf</t>
  </si>
  <si>
    <t>Yu Wen Huang</t>
  </si>
  <si>
    <t>ASEAN Grid Flexibility: Preparedness for Grid Integration of Renewable Energy</t>
  </si>
  <si>
    <t>In 2015, ASEAN established a goal of increasing renewable energy share in its energy portfolio to 23% by 2025. Renewable energy, especially intermittent and variable sources such as wind and solar electricity, present challenges for grid operations due to uncertain electricity generation timing and quantity. Grid flexibility, which refers to the electric grid’s ability to respond to changing demands and supply, is key to addressing these uncertainties. Through a grid flexibility analysis, I developed a scorecard framework to assess ASEAN’s current grid flexibility using six quantitative indicators: grid reliability, electricity market access, load profile ramp, forecasting systems, proportion of electricity generation from natural gas, and renewable energy diversity. I found that ASEAN nations are clustered into three groups based upon grid flexibility score: better prepared nations, moderately prepared nations, and least prepared nations. Through this process, I identified ASEAN’s key grid flexibility weaknesses, which include lack of forecasting systems and limited electricity market access. I also quantified and aggregated load profile ramp rates for each member nation. These factors limit individual ASEAN nations’ ability to address changing demand and supply with renewable energy without regional coordination for power trade or increased investment. As ASEAN continues to pursue its renewable energy targets, regional cooperation remains essential in addressing identified challenges. Member nations will need to increase its current grid flexibility to adequately prepare for future scenarios of more renewable energy integrated into its electrical grid.</t>
  </si>
  <si>
    <t>ASEAN Power Grid, flexibility analysis, grid operation, electricity market, variable renewable energy</t>
  </si>
  <si>
    <t>HuangY_2018-page1.pdf</t>
  </si>
  <si>
    <t>Delaney D. Inman</t>
  </si>
  <si>
    <t>Monitoring Domestic Canine (Canis familiaris) Activity on Wildcat Creek Bootleg Trails via Camera Traps</t>
  </si>
  <si>
    <t>Riparian ecosystems are disproportionately affected by anthropogenic influences because they are often centers of human recreation and are home to a diversity of flora and fauna. Domestic canines exacerbate these changes if their behavior is not properly regulated. To provide recommendations to protect the sensitive riparian ecosystem I made both quantitative and qualitative observations of domestic canine activity on bootleg trails along a particularly high traffic section of Wildcat Creek. To examine canine activity along Wildcat Creek, three camera traps were installed along the study site and continuously collected data from December 17, 2017 until April 17, 2018. I examined variables to determine temporal trail use patterns as well as variations in human presence and the number of dogs in a group as related to duration of visit. Results suggest that past dissuasion measures employed by East Bay Regional Park Department (EBRPD) have been somewhat successful but that there is an opportunity for further protection measures to take place based on very clear and consistent temporal patterns of canine trail use.</t>
  </si>
  <si>
    <t>riparian ecosystems, habitat alteration, human recreation, temporal analysis, ecosystem management</t>
  </si>
  <si>
    <t>InmanD_2018-page1.pdf</t>
  </si>
  <si>
    <t>Isabel L. S. Johnson</t>
  </si>
  <si>
    <t>Building Bridges: Western and Indigenous Science in Cross-cultural Knowledge Production</t>
  </si>
  <si>
    <t>The term Traditional Ecological Knowledge (TEK) was coined by Western science to refer to the knowledge held by Indigenous peoples about their environment and the cultural framework within which that knowledge is created, transmitted, and practiced. TEK has been exploited by Western science historically, with little or no regard for the communities from which the knowledge originated. To disrupt this cycle I attempted to conduct culturally sensitive chmuuek (Lynx rufus) sex identification genetics research for the Yurok Tribe, while simultaneously creating language materials for the Yurok Tribe Language Program conveying Western Ecological Knowledge (WEK) through a Yurok lens. I had a 51.4% amplification success rate out of 35 scat DNA samples, with 16 males and 2 females. Using a chi-squared goodness of fit test, I found this to be a statistically significant difference (χ2 = 10.889, df = 1, p – value &lt; 0.05). However, these results might have been skewed by female chmuuek avoidance of roads where the scat samples were collected. Additionally, DNA concentration was inconclusive as a predictor for amplification success. I wrote a Yurok immersion children’s book with the help of Yurok language educators entitled Kue Chery-ker’-ery Chmuuek E-see ‘We-chek (The Little Bobcat and His Mother) that conveyed WEK of chmuuek diet and behavior. According to interviews conducted with Yurok language teachers using the book in their classrooms, the collaboration was a success due to its community centered creation process and niche role as a teaching tool.</t>
  </si>
  <si>
    <t>Traditional ecological knowledge, western ecological knowledge, Yurok language revitalization, chmuuek (bobcat, Lynx rufus), felid sex identification</t>
  </si>
  <si>
    <t>JohnsonI_2018-page1.pdf</t>
  </si>
  <si>
    <t>Jessica Kim</t>
  </si>
  <si>
    <t>Calculating the water footprint of fossil fuel extraction and trade in Canada and the U.S.</t>
  </si>
  <si>
    <t>Due to drought conditions exacerbated by climate change, the amount of energy that countries can extract and trade may become limited. Although the water footprint of biofuel production has been highly studied, fossil fuel extraction has not been examined even though it is currently the most commonly used source of energy worldwide. I calculated how much water is needed for coal, oil, and natural gas extraction in Canada in the United States, as well as how much water is associated with the trade of energy in the two countries. The water footprint of oil is the highest of the three fossil fuels, and it has generally been increasing over time for both countries. While the production and water footprint of coal has been slightly decreasing over the years, the water footprint of natural gas has been rapidly increasing in recent times. Oil accounts for the majority of the water footprint of trade. While Canada and the U.S. are both major producers of oil, Canada is a net exporter of virtual water whereas the U.S. is a net importer. More transparent reporting will allow us to calculate more accurate water footprints and analyze water consumption of other major global producers of energy besides Canada and the U.S.</t>
  </si>
  <si>
    <t>Coal, oil, natural gas, virtual water trade, water energy nexus</t>
  </si>
  <si>
    <t>KimJ_2018-page1.pdf</t>
  </si>
  <si>
    <t>Zoë M. Klein</t>
  </si>
  <si>
    <t>Standing Dead Trees in a Northeastern Deciduous Forest: Decay Patterns and Biomass impacts</t>
  </si>
  <si>
    <t>Mortality in forests is an essential process for a healthy ecosystem. However, the decomposition of standing dead trees is largely ignored, or deemed inconsequential. Due to the nature of disturbance by drought and pests, mass tree mortality events will result in an increase in standing dead trees. Furthermore, it is critical to investigate decomposition patterns and their influence on standing dead biomass. This study investigated the patterns of density loss in terms of species (Acer sacchrum, Fagus grandifolia, and Betula alleghaniensis and Fraxinus americana) and position on a tree (upper or lower) to determine if Hubbard Brook Experimental Forest accurately estimates standing dead biomass. I found the volume and density of 32 standing dead individuals through varied decay stages to test for patterns and to compare biomass estimations between methods. This study found no evidence that patterns of density loss exist between the four studied species or that patterns of density loss differ between upper and lower position of tree. However, through the more accurate estimation of density for standing dead individuals, this study found that Hubbard Brook Experimental Forest estimates biomass by underestimating tree density by 29% and overestimating tree volume by 39%. This study contributes to the literature of decomposition processes for tree species Acer sacchrum, Betula alleghaniensis, Fagus grandifolia, and Fraxinus Americana, as well as decomposition patterns of trees in a low elevation, Northeastern broadleaf-deciduous forest. Additionally, this study provides Hubbard Brook Experimental Forest incentive to re-evaluate their techniques for estimating standing dead biomass.</t>
  </si>
  <si>
    <t>decomposition, degradation, Hubbard Brook Experimental Forest, carbon, monitoring protocol</t>
  </si>
  <si>
    <t>KleinZ_2018-page1.pdf</t>
  </si>
  <si>
    <t>Helen Kou</t>
  </si>
  <si>
    <t>Community Solar Optimization for Geographical Locations and Load Profiles</t>
  </si>
  <si>
    <t>Community solar is the latest solar energy deployment business model that is gaining popularity across California. Even though there are significant economic and environmental benefits of pursuing this untapped market, identifying possible community solar locations and customers is complicated and costly. The objective of this research is to run an economic analysis to see if the net percent savings of opting into a community solar program is greater than the net percent savings of owning residential solar based on geographical location and consumer energy consumption behavior. This research is a parametric study containing 50 cities in California and eight different California load profiles. I ran these parameters on the optimization program DER-CAM to find cost savings of different scenarios and examined if consumers are better off with purchasing residential solar panels or joining a community solar program.</t>
  </si>
  <si>
    <t>Community Solar, Shared Solar, Parametric Study, Economic Evaluation, DER-CAM, Load Profile, Market Sizing</t>
  </si>
  <si>
    <t>KouS_2018-page1.pdf</t>
  </si>
  <si>
    <t>Ka Ki Lily Law</t>
  </si>
  <si>
    <t>Spatial and Temporal Variations in Arbuscular Mycorrhizal Fungal Community Throughout the Plant Root System of Avena barbata</t>
  </si>
  <si>
    <t>The symbiosis relationship between arbuscular mycorrhizal fungi and plant roots are complex and important for plant growth in nutrient exchange between the fungi and the plant host. The rhizosphere is the area where soil is directly in contact with the roots and where the symbiotic interface begins and continues to persist throughout AMF colonization in the roots. I analyzed the AMF species richness and diversity in the rhizosphere through different root sections in the root system across different plant life stages and ages of roots from three timepoints. Root systems were divided in three root sections and compared in their AMF species diversity and relative abundance to explore the how time and space may impact AMF colonization in different parts of the roots. DNA sequencing method was utilized to identify AMF diversity in the rhizosphere at various root sections. After attempting to use microscopy to acquire AMF percent colonization in roots, I found that roots in field soil are colonized by many fungi and it is difficult to count and identify all the types of fungi in the roots. Since there is an entire fungal community in the roots in addition to the presence of AMF, I will use molecular methods to identify fungal species in these roots to complete the larger picture of the entire fungal community that are in the rhizosphere. This study hopes to contribute to the greater understanding of temporal variations in AMF-plant interactions.</t>
  </si>
  <si>
    <t>Glomeromycota, exudates, AMF species diversity, rhizosphere, plant-fungal interactions, temporal variations</t>
  </si>
  <si>
    <t>LawK_2018-page1.pdf</t>
  </si>
  <si>
    <t>Katherine Lee</t>
  </si>
  <si>
    <t>Framing a Future for Climate Refugees: A Case Study on Media and Discourse Surrounding Hurricanes Irma</t>
  </si>
  <si>
    <t>Impacts of climate change have begun to displace populations, due to sea-level rise, extreme weather events and drought. There is increasing support that hurricanes in the Atlantic basin, included as a type of extreme weather event, increase in intensity and damages due to climate change. This study uses content analysis and critical discourse analysis to examine media coverage from The New York Times and Wall Street Journal on Hurricane Irma, one of the most severe storms that struck the Caribbean in September 2017. Results showed biased coverage of victims and damages to territories outside of the continental United States. These findings relate discourse from this case study to broader implications and literature on climate refugees.</t>
  </si>
  <si>
    <t>climate change, discourse analysis, media analysis, The New York Times, The Wall Street Journal</t>
  </si>
  <si>
    <t>LeeK_2018-page1.pdf</t>
  </si>
  <si>
    <t>Sophia S. Leiker</t>
  </si>
  <si>
    <t>Oceans Fueling Our Future: Optimizing Placement of Marine Hydrokinetic Energy Along the California Coast</t>
  </si>
  <si>
    <t>The California coast contains 840 miles of coastline and strong year-round wave patterns exhibiting the potential for ocean energy extraction. Ocean energy is attractive due to its superior reliability and predictability in comparison to other renewable energy sources such as solar and wind. Many locations in California provide ideal conditions for placement of marine hydrokinetic energy devices but there has been a lack of multi-device statewide models. As marine hydrokinetic energy optimization is determined by ocean currents steam flow and wave pitch, roll and heave (horizontal and vertical changes), site selection significantly impacts overall energy output (Dallman, 2014). This study developed three optimization models to illustrate potential spatial distribution of the two main categories of marine hydrokinetic energy devices: wave energy converters and rotating turbines. Using a GIS suitability analysis, and specifications provided by the most commercially available marine hydrokinetic energy devices I tested locations for optimal conditions needed for implementation. Using crucial variables I created binary, ranked and weighted models. Within the study sample of potential locations, approximately half of the locations were rated highly suitable for wave energy converters while very few locations were rated suitable for rotating turbine devices. This is due to variations in wave height and due to California Current’s peak strength being located too far off the coast for device construction. The wave patterns of California provide immense power and with further device placement optimization models, marine hydrokinetic energy can help continue to push California towards its goal of a transition to renewable energy.</t>
  </si>
  <si>
    <t>Ocean Energy, Wave Energy Converters, Rotating Turbine Current Energy, Wave Power Parameters, Geographic Information Systems (GIS) Suitability Analysis</t>
  </si>
  <si>
    <t>LeikerS_2018-page1.pdf</t>
  </si>
  <si>
    <t>Ziyu Li</t>
  </si>
  <si>
    <t>The Effect of Long-term Changes in Plant Inputs on Soil Carbon Stocks</t>
  </si>
  <si>
    <t>Soil organic carbon (SOC) is the one of the largest terrestrial reservoirs of carbon. The main source of SOC is plant input such as dead leaves and root exudates. Yet, the processes that dictate the response of SOC to changes in C inputs are still poorly understood and inadequately represented in predictive models. Here we explore the response of soil organic carbon (SOC) to long-term changes in plant C inputs across a range of biomes and soil types. We synthesize and analyze data from long-term litter manipulation field experiments, and focus our meta-analysis on changes to total SOC stocks and explore the relative contribution of above- versus belowground C inputs. Our cross-site data comparison reveals that divergent SOC responses are observed between forest sites, particularly for treatments that increase C inputs to the soil. We explore trends among key variables (e.g., biome, vegetation, temperature, precipitation) that inform soil C model representations. The assembled dataset is an important benchmark for evaluating process-based hypotheses and validating divergent model formulations.</t>
  </si>
  <si>
    <t>soil carbon, environmental influences, land restoration, meta-analysis, ANOVA test</t>
  </si>
  <si>
    <t>LiZ_2018-page1.pdf</t>
  </si>
  <si>
    <t>Kseniya Lyalina</t>
  </si>
  <si>
    <t>Evidence of Overwintering Ulva Propagule Bank in the San Francisco Bay Sediments</t>
  </si>
  <si>
    <t>Blooms of the ephemeral macroalgae, Ulva spp., negatively affect coastal ecosystems and are typically observed seasonally in spring and summer. Studies have demonstrated that Ulva spp. germlings or propagules survive periods of colder temperatures and seasonal ice cover. These overwintering stages can promote populations of ephemeral species by buffering the negative effects of unfavorable environmental conditions and competition. This study is focused on the survival of overwintering propagules in the shallow sediments of the San Francisco Bay as a mechanism contributing to spring recruitment pulses. Sediment samples were collected from three central bay sites and incubated in enriched media for 8 weeks in the dark at mean winter temperature. Post incubation samples were aliquoted and placed into one of 4 temperature treatments (winter low 6°C, winter mean 11°C, summer mean 17°C, or summer high 25°C; n=3). Aliquots were cultured under a 12:12 light regime. Sediments cultured under all four conditions produced tubes and blades after 5 weeks in culture, but the seasonal temperature regime had a marked effect on recruitment rates. Winter treatments yielded few and mostly microscopic (&lt;1mm) recruits. Summer treatments produced many macroscopic blades and tubes, with mean summer temperature treatments yielding the greatest amounts of recruits/cm2; indicating that propagules not only survive winter incubation periods but success of recruitment is influenced by seasonal increases in water temperature.</t>
  </si>
  <si>
    <t>microscopic propagules, macroalgal blooms, germlings, eutrophication, temperatures</t>
  </si>
  <si>
    <t>LyalinaK_2018-page1.pdf</t>
  </si>
  <si>
    <t>Shehnaz Mannan</t>
  </si>
  <si>
    <t>Electrifying Rural Villages Step by Step: Dynamic Modelling of Microgrid versus National Grid Options in Myanmar</t>
  </si>
  <si>
    <t>Microgrids are a standalone power generation solution to the problem of remote, unelectrified communities. However, financing microgrids remains challenging due to various risks. This includes microgrid versus-national grid conflicts, which occur when unanticipated national grid extension overtakes established microgrids. Current predictions for national grid extension use static forecasts based on current conditions and do not account for dynamism inherent in national grid extension, which can lead to incorrect extension forecasts. To reduce microgrid-national grid conflicts and better predict grid extension, I developed a dynamic model to predict national grid extension to a higher degree of accuracy than static forecasting using an iterative Monte Carlo Simulation over a series of time steps in three townships Saw, Kanpetlet and Mindat in Myanmar. I used breakeven distance, the point where both national grid extension and a microgrid cost the same to build at that location, to determine grid extension probability each year. I then determined if the grid would extend to each township each year. I found that electrification of one township led to increased probability of grid extension to the two surrounding townships. Mindat (township three), which had a 0% chance of extension when looked at from a static viewpoint, had a 100% chance of extension in year three of the dynamic model. Breakeven distances increased over time and all townships were electrified by year four. Dynamic modelling provides a more accurate forecast of grid extension probability over time than static forecasting. This can improve microgrid siting and rural community electrification rates.</t>
  </si>
  <si>
    <t>Monte Carlo Simulation, breakeven distance, energy access, distributed renewable energy, distributed renewable energy</t>
  </si>
  <si>
    <t>MannanS_2018-page1.pdf</t>
  </si>
  <si>
    <t>Ryan E. Martinez</t>
  </si>
  <si>
    <t>Root to Shoot: Zinc Translocation Increases with Mutation in HMA3 in Setaria viridis</t>
  </si>
  <si>
    <t>Heavy Metal ATPase 3 (HMA3) is an enzyme that mediates zinc and cadmium influx to root cell vacuoles. Research in phytoremediation suggests that mutations in this enzyme can increase above ground localization of these ions, thus optimizing plants for phytoextraction of zinc and cadmium from soils where they exist in excess. Setaria viridis is grass that can be used in phytoremediation as a result of its ability to tolerate growth in high levels of zinc. This paper investigates the impact on plant morphology and physiology caused by a knock-out mutation in HMA3 in S. viridis. Exploring the impact of this mutation was first attempted through the CRISPR-Cpf1 system but failed at the regeneration phase of the study. The study is currently being attempted again with CRISPR-Cas9 through this ongoing experiment. After transformation and regeneration, 40 plants will be harvested to assay size, dry-weight, and zinc content; 10 mutants will be grown in elevated zinc concentrations and 10 will be grown in normal ion concentrations. An equal number of wild-type plants will be grown in the same treatments as controls. I hypothesize that a mutation in HMA3 will create a statistically significant difference in zinc translocation from the roots to shoots in mutants compared to wild-type plants. I also anticipate HMA3 mutants in high zinc concentrations showing reduced biomass accumulation and mild chlorosis. Overall, this paper will provide novel insights into a little-studied, emerging model system for research in monocot plants with the goal of engineering S. viridis for use in phytoremediation.</t>
  </si>
  <si>
    <t>Phytoremediation, Setaria viridis, zinc, Heavy Metal ATPase 3, CRISPR</t>
  </si>
  <si>
    <t>MartinezR_2018-page1.pdf</t>
  </si>
  <si>
    <t>Daniel Mendoza</t>
  </si>
  <si>
    <t>Rapid synthesis of copper oxide nanoparticles dispersed with carbon nanotubes, bound to a melamine sponge as an electrically conductive bactericidal filter for the inactivation of Escherichia coli and total coliforms via electroporation</t>
  </si>
  <si>
    <t>This paper presents a simple and cost-effective method for the production of electrically conductive sponges for water filtration. The materials for the filter can be synthesized in a developing country, because no specialized materials or equipment were used. I synthesized copper oxide nanoparticles in a rapid and affordable manner. There was very little waste product throughout the process, resulting in a highly efficient synthesis. Carbon nanotubes are hydrophobic, so a surfactant was needed in order to disperse them in distilled water. Sodium lauryl sulfate, bentonite clay, PEG and water were tested in dispersing carbon nanotubes, but sodium lauryl sulfate was chosen for for affordability and greater dispersion abilities. Sodium lauryl sulfate solutions of copper oxide nanoparticles and carbon nanotubes were created, and a standard melamine sponge was repeatedly dipped and dried in order to ensure the nanomaterials bind to the sponge’s surface. I 3D printed a PLA enclosure that allowed for the placement of 2 sponges for the filtration of water. Production of the filter can be scaled to further reduce costs. In addition, solar cells can be used to power the system in place of AA batteries, which will allow for the filter to be self-sufficient. Due to the pore size of the sponges, biofouling is not an issue; however, further research must be carried out on the robustness and durability of the filter.</t>
  </si>
  <si>
    <t>Short multi-walled carbon nanotubes, sodium lauryl sulfate, enhanced electric field, water disinfection</t>
  </si>
  <si>
    <t>MendozaD_2018-page1.pdf</t>
  </si>
  <si>
    <t>Lingyu Mou</t>
  </si>
  <si>
    <t>Sustainable Parking Policy Impact on Student Parking Experience and Equity Issue: Case Study of University of California, Berkeley</t>
  </si>
  <si>
    <t>As urban universities parking is often a significant priority and concern. At the University of California, Berkeley (UC Berkeley) recently approved environmental policies encouraged students to use public transportation. Simultaneously, total parking spaces decreased from 6,952 in 2009 to 5,700 in 2014. And, with rising housing demand caused by increased enrollment rate, resulted possibility that more student commuters. This research aimed to describe how parking experiences may differ between students in different income groups. Classroom-based and intercept survey results indicate that among students who drive to campus, students with household income less than $25,000 usually experience a longer commute time and spend more money on transportation than other students. Even among students who do not drive, students with household income less than $25,000 lived farther away from campus and experienced longer commute times.</t>
  </si>
  <si>
    <t>UC Berkeley, Parking, Transportation, Policy, Sustainable transportation policy, Equity</t>
  </si>
  <si>
    <t>MouL_2018-page1.pdf</t>
  </si>
  <si>
    <t>Nathalie A. Munoz</t>
  </si>
  <si>
    <t>Impact of Student Motivations on Emerging and Recurrent Content of the UC Berkeley Environmental Science Senior Seminar</t>
  </si>
  <si>
    <t>Since 1972, the UC Berkeley Environmental Sciences Senior Seminar has allowed fourth-year environmental science students to design and conduct individual, year-long research projects. These research experiences give students opportunities to enrich their undergraduate academic experience, network with faculty, build their resumes for future employment and graduate school, and gain specialized knowledge and skills (Rodriguez-Amaya et al. 2018). Since students are given the agency to select their own topic, I sought to understand their motivations and experiences throughout this process as well as observe the evolving content of UC Berkeley Environmental Sciences senior theses. Using discourse analysis on senior theses written since 1990, I observed trending and recurrent topics, methods, and stakeholders. Discourse analysis allowed me to identify prominent applied frameworks, and proposed solutions and recommendations to environmental challenges. I also conducted surveys of past and current seniors to identify their motivations and experiences behind selecting a research topic. I followed this up with interviews of current and previous instructors from the senior seminar to illuminate the seminar’s changing pedagogical structure. I found the theses to collectively grow in complexity from their efforts to confront more interdisciplinary topics while using more involved research methods and concluding with more dynamic implications and recommendations. This parallels the growing demand, but slower implementation, of interdisciplinary research into the greater field of environmental sciences (Sivakumar 2012; Rodela and Alasevic 2017; Rosa 1999; Allyon et al. 2018). Additionally, survey results suggested there was a relationship between lack of proper training and preparation and conducting robust social science linked interdisciplinary research projects. I recommend that the ES major continue to provide accessible mentors and provide more educational opportunities prior to the seminar, especially for students with social science oriented theses. I conclude with recommendations to further update the pedagogical structure of the senior seminar to provide students with more successful, interdisciplinary, collaborative and independent research experiences.</t>
  </si>
  <si>
    <t>Discourse Analysis, Pedagogy, Epistemology, Independent Student Research</t>
  </si>
  <si>
    <t>MunozN_2018-page1.pdf</t>
  </si>
  <si>
    <t>Halley R. Nathwani</t>
  </si>
  <si>
    <t>Intermittent Power Forecast Data Models for The Interdisciplinary Analysis of Energy Systems</t>
  </si>
  <si>
    <t>Current electrical system operators have operating procedures that no longer handle the unpredictable and varying loads of modern consumer demand and generation by renewables. In systems with high penetration of solar power, it is important to know the amount of power being generating for generator scheduling and determining operating reserve margins. This project aims to make intermittent energy more feasible for electrical distribution systems. Power system operations require intermittent power forecasts for multiple daily operations. It is difficult to decide how to schedule renewable energy generators when presented with so many different representations of the inherent uncertainties. To standardize intermittent power forecast data models, we need to find consistent definitions of characteristics of using power systems analysis and simulations to store forecasts such that power forecasts are replicable and comparable in power operation analysis. One way to store data is in a data model. A data model is defined as a simple container format used to describe and package a collection of data for the purpose of sharing between tools and people. Over the various operational manuals and academic papers, there was inconsistent language surrounding power forecasts and how they were used. There were two different spheres of rhetoric around power forecasts; an academic sphere and a system operators sphere. Additionally, within the review of the literature, I also identified other types of attributes that might be beneficial to include within the data model. Unfortunately, this data model was difficult to implement.</t>
  </si>
  <si>
    <t>Solar power forecasting, grid integration, power system operations, inherent uncertainties, power forecast modelling</t>
  </si>
  <si>
    <t>NathwaniH_2018-page1.pdf</t>
  </si>
  <si>
    <t>Claire M. Neal</t>
  </si>
  <si>
    <t>A Case Study of Bacterial Indicators in the Sierra Nevada and Implications for Recreational Stream Use</t>
  </si>
  <si>
    <t>The Sierra Nevada forest is a multiple-use landscape, and clean surface water in this forest is necessary to maintain the freshwater resource for humans and animals, both in the forest and downstream. Nutrient and microbial pollution from diffuse, non-point sources are a concern for stream health. Microbial pathogens can lead to gastrointestinal diseases in humans and may flow from small streams into the downstream watershed. For this reason, regular public monitoring of stream health and policy to keep surface water at safe levels are important. This study sought to quantify the amount of fecal indicator bacteria (E. coli) in the Willow Creek Watershed, south of Yosemite National Park. Of the samples taken, 95% were below California EPA criteria values for concern, indicating that land use in this watershed is compatible with surface water health. Furthermore, water quality at a sample sites corresponded to visual signs of ecosystem health in the area around the site, indicating that water quality of streams in mountainous areas may be estimated accurately from observing signs of stream disturbance. In relation to monitoring water quality in high elevation watersheds, government strategies for regular sampling and response to microbial indicator exceedances have procedural gaps. County governments rarely test for water quality or respond to microbial health risks, instead deferring to state policy. The California State Water Board engages in regular testing and follow-ups for water quality exceedances, but focuses attention mostly on big rivers recreation sites downstream of high elevation watersheds. My results suggest that the Willow Creek watershed has healthy water quality, but procedures for monitoring high elevation watersheds could be improved in the future.</t>
  </si>
  <si>
    <t>California, Escherichia coli (E. coli), policy, Willow Creek, forest, watershed, water quality</t>
  </si>
  <si>
    <t>NealC_2018-page1.pdf</t>
  </si>
  <si>
    <t>Sarah L. Nordahl</t>
  </si>
  <si>
    <t>Comparative Life-Cycle Assessment of Anaerobic Digestion of Municipal Solid Waste at Zero Waste Energy Development Company in San Jose, California</t>
  </si>
  <si>
    <t>The Zero Waste Energy Development Company (ZWEDC) in San Jose, California performs anaerobic digestion as part of a city-wide sustainable waste management strategy. This study uses life-cycle assessments to quantify the greenhouse gas (GHG) emissions reduction benefit derived from incorporating anaerobic digestion into waste management as compared to traditional waste management methods. Two scenarios were considered: current waste management with anaerobic digestion and a base-case scenario representing waste management using landfilling and composting exclusively. The life-cycle assessment determined that anaerobic digestion reduced GHG emissions by about three times relative to the base-case scenario. Net GHG emission rates in the anaerobic digestion scenario were negative because of two processes offsetting emissions: carbon storage in compost and electricity generation from biogas, a by-product of anaerobic digestion. The base-case scenario yielded positive net GHG emission rates largely due to high emissions from landfilling. Avoided landfill emissions and further offsets from anaerobic digestion at ZWEDC has substantially reduced the carbon footprint of San Jose’s waste management industry. The results demonstrated the significant environmental benefits provided by anaerobic digestion and suggest that expanding this practice could further reduce industry GHG emissions and climate change impact.</t>
  </si>
  <si>
    <t>waste management, energy recovery, landfills, compost, life-cycle greenhouse gas emissions</t>
  </si>
  <si>
    <t>NordahlS_2018-page1.pdf</t>
  </si>
  <si>
    <t>Lynna H. Ohanian</t>
  </si>
  <si>
    <t>Mapping the risk of North American arboreal amphibians to the fungal pathogen Batrachochytrium dendrobatidis</t>
  </si>
  <si>
    <t>Amphibian populations have been significantly impacted by the disease chytridiomycosis (chytrid), caused by the fungus Batrachochytrium dendrobatidis (Bd). The fungus undergoes an aquatic zoospore stage and therefore can be transmitted through water and is known to predominantly affect stream-dwelling species. But the fungus is spreading to arboreal habitats, and a growing number of species are impacted by chytrid. I compiled a list of arboreal and non-arboreal amphibian species in North America and recorded each species’ history of Bd infection or known susceptibility. A habitat suitability model for Bd in North America predicts the potential distribution of the chytrid fungus. I provide an assessment of which species occupy the suitable areas presented by the model. I used the Bd suitability model to assess the difference between the risk of arboreal amphibians to contacting Bd compared to species that are not arboreal. I calculated the proportion of each species’ range that overlaps with regions modeled as highly suitable for Bd, and compared the proportion overlap calculations of arboreal and non-arboreal species. I found no significant difference between the mean percentage overlap of arboreal species ranges with Bd and non-arboreal species range overlap with Bd, suggesting that species of both habits are at risk of contacting the fungus. I then analyzed whether this percentage of overlap is correlated with the species’ known history of risk, and found no significant relationship, possibly due to limitations of data availability and lack of research. This study highlights the need for broader inquiry and into the effects chytridiomycosis will have to exposed amphibian species.</t>
  </si>
  <si>
    <t>GIS, chytridiomycosis, spatial analysis, disease, suitability model, traits</t>
  </si>
  <si>
    <t>OhanianL_2018-page1.pdf</t>
  </si>
  <si>
    <t>Annemarie E. Peacock</t>
  </si>
  <si>
    <t>Quantifying Drought Impact on Wetland Vegetation in the Sacramento - San Joaquin Delta with Remote Sensing</t>
  </si>
  <si>
    <t>A critical region for California’s economy, drinking water supply, and wildlife, the Sacramento-San Joaquin Delta continues to face degradation and alteration. With current climate model projections, additional stressors such as drought are expected to impact this area further. Vegetation is crucial to the Delta’s health, function, and provision of ecosystem services, and examining how Delta wetland vegetation responds to drought informs restoration and management priorities. In this study, I used remote sensing to quantify shifts in wetland vegetation across years of varying precipitation levels (average rainfall, 2009-2010; drought, 2011-2016; and after in 2017) to characterize drought impact on four wetland sites, two reference and two restored. Through supervised image classification, landscape metrics, and spectral vegetation indices, all sites significantly decreased in EVI and NDVI throughout the drought but showed unique trajectories in changes of vegetation land cover, patch characteristics, and general landscape metrics. The most recently restored site, Mayberry Farms, was characterized by highest landscape variability and increased vulnerability to drought.</t>
  </si>
  <si>
    <t>GIS, Spectral Vegetation Indices, Change Detection, Landscape Metrics, NAIP</t>
  </si>
  <si>
    <t>PeacockA_2018-page1.pdf</t>
  </si>
  <si>
    <t>Ben Greenberg Pridonoff</t>
  </si>
  <si>
    <t>More Than Charismatic: The Role of Pumas in Driving Composition of Bay Area Vertebrate Communities</t>
  </si>
  <si>
    <t>Human society depends on intact and healthy ecosystems for ecosystem services, sustenance, and recreation. However, a potentially key facet of ecosystem conservation is omitted from many management strategies. Large apex predators, such as Puma concolor (also known as the puma, mountain lion, or cougar), are not considered for their ecological importance. Studies suggest that these dangerous predators effectively regulate the composition of their animal and even plant communities through predation, competition, and fear. Thus, in the effort to preserve community compositions that support ecosystem health and stability, managers should consider the influence of predators, despite a paradigm of neglecting their often-immense impacts. This study sought to investigate an example of community composition differences by surveying two sites with significantly different puma populations. By studying key aspects of the community, such as coyote occupancy, I found compelling evidence to suggest a trophic cascade has occurred in the site with a collapsed puma population. Where less pumas were present, I observed greater mesopredactor occupancy (probability estimate = 0.814, over 0.704) and lower small mammal diversity (-0.46, compared to 0.44, p &lt; 0.05), indicating pumas act as both a regulator of damaging opportunistic species and a shepherd of biodiversity. I conclude that there is reasonable evidence to suggest pumas may play a vital role in driving community composition in the Bay Area. Thus, it might behoove managers to consider the species role in conservation more intently.</t>
  </si>
  <si>
    <t>Mountain lion, diversity, coyote, mesopredator release, occupancy modeling</t>
  </si>
  <si>
    <t>PridonoffB_2018-page1.pdf</t>
  </si>
  <si>
    <t>Camila Quintana</t>
  </si>
  <si>
    <t>Changing aboveground carbon from fire suppression to natural fire regime</t>
  </si>
  <si>
    <t>Fire suppression started in the early 20th century and has led to high accumulations of surface and ladder fuels. This, combined with the longer droughts and higher temperatures due to climate change, result in large, high-severity fires. The Illilouette Creek Basin (ICB) in Yosemite National Park provides an opportunity to study a mixed conifer ecosystem with a natural fire regime in the Sierra Nevada today. It has been part of Yosemite’s Managed Wildfire Program since 1972 and has almost reverted back to a natural fire regime. Previous studies in the ICB have shown how vegetation and water flow have changed as a result of a high-frequency, mixed-severity fire regime, but there is limited knowledge on the impacts on carbon storage. In this study, I evaluate how carbon changes from before the managed wildfire program in 1969 to 2012. Carbon decreases by 24.36% in the whole ICB, mostly due to a decrease in mixed conifer land area, although I suspect the actual decrease in carbon to be much higher. The other three vegetation classes present in the ICB—sparse grassland, dense grassland, and aspen—all increase land area. The fire reduces the amounts of surface and ladder fuels, making the Illilouette Creek Basin less likely to experience high-severity wildfires and enhances its ability of long-term carbon storage. This study can be used as a guide as to what to expect in terms of changes in carbon storage should other mixed conifer ecosystems return to a natural fire regime.</t>
  </si>
  <si>
    <t>Carbon storage, forest restoration, managed fire, mixed conifer, Yosemite, wildfire</t>
  </si>
  <si>
    <t>QuintanaC_2018-page1.pdf</t>
  </si>
  <si>
    <t>Jessica M. Redden</t>
  </si>
  <si>
    <t>Going Green? Transforming Sorority Sustainability Programs at the University of California, Berkeley</t>
  </si>
  <si>
    <t>Institutions around the world are rapidly adopting sustainability programs targeted at reducing resource consumption, achieving carbon neutrality, providing sustainable dining and performing environmentally-preferable purchasing. As one of these institutions, the University of California, Berkeley (UCB) has adopted a comprehensive sustainability plan. However, the UCB plan does not consider the sustainability practices of affiliated off-campus housing, such as sororities, fraternities, and Berkeley student cooperatives. To address this gap in UCB’s sustainability plan, I studied the barriers and pathways to achieving successful sorority sustainability programs. My research utilized a three-pillar framework for assessing sustainability programs, including institutional, technological, and behavioral components. Of these pillars, my research focused on the institutional and behavioral. I conducted interviews with sustainability program leaders and facility managers to explore the institutional barriers and pathways to achieving sustainability. To understand the behavioral component, I conducted a chapter member sustainability survey that queried members values, practices, and education levels relating to sustainability. I found that the greatest barriers facing sorority sustainability programs are the complex bureaucratic structure of sororities, the low prioritization of sustainability, the low status of sustainability program leaders, and chapter member behavior. To address these issues, I created a comprehensive list of recommendations, including developing sustainability regulations, enforcing mandatory sustainability education and increasing the visibility of the sorority sustainability program. These recommendations can serve as an action plan for future UCB sorority sustainability program leaders. Sustainability is on the radar of the sorority institution, and despite these challenges, UCB is paving the way for the implementation of successful sorority sustainability programs around the nation.</t>
  </si>
  <si>
    <t>Greek system, institutional barriers, behavioral barriers, value-action gap, resource conservation</t>
  </si>
  <si>
    <t>ReddenJ_2018-page1.pdf</t>
  </si>
  <si>
    <t>Katherine R Rice</t>
  </si>
  <si>
    <t>Creating a Species Inventory for a Marine Protected Area: The Missing Piece for Effective Ecosystem-Based Marine Management</t>
  </si>
  <si>
    <t>Over the past decade, ecosystem-based management has been incorporated into many marine-management administrations as a marine-conservation tool, driven with the objective to predict, evaluate and possibly mitigate the impacts of a warming and acidifying ocean, and a coastline increasingly subject to anthropogenic control. The NOAA Office of National Marine Sanctuaries (ONMS) is one such administration, and was instituted “to serve as the trustee for a network of 13 underwater parks encompassing more than 600,000 square miles of marine and Great Lakes waters from Washington state to the Florida Keys, and from Lake Huron to American Samoa” (NOAA, 2015). The management regimes for nearly all national marine sanctuaries, as well as other marine protected areas, have the goal of managing and maintaining biodiversity within the sanctuary. Yet none of those sanctuaries have an inventory of their known species nor a standardized protocol for measuring or monitoring species biodiversity. Here, I outline the steps required to compile a species inventory for an MPA, but also describe some of stumbling blocks that one might encounter along the way and offer suggestions on how to handle these issues (see Appendix A: Process for Developing the MBNMS Species Inventory (PD-MBNMS)). This project consists of three research objectives: 1. Determining what species inventory efforts exist, how they operate, and their advantages and disadvantages 2. Determining the process of creating a species inventory 3. Identifying the challenges with populating a species inventory with data and how to tackle these challenges in a standardized way</t>
  </si>
  <si>
    <t>Ecosystem-based marine management, marine protected areas, species inventory, inventory development and design, national marine sanctuaries</t>
  </si>
  <si>
    <t>RiceK_2018-page1.pdf</t>
  </si>
  <si>
    <t>Ryan A. Romero</t>
  </si>
  <si>
    <t>The Effectiveness of Climate Change Education: A Case Study at Longfellow Middle School in Berkeley, California</t>
  </si>
  <si>
    <t>Climate education’s short and long-term influence on students is not well documented, and the effectiveness of current climate education is not fully understood. I conducted research with 11 middle school students at an after school program in Berkeley, California. I created an educational intervention that comprised an academic video about climate science that I accessed from YouTube, and a follow-up group discussion. I used pre-surveys, post-surveys, and interviews to gauge any change in students’ reported knowledge, concern, or actions regarding climate change. My findings were similar to those of other similar studies but also provided new insight into the effectiveness of current education in shaping students’ engagement with climate change. Like most adolescents elsewhere, the respondents understood the existence and the anthropogenic nature of climate change. Generally, the students understood consequences of climate change, but were less certain about causes and potential mitigating actions. Also, there was a clear difference between which causes, consequences, and actions were universally understood, and which were most confusing for the students. However, by improving their knowledge in all three areas, they demonstrated the capacity to learn from both the video and the discussion. Overall, they had concern and demonstrated eagerness to discuss the topic, but this did not translate to changing their behaviors outside of the classroom. Future research needs to address why students do not do more to help mitigate climate change despite their awareness and concern, and how we can best increase long-term motivation to engage in pro-environmental behaviors and lifestyles.</t>
  </si>
  <si>
    <t>climate science, curriculum development, K-12 pedagogy, climate change mitigation, after school education</t>
  </si>
  <si>
    <t>RomeroR_2018-page1.pdf</t>
  </si>
  <si>
    <t>Valeria Sandoval</t>
  </si>
  <si>
    <t>Green Gentrification Analysis: A Case Study of the East Bay Greenway in Oakland, California</t>
  </si>
  <si>
    <t>Green development provides a new public amenity to under-resourced Oakland communities in the San Francisco Bay Area of California. The lack of green spaces in these low-income and primarily minority communities exist due to the city’s history of redlining and misguided urban planning. These new green space developments include parks, tree plantings, and gardens. Yet, the positive intention of providing these communities with improved open space access and healthier environments could also lead to an outcome of displacement and gentrification. Green gentrification consists of profit-driven developments in working class communities and communities of color that have suffered from a history of redlining in their neighborhoods. The process is observed through decreases of low-income, people of color in communities that begin to cater towards higher-income populations that are able to afford higher rent prices. In this context, displacement is the forced movement of current residents from their homes due to extreme changes in rent. To best understand how these communities are displaced through new green developments raising property values and rent prices, I did a case study of the planned East Bay Greenway in the preliminary phase of development. I then interviewed various stakeholders involved in the project’s planning and development process from the City of Alameda. This included city government officials, community group representatives, and project designers and managers, whom are also governmental officials. I additionally interviewed academics and researchers who interact with the topic through projects and personal research. Through these interviews, this research aimed to identify issues that may eventually contribute to displacement as this project moves forward with development. The main challenges I identified were that stakeholders lacked an ability to address displacement in the planning process and various institutional, economic, and practical barriers prevented a procedural displacement dimension. The inability to communicate these displacement concerns during green development is likely a significant contributor to the possibility of green gentrification in the East Bay Area.</t>
  </si>
  <si>
    <t>Green space, Green gentrification, East Bay Area, displacement of communities of color, urban planning, communicating gentrification, and just green enough projects</t>
  </si>
  <si>
    <t>SandovalV_2018-page1.pdf</t>
  </si>
  <si>
    <t>Hannah Schoolmeester</t>
  </si>
  <si>
    <t>If We Try, It Will Change: How Berkeley 4th and 5th Graders Understand Climate Change</t>
  </si>
  <si>
    <t>As climate change becomes more of a pressing environmental issue, climate change education becomes a crucial component of developing future environmental scientists, engineers and activists. Berkeley, California represents a uniquely environmental microcosm in which citizens actively try to reduce green house gas emissions and waste and whose public schools do their part in teaching their students about climate change. Through 31 interviews with Berkeley 4th and 5th graders I was able to assess the level of their climate change knowledge as well as the misconceptions that existed around this topic. Ultimately, the level of climate change understanding of these students was impressive with the majority of them acknowledging the anthropogenic nature of climate change and several of its major causes. Even more encouraging, however, was how optimistic the students I interviewed were about their ability to curtail the future of climate change. This optimism is perfectly encapsulated by the quote in the title of this thesis: "If We Try, It Will Change."</t>
  </si>
  <si>
    <t>Environmental education, global warming, childhood science narratives, elementary science education</t>
  </si>
  <si>
    <t>SchoolmeesterH_2018-page1.pdf</t>
  </si>
  <si>
    <t>Linqian Sheng</t>
  </si>
  <si>
    <t>Landscape Impacts on Bird Diversity in East Bay Urban Parks</t>
  </si>
  <si>
    <t>Birds, as one of the best indicators of urban habitat quality, have been threatened by urbanization due to the change of urban landscapes. Parks are potential solutions for bird species conservation. This study examined what landscape elements are significant to bird biodiversity in urban parks in East Bay, and aimed to build a model that might help to assist bird species conservation in future parks design. Among all the models we built, the best-fitting model was a combination of square-root area, percentage of impervious cover, mean greenness and mean temperature, which yielded a high r2 of 0.6727 and the lowest AICc value of 308.8. All landscape parameters within the model were significant, as they all had p-values less than 0.05. Among these, mean greenness was the most significant parameter and had a negative impact on bird biodiversity. The size of the park was the most dominant parameters in all candidate models and had a positive impact on bird biodiversity. Both percentage of impervious land covers and mean temperature negatively affected the bird diversity.</t>
  </si>
  <si>
    <t>urban landscape, bird biodiversity, urban parks, GIS, remote sensing, ANOVA, biodiversity conservation, ecology, habitat</t>
  </si>
  <si>
    <t>ShengL_2018-page1.pdf</t>
  </si>
  <si>
    <t>Yuzheng Shen</t>
  </si>
  <si>
    <t>Optical Measurement of Xylem Vulnerability: Variations in Three Species of California Trees</t>
  </si>
  <si>
    <t>Global climate change results in increasing chances of extreme weathers; drought is one of the negative ecological consequences. The recent California drought resulted in a decreased amount of precipitation, snowpack, groundwater, etc. These drought conditions resulted in tree death. A study from Stanford University presented that drought triggered tree mortality (Breshears, et, al, 2005). As victims in the drought period, trees suffer damage because of the lack of water causes damages on plants xylem. When xylem suffers too much damage, it loses the ability to recover, and it loses its function to transport sap (Skelton, et, al, 2017). As a result, it reduces both respiration and photosynthesis activities in this induvial. On a bigger scale, when many of the trees are damaged, the productivity of that area decreases. It directly affects the Carbon Dioxide concentration in that area. Because the plants lose some of their function, their ability to soak up Carbon Dioxide weakens. When Carbon Dioxide concentration keeps rising, it may amplify on globe warming (Dai, A. 2010), which comes back to increase the chance of having an extreme drought, and more trees are damaged in the drought (Brodribb et al, 2016). The acknowledgment of unrecoverable damage point on trees is a valuable information for forest reservation and water management. Our ability to predict tree dieback is lacking, and my study is an investigation that tries to answer this unknown.</t>
  </si>
  <si>
    <t>embolism, dieback, conductivity, predict, variations</t>
  </si>
  <si>
    <t>ShenY_2018-page1.pdf</t>
  </si>
  <si>
    <t>Jody L. Strait</t>
  </si>
  <si>
    <t>Climate Change: Is Seeing Believing for California Farmers? Risk Perceptions, Belief Motivation and Social Barriers to Adaptation</t>
  </si>
  <si>
    <t>Many communities have already experienced stressful and at times life-threatening impacts of anthropogenic climate change. As planetary temperatures continue to increase, so will the need for effective adaptation at each societal level. Some communities in the United States, however, are experiencing a troubling paradox: their societies are highly to moderately vulnerable, yet their key decision-makers dismiss the threat of human-caused climate change. A robust body of research suggests that personal experience of climate change, e.g., an extreme weather event, correlates with increased concern, which may correlate to increased political will. Through surveys and interviews, this research tested for rational belief revision in an agricultural community impacted by climate change in multiple ways. My results show that key stakeholders in the study site have low climate-risk perceptions levels and appear to engage in belief-motivated perception, thus limiting local adaptation to climate change. I classify three site-specific social barriers to adaptation, identify trusted messengers and outline local narratives for future climate communication efforts within the study site.</t>
  </si>
  <si>
    <t>California agriculture, social-environmental systems, climate communication, climate denial, political ecology</t>
  </si>
  <si>
    <t>StraitJ_2018-page1.pdf</t>
  </si>
  <si>
    <t>Ashley M. Sutton</t>
  </si>
  <si>
    <t>PFCs in Aquifer Systems: The Influence of Landscape Attributes on the Spatial Distribution of Perfluorooctanoic acid (PFOA) and Perfluorooctanesulfonic acid (PFOS) in New Hampshire Aquifers</t>
  </si>
  <si>
    <t>Perfluorinated chemicals (PFCs) negatively impact the hormonal and reproductive health of organisms while persisting long term in the environment. Although there have been numerous studies examining PFC concentrations and their movement in water, these papers focus on surface water systems and exclude groundwater, the largest source of the world’s drinking water. I used an exploratory and ordinary least squares regression along with a regression tree analysis comparing New Hampshire well concentrations of Perfluorooctanesulfonic acid (PFOS) and Perfluorooctanoic acid (PFOA) to 28 different variables describing anthropogenic features, the surface environment, and geologic characteristics. These analyses examined whether factors shown to influence surface water PFC concentrations translated to groundwater, and if additional variables were needed to increase model accuracy. In both the linear regressions and the regression tree, solid waste disposal facilities, industry, distance to the closest known aquifer, and markers of developed land were important to predicting PFC levels. For the exploratory regressions both PFOA and PFOS were correlated to 4 anthropogenic features, 1 surface descriptor, and 2 geologic characteristics. However, the Moran’s I test for spatial autocorrelation indicated that both models had clustered residuals and were missing key explanatory variables. Although the linear regression and regression tree resulted in a similar model accuracy for PFOA with an R squared of 0.4, there was a marked improvement using the regression tree for PFOS increasing the R squared from 0.04 to 0.3. The high presence of anthropogenic features in the final models indicates that, like surface water, groundwater PFC concentrations are related to sources of pollution. Nevertheless, geologic characteristics are also critical in understanding PFC distributions in aquifers.</t>
  </si>
  <si>
    <t>Endocrine disruptors, public health, groundwater, multi-variate regression, wells</t>
  </si>
  <si>
    <t>SuttonA_2018-page1.pdf</t>
  </si>
  <si>
    <t>Thao T. Tran</t>
  </si>
  <si>
    <t>The Effect of Environmental Knowledge on Improving Recycling Behavior: A Case Study at University of California, Berkeley’s International House</t>
  </si>
  <si>
    <t>Research of recycling behavior has primarily focused on environmental concerns and values. However, there is a need for the investigation of the relationship between recycling behavior and environmental knowledge. Obtaining more environmental knowledge, specifically on waste and proper recycling, could potentially improve an individual’s recycling behavior. Using University of California, Berkeley’s International House as a case study, I organized two outreach activities to increase residents’ knowledge on waste and recycling in order to test the effectiveness of these interventions in improving recycling behavior. Following these activities, I distributed a survey to the general International House community with questions focused on previous environmental involvement, demographic characteristics, self-reported recycling behavior, and their perceived behavioral changes following participation in the interventions. The surveyed participants with more exposure to various sources of environmental information recycled more than those with less exposure. However, the relationship between exposure to general environmental knowledge and recycling habits was not statistically significant. Likewise, there was no statistical significance in the correlation between recycling behavior and the respondents’ gender, education level and region of origin. Meanwhile, based on the post-intervention survey results from the activity participants, providing information specifically on waste and recycling showed to improve individual recycling behavior, albeit only with people with certain characteristics. The results suggest that effective environmental education in small institutions, such as the International House, requires improved effort in environmental knowledge and delivery. In addition, understanding the background of the target population characteristics can potentially improve the effectiveness of environmental knowledge-building activities. There should be more research in the future to better understand which types of educational tools should be used for different populations to maximize their effectiveness.</t>
  </si>
  <si>
    <t>waste, recycling, environmental knowledge, behavior, university</t>
  </si>
  <si>
    <t>TranT_2018-page1.pdf</t>
  </si>
  <si>
    <t>Rei Whitworth</t>
  </si>
  <si>
    <t>Risk Communication Discourse on Environmental Disaster: The Case Study of the 3-11-11 in Fukushima, Japan</t>
  </si>
  <si>
    <t>Post-disaster Fukushima encounters a growing confrontation and division between government, scientists, and affected population regarding communicating the scientific findings and data on the health impacts of radiation. The primary reason for this social discord is because the survivors and their communities have not received plausible explanations related to their health risks after prolonged exposure to radioactivity, while the physicians confine themselves to sharing the findings from their medical research in a manner that the general public is unable to comprehend. This results in a lack of mutual trust. This research analyzed post-accident Fukushima’s Risk Communication (RC) practices articled by the World Health Organization (WHO) as part of discourse analysis. While identifying the current RC approaches, the study attempted to differentiate how various institutions and stakeholder groups have framed and communicated radiation health risks. In addition, this project examined the sociopolitical consequences of Fukushima’s institutional RC on the affected communities. This research suggests the need for transparency and clarity in establishing radiation risk health policies.</t>
  </si>
  <si>
    <t>Nuclear radiation, Post-accident Fukushima, Public health, Risk Communication and Discourse Analysis, the Great Tohoku, Japan Earthquake and Tsunami</t>
  </si>
  <si>
    <t>WhitworthR_2018-page1.pdf</t>
  </si>
  <si>
    <t>Steven C. Wong</t>
  </si>
  <si>
    <t>A Comparative Life-Cycle Assessment of BubbleDeck Voided Slabs</t>
  </si>
  <si>
    <t>Concrete is one of the most widely consumed materials on Earth. Portland cement production accounts for 74% of carbon dioxide emissions associated with concrete and 5% of total anthropogenic emissions. Void formers have been traditionally used as a method to reduce the self-weight of concrete slabs while maintaining structural integrity, but have also recently been promoted as an effective means to reduce concrete and cement consumption. BubbleDeck was invented in 1995 and has been shown to reduce the self-weight of concrete slabs and reduce material consumption. However, the comprehensive environmental impact of BubbleDeck voided slabs, specifically in the North American context, has been minimally addressed. Life-cycle assessment is method by which the total environmental impact of a product over its life stages is measured from production through end-of-life use. Using previously determined global warming potential values of concrete, steel reinforcement bar (i.e. rebar), and high-density polyethylene, a comparative life-cycle assessment of three sizes of structurally comparable solid and voided slabs was conducted. The assessment suggests that incorporating BubbleDeck void formers can significantly reduce the global warming potential of otherwise solid slabs by up to 74%, and may be an effective method of reducing carbon emissions associated with concrete production.</t>
  </si>
  <si>
    <t>global warming potential (GWP), concrete, void formers, high-density polyethylene (HDPE), steel bar reinforcement (rebar)</t>
  </si>
  <si>
    <t>WongS_2018-page1.pdf</t>
  </si>
  <si>
    <t>Kasumi Yatsuzuka</t>
  </si>
  <si>
    <t>Species Distribution Modeling to Predict Invasion Risk of Nutria (Myocastor coypus) in Japan</t>
  </si>
  <si>
    <t>Nutria, a large aquatic rodent native to South America, is categorized as an invasive species in Japan and regulated to prevent harm to the economy and native ecosystems. Despite the regulation efforts, the population size and distribution range of nutria is still expanding in Japan due to their rapid reproductive cycle. Although the impact of nutria in increasing, few studies have been conducted on them in Japan. In this study, I will investigated the areas with potential risk of nutria invasion and climatic characteristics that are associated with the nutria distribution in Japan by using Maxent Species Distribution Modeling. I produced two prediction models using both Japanese climatic and occurrence data and American climatic and occurrence data. As a result, I found that using Japanese data produced a better prediction of nutria’s potential distribution. I also found that Kanto region and northern Kyushu region are at risk for potential nutria invasion. The pattern of correlation between nutria presence and climatic variables were different between nutria in Japan and that in the U.S.</t>
  </si>
  <si>
    <t>invasive species, potential distribution, ecological niche modeling, spatial scale, climate</t>
  </si>
  <si>
    <t>YatsuzukaK_2018-page1.pdf</t>
  </si>
  <si>
    <t>Weihan Zhang</t>
  </si>
  <si>
    <t>Rate of Phytoremediation and Distribution of Arsenic Within Pteris vittata</t>
  </si>
  <si>
    <t>Pteris vittata is a standard choice of conducting phytoremediation in the field with arsenic contaminated soil because it has been identified as an arsenic hyperaccumulator, which can extract, translocate, and tolerate arsenic. This field-based study investigated the rate of arsenic uptake in Pteris vittata fronds over one growing season and the distribution of arsenic within P. vittata fronds. P. vittata grew in arsenic-contaminated soils in the Richmond Field Station amended with lime. Fronds were tagged and dated when they emerged as fiddleheads, and harvested at 5, 10, 15, and 20 weeks of growth. Ground plant tissue samples were analyzed for arsenic concentration using Inductively Coupled Plasma-Optical Emission Spectrometry after digestion with nitric acid and hydrogen peroxide. Results showed that arsenic concentrations within P. vittata fronds peaked at five weeks after the fiddlehead emergence and decreased over time. Furthermore, the total As within fronds declined after week 10. For the second objective, results demonstrated that the highest As concentrations were found at the fronds base, but the total As was distributed similarly to all parts of the frond. Therefore, in order to optimize As phytoextraction by P. vittata, researchers should harvest fern fronds by ten weeks of growth. Finally, because arsenic sequestration in pinnae is not based on pinnae location or pinnae size, our results suggest other factors drive arsenic sequestration, possibly including As transport within the fern and/or As availability in soil.</t>
  </si>
  <si>
    <t>Soil, Phytoremediation, Hyperaccumulation, Chinese Brake Fern</t>
  </si>
  <si>
    <t>ZhangW_2018-page1.pdf</t>
  </si>
  <si>
    <t>Yuhan Zhang</t>
  </si>
  <si>
    <t>Post-Occupancy Evaluation of Air Conditioned and Mixed-mode Ventilated Office Buildings in India</t>
  </si>
  <si>
    <t>As a country primarily in a tropical and subtropical climate, India’s recent economic growth has been accompanied by an increased demand in air conditioning and, subsequently, energy use. For large office buildings, mixed-mode ventilation (MMV) is an alternative to air conditioning (AC), but this strategy has yet to be widely adopted. This study compares the thermal sensation, preference, and acceptance of occupants in AC and MMV office buildings in India through post-occupancy evaluation (POE) online surveys. This study additionally analyzes the perception and behavior of occupants regarding their use of windows and fans to identify strategies to promote MMV implementation in both India and other regions. The results demonstrate that occupants are generally more satisfied with the indoor environmental qualities in MMV office buildings than in AC office buildings. However, there is a lack of evidence to prove if the higher satisfaction in MMV office buildings level is due to the system’s operable windows and fans since some adjustments regarding temperature setting and window/fan usage are also needed in MMV buildings. The analysis was generated through a database from Center for Built Environment (CBE), which included 600 online surveys responses from 12 AC and MMV buildings in India.</t>
  </si>
  <si>
    <t>indoor environmental quality, thermal comfort, mixed-mode ventilation, air conditioning ventilation, window and fan usage</t>
  </si>
  <si>
    <t>ZhangY_2018-page1.pdf</t>
  </si>
  <si>
    <t>John Bursick</t>
  </si>
  <si>
    <t>The Role of Litigation in Pursuing Environmental Justice in Richmond, CA</t>
  </si>
  <si>
    <t>Environmental justice litigation is an important strategy to address disproportionate exposures to environmental harms. This paper investigates how, why, and to what effect environmental justice litigation has been employed in Richmond, California. The Chevron Richmond Refinery, California’s largest source of greenhouse gas emissions, is located in Richmond. The city also has a high proportion of low-income people of color, as well as a childhood asthma rate that is more than twice the national average. Numerous environmental justice suits have been filed against the refinery, both to assure compliance with and enforcement of environmental laws and for civil rights claims. I conducted interviews and analyzed case briefs and articles from local news outlets. I found that litigation did not play as large as a role in attaining environmental justice as I had expected. Richmond’s environmental justice issues have primarily elicited community mobilization and activism, while only a few instances have led to litigation by non-profits and the City of Richmond, which have sought to hold Chevron accountable for environmental and public health harms. However, litigation has aided other environmental justice strategies by allowing non-profits time to mobilize members of the community, as well as allowing the City to obtain compensation for environmental harms caused by the refinery. Thus, environmental justice litigation has served as one of many strategies in a broad and ongoing environmental advocacy campaign within Richmond.</t>
  </si>
  <si>
    <t>Environmental law, Richmond, CA, Chevron, community, public health</t>
  </si>
  <si>
    <t>BursickJ_2017-page1.pdf</t>
  </si>
  <si>
    <t>https://www.ocf.berkeley.edu/~pkmendez/envsci/projects/2017final/</t>
  </si>
  <si>
    <t>Reina Carissa</t>
  </si>
  <si>
    <t>Relative growth of Ribes sanguineum (pink-flowering currant) in context of novel ecosystem and habitat restoration at restoration sites in Mount Sutro, San Francisco</t>
  </si>
  <si>
    <t>Novel ecosystems are areas where ecological processes have been substantially altered by global human activity. This includes transport of species to areas where it never existed before, making them exotic. In many areas, invasive exotic species created competition with the native species that could disturb the ecosystem function and biodiversity it supports. As a respond to this degrading change, humans thus play an important role in regulating the types and rates of ecosystem change through restoration ecology. Restoring an ecosystem to its historical composition of native species is thought to be the most effective method to reverse the change. Restoring novel ecosystems, however, requires careful consideration of how conditions have changed ecologically and the socio-economic constraints that limit planning and priorities. To bridge the novelty and efforts in restoration ecology, this study aims to address questions related to ecological effect of restoration efforts on growth of a native shrub species pink-flowering currant (Ribes sanguineum var. glutinosum) at restoration sites in an urban forest. I determined relative growth rates of existing R. sanguineum plants in Mount Sutro, San Francisco, and assessed the rates in correlation to canopy density, litter accumulation, and proximity to the nearest trail. I found that canopy density is correlated to the growth of R. sanguineum across different restoration sites, while litter accumulation and nearby trails had no significant effect on the growth rates. These results suggest that restoration priorities need to consider canopy cover treatment or relocating sites to improve restoration outcomes and maximize native plants’ growth potential.</t>
  </si>
  <si>
    <t>biodiversity conservation, invasive species, urban forest, ecological impact, native vegetation</t>
  </si>
  <si>
    <t>CarissaR_2017-page1.pdf</t>
  </si>
  <si>
    <t>Shengrui Cen</t>
  </si>
  <si>
    <t>Estimate Country-level Cropland Biocapacity from Collective Data Using Machine Learning</t>
  </si>
  <si>
    <t>Machine Learning is rarely used to estimate country-level Biocapacity based on Bio-Physical data (BP) and Socio-Economic data(SE). In this study, I proposed and tested the assumption that a non-linear model has better prediction ability than a linear model in country-level cropland Biocapacity prediction. I selected and tested Artificial Neural Network(ANN) and Multivariate Linear Regression(MLR)for two models on three scenarios. The dataset is separated into three models to describe three scenarios of predictor data: Bio-Physical, Socio-Economic(SE) and BP-SE-Combined. Both ANN and MLR were used to train on these three scenarios independently. The best prediction result is the BP-SE-Combined Scenario, of which the test set regression resulted in ANN having the lowest RMSE value of 0.03603 and a highest R² value of 0.97495 among all three scenarios, which indicates that ANN has the potential of building better model fit in country-level Biocapacity prediction. However, as a result of the scarcity of datapoint, data dropping problem during data pre-processing procedure and data downscaling during pre-training process, RMSE of ANN is still high when scaling the prediction back to original value. For ANN, RMSE increased to 3.9 × 10⁵ after scaling. Currently, without more complete and aggregated source data for BP data such as water usage, country-level averaged precipitation or SE data such as financial support flow to Agriculture, ANN should not be applied directly for country level cropland Biocapacity prediction.</t>
  </si>
  <si>
    <t>Biocapacity, Machine learning, Linear Regression, Artificial Neural Network</t>
  </si>
  <si>
    <t>CenS_2017-page1.pdf</t>
  </si>
  <si>
    <t>Shannon T. Chang</t>
  </si>
  <si>
    <t>Development of Aerosol Black Carbon Detector Network in West Oakland</t>
  </si>
  <si>
    <t>Black carbon (BC) is a small light-absorbing aerosol that accelerates climate change and negatively impacts exposed communities. BC concentrations are typically measured using optical techniques implemented in commercially available aethalometers. Independent sensor development is on the rise because of increasing availability of inexpensive hardware. The goal of my study is to investigate concentration gradients in West Oakland measured by a cost-minimizing design of Aerosol Black Carbon Detectors (ABCDs) built at Lawrence Berkeley National Lab (LBNL). West Oakland is a local hotspot because it is surrounded by three major freeways and the Port of Oakland. The cost-minimizing BC sensor cells include an Arduino, a pump, a flow meter, and a sensor. Applying a new calibration curve to determine the optimum voltage to achieve a certain flow rate decreased the percent error from 6% to 1%. Analyzing the hourly averages by day of the week, Sunday had the most variation, with a large peak at 8-10 am, while other days had smaller peaks at similar times. The weekday peaks can be attributed to diesel truck emissions, while the weekend peaks appear to be anomalies due to external factors such as fires or weather conditions. ABCDs exposed to air closer to I-880 had higher BC concentrations because most diesel trucks travel on I-880.</t>
  </si>
  <si>
    <t>Aethalometer, Arduino, black carbon, ABCD, concentration gradient</t>
  </si>
  <si>
    <t>ChangS_2017-page1.pdf</t>
  </si>
  <si>
    <t>Blair Conklin</t>
  </si>
  <si>
    <t>El Niño and intertidal boulder field sedimentation at Point Reyes National Seashore</t>
  </si>
  <si>
    <t>Wave-exposed boulder fields, a common feature of the California coast, encounter drastic fluctuations in the amount of sand within them. This study examined the inter-annual and seasonal differences of sedimentation in an intertidal boulder field from September 2014 to March 2017. The study period included one El Niño winter, characterized by increased wave energy, and two ENSO-neutral winters. I used monthly photographs to qualitatively monitor sedimentation at two intertidal boulder fields in northern California. Sand depth was also measured within the boulder fields, and those measurements were positively correlated to the photographic assessments of sedimentation. Only one of the sites exhibited a strong seasonal cycle in sedimentation. Additionally, there were no differences in sedimentation between El Niño and ENSO-neutral winters. The results of this study indicate that sedimentation and erosion on beaches can vary dramatically between adjacent shorelines based on physical factors, such as exposure to swell conditions. Monitoring and understanding coastal sedimentation can inform land management decisions, marine resource reserves, and erosional processes during climate anomalies.</t>
  </si>
  <si>
    <t>sand, beach morphology, wave energy, intertidal, seasonal, El Niño</t>
  </si>
  <si>
    <t>ConklinB_2017-page1.pdf</t>
  </si>
  <si>
    <t>Yihong Ding</t>
  </si>
  <si>
    <t>The Application of Partial Nitrification in Nitrogen Removal Process: The Potential Inhibitory Effect of Free Ammonia and Cambi-THP Pretreated Centrate</t>
  </si>
  <si>
    <t>Cambi Thermal Hydrolysis Process(Cambi-THP) is a high-temperature and high-pressure pretreatment process that can greatly reduce the energy cost of the anaerobic digestion process. However, previous studies have indicated that the Cambi-THP centrate can cause an inhibitory effect on ammonia-oxidizing bacteria(AOB). Since the AOB is the major bacteria used in Partial nitrification(PN) process, Cambi-THP centrate can result in the reduction of the treatment efficiency. Still, the correlation between the concentration of Cambi-THP pretreated centrate and the inhibitory effect is not well understood. Under the sponsorship of SFPUC, we conducted this research to find out the correlation between the percent of the Cambi Centrate used and the level of inhibitory effect. Also, we studied the inhibitory effect of free Ammonia(FA) on AOB in search of the FA and ammonium concentration at which we can get the highest nitrogen removal rate in PN process. To achieve the two research objectives, we conducted several sets of batch experiments for synthetic, regular and Cambi centrate at the ammonium concentration ranging from 0 to 2170 mg/L NH4+ – N. The result indicated that we can achieve the highest nitrogen removal rate at 542 mg/L NH4+ – N and 9.7 mg/L FA-N. Also, the result of our study suggested that Cambi centrate didn’t have a statistically significant inhibitory effect on AOB, which contradicts the results from Figdore et al. (2011). Overall, our research focused on the potential inhibitory effects in PN process and provided experimental data that can be used as a reference for the operation of PN reactor.</t>
  </si>
  <si>
    <t>biological wastewater treatment process, treatment efficiency, ammonia oxidizing bacteria, batch experiments, ammonium removal rate</t>
  </si>
  <si>
    <t>DingY_2017-page1.pdf</t>
  </si>
  <si>
    <t>Mathilda Farrell</t>
  </si>
  <si>
    <t>Zika Discourse in American Media: The Language and Framing of a Public Health Crisis</t>
  </si>
  <si>
    <t>The Zika virus is a mosquito-borne and sexually transmitted disease that became an epidemic in South America in 2015 and spread to the United States in 2016. How American newspapers talk about and frame the Zika virus influences how the public understands and reacts to the disease and how governments respond to the disease. The characteristics and frames of media discourse and the inclusion and exclusion of certain communities and ideas reflect relations of power and social inequity. I collected relevant articles from the New York Times, Miami Herald, and Dallas Morning News between January 2016 and January 2017 by searching “Zika”, and analyzed them for common themes and patterns in framing, language, and content. The New York Times primarily focused on international issues, while the Miami Herald and Dallas Morning News focused on more locally relevant issues regarding Zika. Five common discursive frames were found in the articles: the medical moment, economy, environment, women, and development. The medical moment frame was the most prevalent, while the women and development frames were often only implied from language and phrasing. While limited by the scope of newspapers and the newness of the Zika Virus in the United States, understanding how these discourses are presented and characterized has important implications for government policy and public health responses, and also contributes to the greater understanding of how power and oppression operate in the context of public health crises.</t>
  </si>
  <si>
    <t>Othering, Emerging Diseases Worldview, Gender, Capitalism, Medical Moment, Insecticide</t>
  </si>
  <si>
    <t>FarrellM_2017-page1.pdf</t>
  </si>
  <si>
    <t>Melissa M. Ferriter</t>
  </si>
  <si>
    <t>Quantifying Post-Wildfire Vegetation Regrowth in California since Landsat 5</t>
  </si>
  <si>
    <t>The relationship between wildfire and vegetation regrowth in California has important implications for policy and conservation. Despite this, few previous studies have investigated fire and regrowth at a statewide level or across broad time scales and vegetation classes. Consequently, there is no standardized measure to compare response to fire over time in different ecological communities, leaving an important gap in our understanding of how California will respond to increasing drought and fire frequency. To investigate this relationship, I combined the power of emerging tools in data science implemented in Google Earth Engine (GEE) with freely available CALVEG data and Landsat 5 and 8 normalized difference vegetation index (NDVI) time series to examine the effects of fire frequency on vegetation regrowth for nine vegetation categories across California. The nine vegetation categories were chosen to capture the statewide heterogeneity and included oak, conifer, hardwood, desert, herbaceous, shrub, mixed forest, other, and agriculture. Through the use of cloud computing I was able to simultaneously analyze every pixel in California that has burned since 1984, using NDVI as a measure of vegetation greenness and regrowth. I found that mean NDVI was significantly lower in burned pixels than unburned pixels in 4 of the 9 vegetation categories, and NDVI also decreased as fire frequency increased in 6 of the 9 vegetation categories. I concluded that fire has a significant effect on vegetation regrowth in California, but to varying magnitude and direction across the different ecosystems.</t>
  </si>
  <si>
    <t>Remote sensing, Google Earth Engine (GEE), NDVI, fire frequency, California ecosystems</t>
  </si>
  <si>
    <t>FerriterM_2017-page1.pdf</t>
  </si>
  <si>
    <t>Anthony W. Fortney</t>
  </si>
  <si>
    <t>Farmer’s Market’s and Consumer Behavior in Concord, CA</t>
  </si>
  <si>
    <t>Consumer behavior has shaped the local food movement’s focus on the supply of small, community based agricultural products through farmer’s markets. Studies have highlighted the role of farmer’s markets and consumer behavior in rural and urban environments, leaving a gap in knowledge regarding their role in suburban areas. Eighty surveys were collected from customers at Todos Santos Plaza famer’s market in Concord, California. Survey respondents were asked to indicate the locations from which they had purchased groceries in the previous month, provide their definition of “local produce”, and rate the importance of specified motives when buying food from farmer’s markets. Results showed trends consistent with other rural and urban studies, with freshness, taste, and nutrition ranking highest in values, and that perceptions of food quality and healthiness were the primary motives for buying from farmer’s market. Family experience also ranked relatively high as a motivation, indicating a slight difference from rural and urban studies, and suggesting that farmer’s market visitors in suburban areas more strongly value farmer’s market shopping as a family experience.</t>
  </si>
  <si>
    <t>alternative food movement, local produce, suburban consumer, family experience</t>
  </si>
  <si>
    <t>FortneyA_2017-page1.pdf</t>
  </si>
  <si>
    <t>Kelsey Foster</t>
  </si>
  <si>
    <t>Assessing shrinkage and fragmentation of Wetlands in the Sacramento-San Joaquin Delta, California from the Early 1800s to Present</t>
  </si>
  <si>
    <t>Wetlands within the Sacramento-San Joaquin Delta in California have historically been rich in biodiversity, natural resources, and ecosystem services. Since the late 1800s, conversion of wetlands to agricultural land has led to a loss of 98% of wetlands in the Delta and a subsequent loss of ecosystem services and ecological functions, including wildlife habitat. To address this, restoration projects have been undertaken in the Delta, but planning for these restorations have not focused on incorporating landscape level features necessary for system-wide functionality. I assessed landscape-level shrinkage and fragmentation of wetland habitats by calculating changes in landscape metrics (e.g., mean patch size, number of patches, and perimeter-area ratio) from the early 1800s to 2009. I assessed changes in the spatial distribution of wetlands using spatial analysis tools, such as the Average Nearest Neighbor tool. Overall there was extensive habitat shrinkage and fragmentation with a considerable decrease in mean wetland patch size (4425.46 ± 22834 ha to 4.94 ± 54 ha), increase in the number of wetland patches (55 historical patches to 2920 modern patches), and a shift in the spatial pattern of wetlands from clustered to dispersed (p-value&lt;0.01). This project will help enhance wetland restoration management and monitoring in the Delta by providing an understanding of how the landscape has changed.</t>
  </si>
  <si>
    <t>GIS, FRAGSTATS, spatial analysis, landscape-scale restoration, landscape metrics</t>
  </si>
  <si>
    <t>FosterK_2017-page1.pdf</t>
  </si>
  <si>
    <t>Chiara Miho Grazia Galassetti</t>
  </si>
  <si>
    <t>Implementation of Nesting Blocks for Supplemental Farm Pollination in Contra Costa County 2016</t>
  </si>
  <si>
    <t>There is a pressing need to lessen our agricultural dependence on declining European honey bee populations by increasing the biodiversity of other pollinators. This study focuses on the agriculturally productive state of California that contains over 1,400 species of native bees. Native bee declines are also increasingly common as a result of a combination of factors including conventional agricultural practices and habitat conversion. This study aimed to attract wood nesting bees from the Megachilidae family that are known crop pollinators through the implemented of 48 man-made nesting blocks on four different farm sites in Contra Costa county California between late May and November of 2016. To estimate pollinator nesting I manipulated the hole sizes within each block, the placement of the blocks inside or outside of crops, and placed the blocks in farms with a presence or absence of natural habitat. The blocks mainly attracted three species of bees and three species of wasps and their peak nesting time was during the months of June and July. The nesting of the some of these species were significantly related to nesting block hole size. The placement of the nesting blocks (in verse outside crops) and the presence of native habitat did not have a significant relationship with nesting, which may have resulted from the relatively small sample size resulting from data collection occurring in the last year of California’s five year drought. Future research is also needed to look at bee trends during the spring months of February to May.</t>
  </si>
  <si>
    <t>Native bees, Megachilidae, California agriculture, pollinator biodiversity, bee nesting seasonality</t>
  </si>
  <si>
    <t>GalassettiC_2017-page1.pdf</t>
  </si>
  <si>
    <t>Alexander R. B. Goetz</t>
  </si>
  <si>
    <t>Interactions between Ribes sanguineum and Symphyotrichum chilense in the context of drought-conscious restoration</t>
  </si>
  <si>
    <t>Planting of native species is a common strategy in restoration. When selecting plants for restoration projects, it is important to take into account how they will interact and how these interactions are affected by ecosystem factors. In particular, urbanized ecosystems in California are greatly impacted by water availability. To assess impacts of water availability on plant interactions in the context of an urban riparian restoration project, I examined the growth of Ribes sanguineum (red flowering currant) and Symphyotrichum chilense (common aster) in a greenhouse study under 3 different watering regimes and compared their relative growth rates. I also compared a series of R. sanguineum plants at two different restoration sites to identify effects of sun exposure on growth under field conditions. Competition was observed much more than facilitation among plants in the greenhouse study, among both plants of the same species and of different species. Relative growth rates and leaf count comparisons suggest that resource availability had an effect on overall growth, especially in the case of S. chilense. S. chilense plants were able to crowd out R. sanguineum plants, while R. sanguineum individuals may have been adversely affected by insufficient space for growth. Additionally, R. sanguineum plants in recently restored areas showed significantly higher leaf counts, flower counts and plant heights under high-sunlight conditions than under low-sunlight conditions. These findings suggest that it is feasible to grow R. sanguineum and S. chilense together for low-water restoration projects as long as minor precautions are taken to prevent detrimental competition.</t>
  </si>
  <si>
    <t>Common aster, red flowering currant, novel ecosystems, Strawberry Creek, restoration ecology</t>
  </si>
  <si>
    <t>GoetzA_2017-page1.pdf</t>
  </si>
  <si>
    <t>Alison N. Haddad</t>
  </si>
  <si>
    <t>Evaluating the Relationship between Soil Texture and Soil Organic Carbon across California Grasslands</t>
  </si>
  <si>
    <t>Anthropogenic climate change s is irreversible on a multi-century to millennial timescale unless there is a sustained net removal of carbon dioxide from the atmosphere (IPCC AR5 2013). Removal of atmospheric CO2 occurs by carbon sequestration, a process by which a carbon stock takes up more carbon than it releases. Soil is one such carbon sink; plants naturally sequester carbon through photosynthesis, and some of that C moves into the soil and becomes integrated into the soil carbon pool. The urgency of climate change impels scientists to find ways to enhance and accelerate C sequestration processes. Understanding how much carbon could be stored in soil is essential to understanding the potential for soil carbon sequestration; hence this study aims to understand the relationship between soil properties and soil carbon. As part of a large, multi-stakeholder experiment, I collected soil samples from 16 grassland sites across California and analyzed the soil texture (percent sand, silt, and clay), and soil organic carbon content. Based on the findings, clay content may not provide a good proxy for determining soil carbon in California, but rainfall had a strong positive correlation with carbon. A better understanding of the factors driving C sequestration will allow for enhanced sequestration of atmospheric carbon in a climate change mitigation plan.</t>
  </si>
  <si>
    <t>carbon sequestration, climate change, rangelands, regression</t>
  </si>
  <si>
    <t>HaddadA_2017-page1.pdf</t>
  </si>
  <si>
    <t>Betty W. Huang</t>
  </si>
  <si>
    <t>Mapping the Human Right to Water in China</t>
  </si>
  <si>
    <t>According to the United Nations, the percentage of people without access to clean drinking water halved between 1990 and 2015, thereby meeting Millennium Development Goal (MDG) Target 7c for Water set in 1990. However, aggregate data used by the MDG to assess water resources fail to address enormous disparities between regions and countries, and across communities. In this research, China is used as a case study, where access to improved water is limited. I examined three case studies and documented their regional narratives on access to improved water sources and compared them with Joint Monitoring Programme’s (JMP) data in order to evaluate the accuracy of JMP monitoring techniques used to assess progress towards the MDG. Despite JMP data suggesting improvement in China’s water resources, previous studies in these regions show that access to improved water has actually declined between 2002 and 2010; except in metropolitan zones, where access to water improved. Wealthy, urban families were more likely to have access to improved water sources than poor, rural families. The persistence of regional disparities in access to clean water suggests the need to evaluate and adjust JMP’s current monitoring methods and metrics, incorporating disaggregate data to identify communities most vulnerable to water scarcity, and formulate policy to better direct resources towards insufficient water infrastructures.</t>
  </si>
  <si>
    <t>improved water, aggregate data, disaggregate data, regional disparity, Joint Monitoring Programme (JMP)</t>
  </si>
  <si>
    <t>HuangB_2017-page1.pdf</t>
  </si>
  <si>
    <t>Russell Huang</t>
  </si>
  <si>
    <t>Why Do Some College Students Recycle? Exploring the Relationship Between College-Specific and College-Independent Factors</t>
  </si>
  <si>
    <t>The United States produces vast quantities of waste, threatening both ecosystem and human health through extensive landfill creation which causes hazardous chemical emissions and groundwater contamination. Encouraging recycling is a key means of addressing this issue by mitigating waste production. I address how the college environment influences the development of pro-environmental recycling behavior, and compare the contribution of college-specific factors with those of college-independent factors. College-specific factors are defined as factors that only occur in college, such as academic major or exposure to environmental classes, while college-independent factors are factors that exert influence before college, such as parental recycling habits. I surveyed students regarding college-specific and college-independent factors, and used a multiple linear regression model to determine how much influence each factor exerts on recycling behavior. Then I qualitatively compared the influences of college-specific versus college-independent factors. I found that college-independent factors have an overall greater influence on recycling than college-specific ones. Certain background and demographic factors also are significant in recycling behavior. My results may benefit policymakers seeking to increase pro-environmental behavior by encouraging focus on students before they reach college. They will also aid college campus waste reduction initiatives by highlighting factors of convenience and social pressures as most important in increasing student recycling.</t>
  </si>
  <si>
    <t>recycling behavior, college students, framework, factors of influence</t>
  </si>
  <si>
    <t>HuangR_2017-page1.pdf</t>
  </si>
  <si>
    <t>Kristie Hung</t>
  </si>
  <si>
    <t>Elevated Urban Temperature Burdens on Heat-related Cardiovascular Illnesses in California (2000-2014)</t>
  </si>
  <si>
    <t>As warming trends in California are expected to rise by the end of the century, there are rising concerns that elevated temperatures and high temperature extreme could directly increase individuals’ heat-related health risks including heat stroke, heat exhaustion, cardiovascular and respiratory problems. Many studies in other highly populated urban areas have found that increase in temperature leads to an increase in cardiovascular mortality rate. High proportion of populations in California lack the ability to cope with changing conditions; hence, they might face the same consequences if local institutions are not informed about heat adaptive or mitigation strategies. After conducting a multivariable regression analysis for temperature trends and cardiovascular diseases hospitalization across twelve urban counties over the study period between 2005-2014, I found that there was no significant historical relationship between heat and cardiovascular diseases hospitalization rate. Not only did average maximum temperature displayed constant trends but the number of cardiovascular diseases hospitalization rates also showed a downward trend in all 12 urban counties. This study shows that urban counties in California have taken adequate measures within this study period to address cardiovascular health risks. However, in my study, I only used one exposure variable – temperature; hence, it might be misrepresentative of the magnitude of heat effects. Further research is required to project future heat-related cardiovascular health risks.</t>
  </si>
  <si>
    <t>Urban Heat Island Effect (UHI), microclimate change, heat-related illnesses, cardiovascular diseases, urban populations</t>
  </si>
  <si>
    <t>HungK_2017-page1.pdf</t>
  </si>
  <si>
    <t>Jean Yunying Ji</t>
  </si>
  <si>
    <t>The Net Present Societal Benefits of Rooftop Solar Photovoltaic Systems: A UC Berkeley Case Study</t>
  </si>
  <si>
    <t>Implementations of distributed solar photovoltaic technologies provides consumers the co-benefits of electricity services and carbon emissions reductions. In addressing climate change, these solar photovoltaic technologies benefit society by reducing the risks of facing environmental damages resulting from the increasing carbon concentrations in the atmosphere. While this environmental benefit is valuable, distributed solar photovoltaic systems have a higher levelized cost of electricity (LCOE) than fossil-fuel-powered generators that produce and sell their electricity to the grid in large quantities. In order to analyze tradeoffs between the environmental gains and financial costs of generating electricity from distributed solar photovoltaic systems, I constructed a site-specific cost-benefit analysis to evaluate the societal costs and environmental benefits of the systems at UC Berkeley from June to November 2016. Furthermore, my study projected twenty-year societal costs and benefits to reveal the net present societal benefits of the systems studied. Based on the current wholesale electricity prices and the costs of the systems, the benefit-cost ratio from June to November 2016 was 0.36, which indicated that the systems impose more costs on society than benefits. Future projections suggested that changes in wholesale electricity prices only contributed minimally to reducing the systems’ societal cost. To cost-efficiently incentivize electricity generations from distributed solar photovoltaic technologies, policymakers need to design subsidies that spur technological innovations to lower this technology’s LCOE, while valuing the environmental, health, and grid-balancing benefits derived from the marginal amounts of electricity provided by distributed generations of solar photovoltaic systems.</t>
  </si>
  <si>
    <t>renewable energy economics, cost-benefit analysis, renewable energy policy, social costs of carbon, renewable energy, grid integration</t>
  </si>
  <si>
    <t>JiJ_2017-page1.pdf</t>
  </si>
  <si>
    <t>Pramon Karnchanapimonkul</t>
  </si>
  <si>
    <t>Motivating Sustainability among UC Berkeley Undergraduates through Conspicuous Conservation and Social Norming</t>
  </si>
  <si>
    <t>This study explores ways to use conspicuous conservation (CC), a situation where consumers seek higher social status through spending on pro-environmental goods, social norming (SN), a phenomenon where individual’s behaviors tend to conform to that of the social standard, and combining the two concepts together to motivate sustainable consumption patterns. My central research question asks which of the CC, SS, or the combined intervention is the most effective in motivating sustainable behaviors among UC Berkeley undergraduates. 399 undergraduates participated in the study and each completed one of the four versions of online surveys that collect data on demographics, sustainability knowledge, values and behaviors (SKVB), and product preferences. Each eversion of the four surveys integrated CC, SN, combined intervention, or the control. Results found that the combined intervention is the most effective out of the three interventions in motivating sustainable consumption, but online surveys may not be strong enough to influence behaviors, and SKVB positively correlates sustainable consumption patterns. Results indicate that more research is needed to create novel and effective ways to motivate conservation through combining interventions and future studies in other study populations should be done to provide better understanding of the interactions between demography and consumption behaviors.</t>
  </si>
  <si>
    <t>sustainable consumption, combined intervention, priming, quantitative surveys, college students</t>
  </si>
  <si>
    <t>KarnchanapimonkulP_2017-page1.pdf</t>
  </si>
  <si>
    <t>Ramanjot Kaur</t>
  </si>
  <si>
    <t>A Preventable Loss of Human Potential: The Association of Drinking Water Quality and Stunted Growth in Indian Children</t>
  </si>
  <si>
    <t>India has the highest rate of stunted growth in children under five in the world. Stunted growth, low height for age, can lead to physical and cognitive defects. Poor diet can contribute to stunted growth, but recent studies suggest that water, sanitation, and hygiene may be more significant than previously thought. This study examined the association between stunted growth, diet, and drinking water quality in slum and non-slum children under five in Pune, India. I aimed to determine which factor, drinking water quality or diet, was more closely associated with stunting. Each child completed a Health Assessment, which included a demographic questionnaire, anthropometric measurements, and a 24-hour diet recall. In addition, six drinking water samples were collected from the study sites and tested for pH, turbidity, hardness, alkalinity, chloride concentration, nitrite concentration, nitrate concentration, fecal coliform growth, E-coli growth, and residual chlorine concentration. With this information, I determined stunting, wasting, malnutrition prevalence, and percent of daily recommended caloric intake (%DRCI) per child and average drinking water quality index value (WQI) per group of children. I found that stunting, wasting, and malnutrition prevalence was higher in slum children and that these outcomes were weakly positively associated with %DRCI. I found that all of the tested samples contained non-potable water, but was not able to test its association with health outcomes. Based on these results, I conclude that further analysis is needed to fully understand the relationship between drinking water quality and health outcomes. Ethical certification: This study was approved by the Ethics Board of Cowasji Jehangir Hospital Medical Research Institute on June 22, 2016.</t>
  </si>
  <si>
    <t>stunted growth, children, drinking water quality, diet, slums, India, global environmental health</t>
  </si>
  <si>
    <t>KaurR_2017-page1.pdf</t>
  </si>
  <si>
    <t>Evan Keum</t>
  </si>
  <si>
    <t>Dissemination of Aerobic Digestion Innovation: Barriers and Facilitators to Adoption</t>
  </si>
  <si>
    <t>Contemporary livestock waste management in the United States is very inadequate compared to other international efforts. Other European countries incentivize more efficient composting methods, while United States lack policy reforms to push innovative technology. Although there exist new technology that can better our agricultural systems, there are many barriers such as lack of regulation and competition from other businesses that inhibit these innovations from being disseminated. Dirk Andrews invented a new aerobic composting technology that utilizes sulfur and ammonia found in livestock waste to compost the waste without emitting any Green House Gas and produces a new type of organic fertilizer that promises greater yields than conventional fertilizer. In order to see how this technology can properly be disseminated, I interviewed key figures in relevant fields to get their opinion on this product and the different pathways to diffusion. Although this innovation is necessary and can benefit many different people as well as the environment, it is still considered business disruptive to the oil industry and does not fit the criteria of organic by governmental organizations. However, there is still hope for this innovation as it is being adopted by different countries that have stricter regulations against ammonia. U.S. needs to reform their policy to help encourage environmental innovation and solve current issues like other countries as it is still behind other progressive nations that are moving towards more sustainable practices.</t>
  </si>
  <si>
    <t>Agricultural Technology, Dissemination, Livestock Waste, Organic Fertilizer, Greenhouse Gases</t>
  </si>
  <si>
    <t>KeumE_2017-page1.pdf</t>
  </si>
  <si>
    <t>Ashley R. Killmon</t>
  </si>
  <si>
    <t>Bioswale Landscape Resilience in San Mateo County, CA</t>
  </si>
  <si>
    <t>Vegetation is one of the key landscape components that allows a bioswale to function at full capacity. Bioswales are low investment and low maintenance element used to control flooding and treat water quality in urban areas. Through field research and semi-instructed interviews, I addressed vegetation choice by planners. I quantified changes in the landscape over a 3 to 5 year time period and associated declines with maintenance approaches. Species richness and evenness of vegetated bioswales San Mateo County uncovered a decline in vegetation over time. Interviews with managers reflected perceptions that bioswales support drought tolerant and native plant species, both deciduous and evergreen. On multiple accounts, city planners attributed poor maintenance habits to lack of monetary resources and public knowledge of bioswales. Without proper maintenance, vegetation likely did not establish properly. Revegetation, a practice taken on by cities, occurs when bioswales are incapable of functioning at maximum capacity due to lack of adequate vegetation. Revegetating bioswales defeats the purpose of being a low-investment solution as it costs more than maintenance. To establish and maintain healthy bioswales, the public needs to become aware of how a bioswale functions and the care it requires to be successful. Establishing guidelines and protocols on how to care for bioswales specific to San Mateo County will increase the prosperity and benefits that a bioswale can provide. City planners must incorporate their landscape workers and city residence in a movement to care for landscape elements that provide many benefits to the environment and the people that surround them.</t>
  </si>
  <si>
    <t>bioswale, bioretention system, vegetation, urban landscape element, vegetation maintenance</t>
  </si>
  <si>
    <t>KillmonA_2017-page1.pdf</t>
  </si>
  <si>
    <t>Janice J. Kim</t>
  </si>
  <si>
    <t>Getting Back to the Roots: AMF Colonization in Organically and Conventionally Grown Strawberry Rootstocks</t>
  </si>
  <si>
    <t>Arbuscular mycorrhizal fungi (AMF) helps plants absorb water and nutrients, possibly improving the quality of the plant. Organic farming methods generally encourage the growth of AMF better than conventional farming methods. To determine which specific agriculture practice affects the amount of AMF on strawberry rootstocks the most, I analyzed the effects of conventional and organic farming methods on initial AMF on rootstocks as well as the effect of individual farmers management methods’ on AMF and fruit quality. I obtained rootstocks from three conventional nurseries in Northern California and counted a sample size of 20 from each nursery for initial AMF colonization. In the treatments, the initial AMF count significantly differed between the three different nurseries. Then, from the previous year’s research that obtained data from four farms located in California’s Central Coast that planted strawberries organically and conventionally, I analyzed AMF and fruit quality aspects and compared them with each other. When fruits were ripe and ready for harvest, the berries were collected to measure the weight and percent brix, or sugar content, and the roots were analyzed for AMF colonization. AMF colonization correlated with greater weight and higher percent brix. AMF, berry weight, and percent brix varied more between farm sites rather than organic and conventional fields. AMF, and consequently better fruit quality, depends more on which specific farming practices are used rather than whether conventional or organic practices are adopted.</t>
  </si>
  <si>
    <t>Taste and ecology, mutualistic symbiont, agriculture practices, environmental health, nurseries and farmers</t>
  </si>
  <si>
    <t>KimJ_2017-page1.pdf</t>
  </si>
  <si>
    <t>Samantha C. Klein</t>
  </si>
  <si>
    <t>Impacts of Hong Kong Trawling Ban on Chinese White Dolphins (Sousa chinensis)</t>
  </si>
  <si>
    <t>The Chinese white dolphin population in Hong Kong has been decreasing rapidly, declining by 26% in the past four years. This decline is partly due to fishing boat related mortalities. In the past, this population of dolphins has often followed fishing boats as a source of food. To analyze the affect of the trawling ban on dolphin feeding behavior I used vessel-based population survey data from 2010 to 2015. I compared the number of sightings of dolphin-fishing boat feeding associations before and after the 2012 trawling ban. Additionally, using land-based survey data from 2011-2016 I evaluated how the percentage of dolphin sightings associated with fishing boats changed around the economically important village of Tai O after the trawling ban. I also examined the causes of death in dolphin stranding cases before and after the trawling ban. I found a significant decrease in vessel-based sightings of dolphins feeding behind all types of fishing boats and a decrease in fishing boat related dolphin deaths post-trawling ban (2013-2015) compared to pre-trawling ban (2010-2013) (P value= 0.00079).</t>
  </si>
  <si>
    <t>Marine mammals, fishing regimes, bycatch, feeding association, mortality</t>
  </si>
  <si>
    <t>KleinS_2017-page1.pdf</t>
  </si>
  <si>
    <t>Environmental Sciences Undergraduate Thesis</t>
  </si>
  <si>
    <t>Elliot M. Kuskulis</t>
  </si>
  <si>
    <t>Does it Make the Cut? Evaluating the Efficacy of Pruning to Mitigate White Pine Blister Rust Infection in Sugar Pine</t>
  </si>
  <si>
    <t>White pine blister rust, a potentially lethal disease caused by the invasive pathogen Cronartium ribicola, threatens the survival of sugar pine populations in California’s Sierra Nevada range, and common mitigation measures possess substantial drawbacks. Pruning has emerged as a promising tactic for reducing infection-caused mortality, but the relative impacts of single-stage (“first-lift”) and multiple-stage (“second-lift”) treatments have not been widely studied. My project investigated the effects of first- and second-lift pruning on the development of blister rust. I assessed previously studied pruned and unpruned sugar pines at Blodgett Forest Research Station to quantify mortality, infection rate, and infection severity. I also examined the ramifications of pruning treatments on relative volumetric growth. Annual mortality for the 2006-2016 period was greatest for first-lift trees (1.95%), followed by second-lift trees (1.29%) and unpruned trees (1.12%). Infection rates were not significantly different between treatment groups (P &gt; .05), and groups exhibited similar distributions of severity ratings. A logistic regression model indicated that 2016 live-crown ratio was not a significant variable in predicting infection presence. Mean relative volume growth did not vary significantly (P &gt; .05) with treatment group or infection status, implying that pruning neither inhibited nor improved growth. These long-term results indicate that pruning may not be a promising approach for white pine blister rust abatement, but further study is needed to account for the influence of climate and other important factors in determining the spread of blister rust infection.</t>
  </si>
  <si>
    <t>silviculture, forest pathology, invasive species, mortality, growth and yield</t>
  </si>
  <si>
    <t>KuskulisE_2017-page1.pdf</t>
  </si>
  <si>
    <t>Alexandra R. Lalor</t>
  </si>
  <si>
    <t>Multi-Scale Analysis of Grazing Impacts on Plant Diversity at Point Reyes National Seashore</t>
  </si>
  <si>
    <t>Point Reyes is a protected National Seashore which simultaneously aims to conserve biodiversity and support extensive ranching operations. This study analyzes the influence of grazing on plant diversity over long time periods and at multiple spatial scales. To determine influence of grazing on fine-scale grassland community structure, I sampled species richness in grazed and ungrazed areas. I found no significant difference between the two areas, but noticed slightly higher average species richness and native species richness in grazed areas at the quadrate level. To determine broad-scale patterns of shrubland and grassland vegetation, I used Geographic Information Systems to map vegetation changes from the 1940s, 1960s, and 1990s. I found relatively consistent land cover between the 1940s and 1960s, and wide-scale shrub encroachment between the 1960s and 1990s. These results were paired with a historical analysis of ranching management and land ownership at the Point Reyes Peninsula. The largest changes in the landscape occurred between the 1960s and 1990s, when the National Parks Service bought the land. Overall, these results suggest that large scale shifts in land ownership, rather than individual ranch management techniques, can cause broad vegetation changes in a relatively short time. Uncertain rancher land ownership and short term lease agreement between the ranchers and the National Parks Service may have directly impacted grazing management and shrub encroachment. Creating long-term lease agreements could give ranchers more ownership over their land and protect the grassland community at Point Reyes.</t>
  </si>
  <si>
    <t>grassland, shrubland, plant diversity, ranching, National Parks Service</t>
  </si>
  <si>
    <t>LalorA_2017-page1.pdf</t>
  </si>
  <si>
    <t>Jungmin Lee</t>
  </si>
  <si>
    <t>Potential Inhibition By Organic Matter In Cambi-THP Anammox Activity</t>
  </si>
  <si>
    <t>Anaerobic ammonium oxidation, also known as Anammox, is an important microbial process of the nitrogen cycle. Excess nitrogen in water can result in diverse harmful outcomes such as eutrophication of aquatic environments and toxicity to living organisms. Anammox-mediating bacteria, discovered in 1999, display an efficient removal of ammonium in water and this relatively new mechanism has actively been applied to wastewater treatment engineering for removing excess nitrogen from wastewater. In addition, an environmental consultant company, Cambi, developed the Cambi thermal hydrolysis pressure technology that further enhances the efficiency of the Anammox process when installed to wastewater treatment plants. Yet, inhibitory activity on the Anammox process was detected in Cambi-installed wastewater plants, and the source of inhibition is unknown. This study seeks to identify the inhibitor that impedes the Anammox process through multiple comparative experiments between wastewater collected from Cambi-installed plants and regular Anammox treatment plants. The experiments will involve the culturing of the Anammox bacteria in batch reactors, sterile syringe filtration of Cambi-centrate, and residue ion chromatography. The collected data was analyzed by graphing and comparing the general changes in Anammox activity rates at different conditions. In this study, the potential inhibitory activity by organic matter group on Cambi-THP centrate fed Anammox bacteria is exhibited.</t>
  </si>
  <si>
    <t>Environmental engineering, wastewater treatment, microbiology, nitrogen removal, water quality</t>
  </si>
  <si>
    <t>LeeJ_2017-page1.pdf</t>
  </si>
  <si>
    <t>Yeajoo Lee</t>
  </si>
  <si>
    <t>Associations between Pesticide Exposure and Kidney Function Failure</t>
  </si>
  <si>
    <t>To kill insects and pests that threaten crop yields, agriculturalists use pesticides, many of which on today’s market are composed of organophosphates (OPs) that are highly toxic to mammals. To be effective, these pesticides often need to be used in large quantities, which can increase pesticide resistance among targeted pests. Although companies have sought to avoid selective toxicity among pests by developing new pesticides, their efforts have also increased pesticide residues in and around agricultural areas. Furthermore, pesticides can exert significant adverse effects on human health. This paper determined associations between pesticide exposure and kidney function using data available in the National Health and Nutrition Examination Survey (NHANES). Between 2009-2010, 2011-2012 NHANES performed laboratory urinary analysis and reported the level of urinary creatinine, urine osmolality, and pesticide exposure level of 5,422 participants in America along with demographic information. I found that participants categorized as high level of 2,4-dichlorophenols had statistically significant higher level of urinary creatinine and osmolality level. The findings associating with kidney function failure from pesticide exposure will inform people of the necessity of using less toxic pesticides and new regulations regarding pesticides associated with educating farmers to use pesticides properly in safe condition.</t>
  </si>
  <si>
    <t>pesticides, 2,4-dichlorophenol, creatinine, urine, NHANES</t>
  </si>
  <si>
    <t>LeeY_2017-page1.pdf</t>
  </si>
  <si>
    <t>pesticides</t>
  </si>
  <si>
    <t>2,4-dichlorophenol</t>
  </si>
  <si>
    <t>creatinine</t>
  </si>
  <si>
    <t>urine</t>
  </si>
  <si>
    <t>NHANES</t>
  </si>
  <si>
    <t>Michelle Li</t>
  </si>
  <si>
    <t>Surveying Urban Forest Management in the San Francisco Bay Area</t>
  </si>
  <si>
    <t>In 2007, Igor Lacan surveyed 50 arborists in 50 different cities in the San Francisco Bay Area with a goal to assess urban tree diversity and pest problems. These arborists were asked to list the best and worst tree species in their area, and what phenomena they believed had contributed to tree death in their area. I distributed this survey in 2017 to investigate how the best and worst performing tree species have changed with regards to the opinions stated forth by the arborists in 2007, and whether the most influential tree mortality factors have changed after three years of drought, from 2014-2017. This survey sought to capture changes in urban forester opinions, and interpret input on common problems and the best and worst performing trees in study areas to provide a more comprehensive understanding of the state of these urban trees. Notable findings included continuation of a trend observed in the 2007 survey, in which abiotic problems remained the largest problem affecting urban forests. There is one outlier city that claimed insects to be the most significant. These results may help city managers better maintain their urban forests, and aid them to better predict tree health problems in the Bay Area. Knowing possible problem-causing agents may save money and labor by minimizing future follow-up fixes.</t>
  </si>
  <si>
    <t>city managers, city planning, perception survey, arborists, urban tree health</t>
  </si>
  <si>
    <t>LiM_2017-page1.pdf</t>
  </si>
  <si>
    <t>Dong-Kyun (Anthony) Lim</t>
  </si>
  <si>
    <t>A Policy Projection Dilemma: Finding the Optimal Discount Rate for Global Carbon Emissions Scenarios</t>
  </si>
  <si>
    <t>The DICE model, constructed by William Nordhaus, is a global carbon emissions projection model that integrates economics, carbon cycle, climate science and damage in an IAM (Integrated Assessment Model). Although there is no consensus about the discount rate (pure rate of time preference) of IAM, determining the optimal discount rate would be a crucial step in feasible carbon emissions cost-benefit analyses. I adapted 2013 version of Dynamic Integrated Climate Economy Model (DICE) in order to: 1) project global carbon emissions from 2010~2100; 2) assess damage costs as the result of carbon emissions; 3) calculate the social cost of carbon from marginal damage costs; 4) optimize discount rate by superimposing with Representative Concentration Pathways (RCP) 4.5 scenario 5) find the optimized emission control rate and finally, 6) conduct cost-benefit analysis to determine if the optimal discount rate passes the test. I found that the optimal emission control rate increases as pure rate of time preference (PRTP) decreases. As a result, the global temperature increase from pre-industrial level over time is greater for higher PRTP scenario than the lower ones do. The cost- benefit analysis demonstrated that the optimal PRTP was 3%. A small change in PRTP significantly changed the global emission control rate and temperature increase. I conclude that determining the optimized PRTP is an important step in constructing an accurate and financially feasible global carbon emission projection model.</t>
  </si>
  <si>
    <t>DICE model, climate change economics, global temperature, emission control rate projections, pure rate of time preference (PTRP)</t>
  </si>
  <si>
    <t>LimD_2017-page1.pdf</t>
  </si>
  <si>
    <t>Eva P. Malis</t>
  </si>
  <si>
    <t>Evaluating Effectiveness of Wetland Restoration in the San Francisco Bay</t>
  </si>
  <si>
    <t>The majority of restoration projects nationwide remain unevaluated for their effectiveness post-implementation, which hinders understanding of restoration trajectories. In the San Francisco Bay Area, some restoration organizations that are working to restore degraded wetlands can benefit from further analysis of their monitoring data. This project examines the composition of plant communities in the transition zones of restored wetland projects by Save the Bay (STB), a San Francisco bay area nonprofit. I synthesized the vegetation monitoring data collected at STB’s restoration sites following the Wetlands Regional Monitoring Program (WRMP) protocol to (1) investigate the plant composition of sites that have been restored, and (2) analyze the efficacy of soil treatment at the sites. I found that native cover is significantly increasing on average across all study sites, although there was significant variation in vegetation composition between sites and over time. I also found that soil treatment had a significant correlation with increasing native cover, and some soil treatments are more effective than others. These analyses have helped to inform Save The Bay on focus areas for upcoming restoration work, and best restoration techniques for increasing native plant cover.</t>
  </si>
  <si>
    <t>wetland, tidal marsh, restoration, transition zone, vegetation, monitoring, San Francisco Bay</t>
  </si>
  <si>
    <t>MalisE_2017-page1.pdf</t>
  </si>
  <si>
    <t>Cynthia P. Martinez</t>
  </si>
  <si>
    <t>Leafing Out to Remediate: Bioaccumulation of Arsenic in Pteris vittata Over Time</t>
  </si>
  <si>
    <t>Urban agriculture has potential to increase urban food security and improve urban air and soil quality. However, urban soils may have historic contamination, with arsenic being a pollutant of major concern. Arsenic is a carcinogenic metalloid with proven negative consequences on human health and the environment, and is thus a target of remediation efforts. The Chinese brake fern Pteris vittata accumulates arsenic in high concentrations, and the plant is often used in remediation efforts. While studies measuring the effectiveness of P. vittata in remediation exist, there is little data on the effect of age on accumulation. I conducted a controlled greenhouse experiment over 16 weeks, growing 12 P. vittata ferns in arsenic contaminated soil from our Berkeley field site. Frond sampling was conducted at 4 week intervals and temporal replicates were also taken to measure arsenic uptake over time. Samples were prepared and sent for arsenic concentration analysis by Brookside Laboratories in New Bremen, Ohio. I found that both concentration of arsenic by biomass and total arsenic levels increased over the 16 week period. Fronds grown after planting in contaminated soil showed arsenic levels at an order of magnitude higher than fronds present before exposure to arsenic. These findings are relevant for those interested in utilizing P. vittata for remediation, who should focus efforts on younger ferns that can produce many new fronds to accumulate arsenic fastest for best results.</t>
  </si>
  <si>
    <t>Chinese Brake fern, hyperaccumulator, phytoextraction, phytoremediation, temporal replicate</t>
  </si>
  <si>
    <t>MartinezC_2017-page1.pdf</t>
  </si>
  <si>
    <t>Daniel Menza</t>
  </si>
  <si>
    <t>Refinery Pollution and Health: The Relationship Between Air Pollution and Emergency Department Admissions in the San Francisco Bay Area Refinery Corridor</t>
  </si>
  <si>
    <t>High levels of ambient air pollution have been identified as a risk factor for many acute adverse health outcomes, specifically cardiovascular and respiratory events. This link has not been studied in the context of environmental health disparity, which examines how certain communities and populations, mainly people of color and low socioeconomic status, are exposed to a disproportionately high amount of pollution, and consequently, experience poor health outcomes. Environmental justice advocates have identified the Refinery Corridor in the San Francisco Bay Area as a region where this environmental health disparity exists. The Refinery Corridor is named for the five petroleum refineries in the region, as well as a multitude of chemical manufacturers and other industrial polluters. This study examines the relationship between levels of particulate matter (PM2.5), sulfur dioxide (SO2), and the rate of Emergency Department admissions for cardiovascular and respiratory events in this region. I used a linear regression model to compare the strength of this relationship in the Refinery Corridor and the surrounding communities to investigate whether air pollution impacted health more strongly in the Refinery Corridor. I found that over the whole study area, PM2.5 and SO2 were significantly and positively correlated with respiratory admissions. The relationship was stronger outside the refinery corridor than inside, contrary to my hypothesis. Therefore, the public datasets I utilized for this study were not detailed enough to show this disparity if it does exist. I will repeat this study with more detailed data from the Public Health Department to more conclusively determine if there is an environmental health disparity in the Refinery Corridor.</t>
  </si>
  <si>
    <t>Environmental justice, PM 2.5, sulfur dioxide, environmental health disparity</t>
  </si>
  <si>
    <t>MenzaD_2017-page1.pdf</t>
  </si>
  <si>
    <t>Morgan J. Morales</t>
  </si>
  <si>
    <t>Coyote (Canis latrans) use of a Novel Ecosystem with Recreation</t>
  </si>
  <si>
    <t>In many regions across the United States, the apex canid and felid predators have been extirpated. Mesopredator release has resulted in medium-sized canids and felids, such as coyotes, shifting to occupy the apex predator role. Due to trophic cascade, it is essential to understand the habitat needs of these new apex predators to conserve the ecological roles that they fulfill. I investigated the relationship between coyote habitat use and several environmental and recreational factors. The environmental factors included were tree density, average diameter at breast height, percent native tree species, and canopy density. The recreational factors included were human recreation intensity and dog recreation intensity. I used trail cameras and vegetation surveys to capture coyote habitat use and the other factors tested. The nine trail cameras were operational for 194 and a total of 11,305 pictures were included in the analysis. Three of the six factors tested were significant in the generalized linear mixed effects model. Tree density was significant and had a negative correlation with coyote observations. Human recreation intensity and dog recreation intensity were both significant; however, human intensity was negatively correlated with coyote observations while dog intensity was positively correlated with coyote observations.</t>
  </si>
  <si>
    <t>Eucalyptus, invasive species, fuel management, habitat, mesopredator</t>
  </si>
  <si>
    <t>MoralesM_2017-page1.pdf</t>
  </si>
  <si>
    <t>Kelsey Morgan</t>
  </si>
  <si>
    <t>The effect of a Self-conducted Personal Energy Audit on Students’ Consumption Patterns</t>
  </si>
  <si>
    <t>Our carbon footprint is increasing due to the growing global consumption rate, presenting the problem of how we can lower our current energy intake. Interventions have traditionally been used to elicit a behavioral change, with this particular study examining the effects of calculating personal carbon footprints on students’ consumption patterns. Through administering a pre-intervention survey, I determined students’ current knowledge level regarding environmental issues, behavior associated with energy consumption, and values involving the prioritization of the environment. At the end of the survey, students interacted with the Cool Climate Calculator and recorded personal energy consumption and low-carbon behavior changes that they would be willing to make. After about two weeks, a post intervention survey was distributed to determine if the intervention had any effect on their personal consumption patterns. I found that 77% of students adopted as least one behavioral change, accrediting the intervention’s success to the high values scores of the participants and the multiple options for the low-carbon behaviors. Though no relationship was found between knowledge, behavior, and values, and the number of behavior changes made, it was determined that values is a larger determinant of behavior than knowledge. Overall, my study provides insight on how interventions can yield better success within a student demographic.</t>
  </si>
  <si>
    <t>carbon footprint, Cool Climate Calculator, student behavior, values, knowledge</t>
  </si>
  <si>
    <t>MorganK_2017-page1.pdf</t>
  </si>
  <si>
    <t>Kelly J. Nabaglo</t>
  </si>
  <si>
    <t>Effects of Air Pollution on Biomarkers of Obesity and Oxidative Stress in Children from the San Joaquin Valley, CA</t>
  </si>
  <si>
    <t>Air pollution is widely known to contribute to the development of chronic health conditions, such as respiratory and cardiac diseases, through mechanisms involving oxidative stress and inflammation. However, its effects on obesity, a prevalent health disorder defined by excess accumulation of body fat and oxidative stress, have yet to be extensively reviewed. Adipose tissue secretes adipokines, including adiponectin and leptin, which have inflammatory and hormonal functions contributing to increased levels of reactive oxygen species. Imbalance of these reactive oxygen species, or oxidative stress, can be measured via isoprostanes, providing insight into the relationship between pollutant exposure and obesity outcomes. This project aims to analyze the biomarkers of obesity and oxidative stress in order to determine the influence of air pollution in a cohort of children (N=210) living in the San Joaquin Valley, CA, an area with notoriously high levels of pollution. Urinary isoprostane and plasma leptin and adiponectin were quantified using enzyme-linked immunosorbent assays (ELISAs). Findings showed that leptin levels are positively and adiponectin levels are negatively associated with BMI (p&lt;0.001). Isoprostane was found to be positively associated with daily PAH exposure (p=0.03) and with weekly PAH exposure (p=0.04). These results demonstrate that weight status is related to adipokines concentrations. Furthermore, air pollution exposure may influence oxidative stress and weight status, suggesting the need for further investigation of the role of air pollution in affecting biomarkers of obesity and oxidative stress and the development of obesity.</t>
  </si>
  <si>
    <t>NabagloK_2017-page1.pdf</t>
  </si>
  <si>
    <t>Julie Q. Nguyen</t>
  </si>
  <si>
    <t>Mapping Fire Induced Vegetation Changes in Kings Canyon National Park</t>
  </si>
  <si>
    <t>Wildfire suppression in Western United States forests began suppressing wildfires in the late 1800s leading to dry, dense, and homogenous forests. Overtime, the accumulation of surface level fuels has resulted in severe and catastrophic wildfires seen today across different forest ecosystems. In order to reintroduce fires that will help shape and maintain fire-adapted forests, it is crucial to understand the behaviors and effects of managed wildfires through research and adaptive management. In 1973, Kings Canyon National Park initiated a policy allowing fires to burn naturally in the Sugarloaf Basin. I hypothesize that this action has increased landscape heterogeneity, decreased mixed conifer density, and increased relative patch sizes of shrubs, sparse meadows, and dense meadows. The goal of this project is to better understand the effects of fire by using geospatial imagery and informational systems to quantify fire induced vegetation changes which will aid in altering current forest management schemes to focus on reducing forest fire hazards and increasing forest safety. The Sugarloaf Basin in Kings Canyon National Park has experienced 40 years of managed wildfires, in which there was some change in forest cover and other major vegetation cover types. Managed wildfires appeared to have increased the vegetation abundance and has likely shifted the dominant vegetation types in Sugarloaf Basin. My findings demonstrate that fire, of all forms, is the likely cause of vegetation changes and redistribution in the Sugarloaf Basin.</t>
  </si>
  <si>
    <t>Landscape fire, eCognition, ERDAS Imagine, heterogeneity, plant diversity, vegetation cover types, forest density, GIS, spatial distribution, area</t>
  </si>
  <si>
    <t>NguyenJ_2017-page1.pdf</t>
  </si>
  <si>
    <t>Kevin C. Ong</t>
  </si>
  <si>
    <t>Adapting Energy Storage Technology for Renewable Energy Generation in California</t>
  </si>
  <si>
    <t>Greater renewable energy production is becoming critical as fossil fuels are depleted globally and the consequences of climate change intensify. However, resource intermittency largely inhibits the incorporation of renewable energy sources like solar and wind to a small fraction of the energy portfolio. Therefore, electrical energy storage (EES) technology must be incorporated on a greater scale in contemporary energy grid systems to remedy this discrepancy, and to ease transition to more sustainable, diverse energy sources. To identify what type of energy policy would be most effective for incentivizing greater EES integration in California, I examined three energy policy mechanisms: California’s energy storage mandate (2011), Germany’s feed-in tariff (2001), and Denmark’s direct technological subsidy (2004). I assessed to what extent each policy would be effective and feasible for implementation in California by collecting renewable energy production and electrical energy storage installation data for each study site before and after policy adoption. The energy storage mandate resulted in the highest number of EES units installed and renewable energy generated over time, followed by the feed-in tariff and direct technological subsidy, respectively. Each policy’s effectiveness was then contextualized based on the preceding policies and path dependent conditions that allowed for its implementation, in order to evaluate how feasibly it could be adopted in California. By evaluating the effectiveness and feasibility of each of these policy mechanisms in incentivizing EES integration, results of this study can inform policymakers in California and elsewhere on how to better incorporate renewable energy into their grid systems.</t>
  </si>
  <si>
    <t>energy storage mandate, feed-in tariff, direct technological subsidy, renewable energy generation, electrical energy storage, comparative policy analysis</t>
  </si>
  <si>
    <t>OngK_2017-page1.pdf</t>
  </si>
  <si>
    <t>Irene I. Pak</t>
  </si>
  <si>
    <t>Acidifying Oceans and the Benthos: Structural Changes in the Macroinvertebrate Community across Time</t>
  </si>
  <si>
    <t>Ocean acidification poses a serious threat to the marine biota as increasing oceanic uptake of atmospheric CO2 alters ocean carbonate chemistry. Of particular concern is the impact that decreased carbonate saturation is having on calcareous species. Although controlled studies have elucidated the specific impacts of low pH on individual species, in-situ investigations at the ecosystem level are not as widely performed. In this study, I analyzed benthic macroinvertebrate abundance data for 166 sites along the continental shelf in the Southern California Bight over a twenty-year period. Using depth as a proxy for carbonate saturation state, I looked at taxa changes over time within four depth ranges using multivariate and univariate measures of community structure. Shannon-Weiner biodiversity indices fluctuated or slightly increased over time but did not show a net decrease in any strata. Depth fidelity of molluscs also did not show a significant migration trend. Non-metric multidimensional analysis shows a separation between the species assemblages in the first three surveys and those from the two latest, in all but the shallowest strata. These results indicate that change in taxonomic composition is a more sensitive metric for detecting disturbance in an ecological community than biodiversity or depth fidelity.</t>
  </si>
  <si>
    <t>benthic macroinvertebrates, carbonate chemistry, calcification, CO2, species composition, biodiversity, depth fidelity, non-metric multidimensional scaling</t>
  </si>
  <si>
    <t>PakI_2017-page1.pdf</t>
  </si>
  <si>
    <t>Davita Pytowski</t>
  </si>
  <si>
    <t>Electric Usage by Residential Solar PV System Owners in Northern California</t>
  </si>
  <si>
    <t>In recent years the increased complexity of electricity dispatch and usage has posed major problems for grid operators in California. With the exception of baseload generation, consumer behavior is the main factor in defining energy demand profiles. The primary goal of this study is to explore if and how domestic usage trends in per capita daily electricity demand change as solar penetration increases in residential areas. I determined the relationship between installed solar PV capacity and energy usage by comparing total energy use between areas of varying solar penetration across approximately 740 zip codes within the Pacific Gas and Electric Company (PG&amp;E) service territory in California, over 5 years. I observed that average per capita electricity usage decreased significantly more in zip codes that saw a greater increase in installed solar PV capacity, over the years 2012-2016. Studies into the behavioral trends of consumers shed insight into developing more accurate demand projections, as they take into account the resulting cumulative impact of consumer habits as available energy technologies change and spread. The energy industry must refine its models of generation and demand, in order to adapt the management of the grid.</t>
  </si>
  <si>
    <t>Distributed Generation, Duck Curve, Consumer Behavior, Solar, Renewable Energy</t>
  </si>
  <si>
    <t>PytowskiD_2017-page1.pdf</t>
  </si>
  <si>
    <t>Saba J. Saberi</t>
  </si>
  <si>
    <t>Remote Sensing of Global Lake Gross Primary Production</t>
  </si>
  <si>
    <t>Lakes contribute to local and regional climate conditions, cycle nutrients, and are indicators of climate change due to their sensitivity to disturbances in their air and watersheds. Spaceborne remote sensing (RS) techniques have promise for studying lake dynamics by allowing for consistent spatial and temporal observations and estimates of lake functions without in situ measurements. Recent advances in modeling lake metabolism use high frequency sensor data, but there are few existing algorithms that relate RS products to in-lake estimates of metabolic rates. I use satellite surface temperature observations from MODIS product MYD11A2 and published in-lake gross primary productivity (GPP) estimates for ten globally distributed lakes, with areas greater than 1 km_x0010__x0002_, varying trophic states and surrounding land cover to produce a univariate quadratic equation model. Statistical analyses reveal a significant positive relationship (p&lt;.00001) between MODIS temperature data and in-lake GPP for the global model. I performed preliminary validation on the global model using a lake reserved from the data set (Lake Acton) resulting in a strong correlation (R_x0010__x0002_=0.76) between MODIS-derived GPP and previously modeled values. Lake-specific algorithms such as those for Rotorua (NZ) and Kentucky (USA) had stronger relationships than the global model derived from all ten lakes, pointing to the influence of regional biological and physical characteristics of the lakes and their watersheds. Analyses of land cover type within lake watersheds and in-lake GPP revealed a positive correlation with forested land cover and GPP (R=0.67, p=0.03).Land cover type was incorporated into a separate model that was not statistically significant. These data suggest that it may be possible to predict GPP for lakes across a wide geographic region.</t>
  </si>
  <si>
    <t>Remote sensing, GLEON, MODIS, global lakes, algal blooms, management</t>
  </si>
  <si>
    <t>SaberiS_2017-page1.pdf</t>
  </si>
  <si>
    <t>Ioana Seritan</t>
  </si>
  <si>
    <t>“She Loves the River”: Women Environmental Activists for Bay Area Watersheds</t>
  </si>
  <si>
    <t>Environmental activism, like every other field, has been impacted by societal norms and expectations regarding gender and race. Historically, environmentalism has been a very white pursuit, and men tend to dominate the more technical professions and leadership positions, while women are better represented in the more social and community-based positions. Women and people of color have made names for themselves as grassroots environmental activists for decades, and now many grassroots environmental activists are female, but most are still white. In order to explore the intersections of gender, race, and environmentalism, I asked the question: how do women become environmental activists for San Francisco Bay Area watersheds? I conducted semi-structured interviews with ten women environmental activists in watershed organizations in the Bay Area. I found that both white women and women of color frequently feel connected to the environment, or feel that they must take care of it, but that women of color experience more societal and cultural barriers than white women when they attempt to become environmental activists. People of color do not receive the same environmental education or have the same ability to access environmental organizations as white environmentalists. To foster a more diverse and open environmentalist community, more communities should be educated about the impact of environmental issues, existing environmental organizations should make a greater effort to connect with environmentalists of color, and there should be more environmental organizations led by people of color, for people of color.</t>
  </si>
  <si>
    <t>environmentalism, grass-roots activism, gender role socialization, ecofeminism, environmental justice</t>
  </si>
  <si>
    <t>SeritanI_2017-page1.pdf</t>
  </si>
  <si>
    <t>Chandler M. Shaeffer</t>
  </si>
  <si>
    <t>Examining the Thermal Performance of Two Eel River Snail Genera</t>
  </si>
  <si>
    <t>The Eel River, the third largest river in California, is an ecologically important watershed that has been the focus of restoration and management efforts over the past years. It is a major source of energy flow in the region along with a large source of regional biodiversity. Rising temperatures affect almost every aspect of stream communities, including trophic interactions and food webs, which can have profound implications for overall ecosystem health. Understanding the competitive potential of lower trophic level grazers, such as the native pulmonate snails Helisoma sp. and Physella sp., in changing temperature regimes is critical in order to implement preventative management plans and to understand the possible trophic effects of climate change in this ecologically important area. The study conducted a series of controlled feeding trials over a temperature gradient from 14°C to 30°C on individuals of these two genera in order to construct thermal performance curves and determine the effects of temperature on feeding rate as a proxy for metabolic performance. Unlike Physella, Helisoma did not reach a thermal optimum before 30°C, which implies that Helisoma may be a better competitor in higher temperature regimes. Along with this, both Helisoma and Physella also exhibited some degree of diel feeding behavior in this study.</t>
  </si>
  <si>
    <t>Thermal biology, Helisoma, Physella, freshwater gastropods, pulmonate snails, climate change, trophic change</t>
  </si>
  <si>
    <t>ShaefferC_2017-page1.pdf</t>
  </si>
  <si>
    <t>Myung Eun (Lucy) Shim</t>
  </si>
  <si>
    <t>Mitigating Urban Heat Island Effect with Reflective Roof Surfaces in San Francisco, CA</t>
  </si>
  <si>
    <t>Urban heat island (UHI) effect has become an increasingly concerning problem accompanying rapid global urbanization. UHI effect results in discomfort from warmer temperatures and poses public health hazards. UHI effect also contributes to increasing the rate of climate change, and thus, accelerates its affiliated detrimental effects. This study examined the effect of albedo, building floor area, wind speed, and solar irradiance on ambient temperature, which was used as a proxy for intensity of UHI effect. Data were taken from weather stations in the City and County of San Francisco and from Lawrence Berkeley National Lab. Results from simple ordinary least squares regression with small sample size revealed that building roof albedo was negatively associated with ambient temperature, and that solar irradiance was positively associated with ambient temperature. This suggests that broad adoption of high albedo roofs has the potential to mitigate UHI effect in dense cities. The study also points to a specific need for regulation of building roof design and materials at many scales – from the site to the city and regional level.</t>
  </si>
  <si>
    <t>albedo, ambient temperature, regression analysis, building design, city and regional planning</t>
  </si>
  <si>
    <t>ShimM_2017-page1.pdf</t>
  </si>
  <si>
    <t>Vincent M. Spadone</t>
  </si>
  <si>
    <t>Intra- and interspecific interactions between two biological control agents and the consequences on the invasive water hyacinth, Eichhornia crassipes</t>
  </si>
  <si>
    <t>There is potential for negative, additive, or synergistic consequences on invasive pest control when multiple biological control agents are released in the same habitat. Here, I examine the intra- and interspecific interactions among the weevil, Neochetina bruchi, and the plant hopper, Megamelus scutellaris, and the implications for the biological control of water hyacinth, Eichhornia crassipes, in the Sacramento-San Joaquin River Delta, California. With a factorial design of intra- and interspecific species interactions, I used experimental mesocosms with whole plants in a temperature-controlled incubator and measured plant growth, survival and insect reproduction and survival. I also conducted observational experiments and examined behavioral interactions among the intra – and interspecific treatments on both plant petioles and on excised leaves, each in dark and light phases. In the whole plant experiments, leaf mortality and overall plant survivorship differed among the treatments. The treatments with interspecific interactions had the highest loss of leaves and plant death. I found notable consequences on life-history parameters, as M. scutellaris produced more offspring, but had reduced survivorship in the interspecific treatments compared to the intraspecific treatments. Under laboratory conditions, it appears that although M. scutellaris does not negatively impact N. bruchi, there is potential that N. bruchi may have negative consequences on the survivorship of M. scutellaris. The results demonstrate that although presence of N. bruchi could potentially affect the population growth of M. scutellaris, the combination of these two herbivores could enhance the biological control of water hyacinth.</t>
  </si>
  <si>
    <t>behavioral interactions, Neochetina bruchi, Megamelus scutellaris, competition, California San-Joaquin River Delta</t>
  </si>
  <si>
    <t>SpadoneV_2017-page1.pdf</t>
  </si>
  <si>
    <t>Miranda Thoenen</t>
  </si>
  <si>
    <t>The Effect of Iridomyrmecin on Native Ant Foraging Behavior</t>
  </si>
  <si>
    <t>Linepthema humile are an invasive species that decimate native ant populations wherever they are found. One component of their trail pheromone, iridomyrmecin, is used by many other species as an ant repellant. Iridomyrmecin could be connected to the decline in native ant populations by excluding them from areas L. humile have colonized. I measured the effect iridomyrmecin has on native ant foraging behavior by comparing the number of ants that forage on baits treated with iridomyrmecin to a control. Iridomyrmecin significantly reduces the number of native ants that recruit to baits. These results suggest that Argentine ants could be using iridomyrmecin to passively suppress foraging behavior, lending them another advantage in their invasion.</t>
  </si>
  <si>
    <t>Invasion ecology, Argentine ants, trail pheromones, defensive compounds, foraging suppression</t>
  </si>
  <si>
    <t>ThoenenM_2017-page1.pdf</t>
  </si>
  <si>
    <t>Cathy N. Ton</t>
  </si>
  <si>
    <t>Determining Trihalomethane Trends in Water Systems in the United States</t>
  </si>
  <si>
    <t>Trihalomethanes (THMs) are a class of byproducts that are created when chlorine interacts with organic compounds. In order to reduce exposure to THMs and other byproducts due to potential risks to health, the Environmental Protection Agency (EPA) set regulations to limit concentrations of disinfection byproducts. Through the Safe Drinking Water Act established in 1974, each water system in the United States is required to monitor levels of disinfection byproducts throughout the treatment process and distribution system to verify that it meets these regulations. The purpose of this study was to analyze annual trends of THM concentrations in the United States from 1975 to 2014. I completed trend analysis using national averages per year. There is a decrease in THM concentrations nationally and significant decreases after Stage 2 Disinfectant Byproduct Rule was published.</t>
  </si>
  <si>
    <t>Disinfection byproduct, Stage 2 Disinfectant and Disinfectant Byproduct Rule, trend analysis, chlorine, maximum contaminant level</t>
  </si>
  <si>
    <t>TonC_2017-page1.pdf</t>
  </si>
  <si>
    <t>Yinqiao Wang</t>
  </si>
  <si>
    <t>Energy Consumption and Greenhouse Gas Emission of Wastewater Treatment Plants in Northern China</t>
  </si>
  <si>
    <t>Knowing the levels of energy consumption and Greenhouse Gas Emission of wastewater treatment plants is the essential first step to save energy and reduce unnecessary emissions for the plants in the future. However, there is limited information regarding energy consumption and Greenhouse Gas levels in wastewater treatment plants in Northern China, so I investigated the monthly electricity consumption levels of 2016 in two study sites: Fushun Secondary Wastewater Treatment Plant and Jinxi Wastewater Treatment Plant. I also examined the variations of energy consumption and Greenhouse Gas emission, each with respect to seasonality in Northern China in 2016. The relationships between the two data and seasonality showed that energy consumptions in both plants were higher in winter mainly due to heating and pre-heating procedures in low temperatures. During summer Greenhouse Gas emissions were higher because of more frequent agricultural activities and longer operation time. An understanding of how seasonality affects energy consumption and Greenhouse Gas emission in wastewater treatment plants will provide insightful operating strategies in saving energy and reducing pollution in the future.</t>
  </si>
  <si>
    <t>chemical oxygen demand (COD), electricity consumption, seasonality, ammonia nitrogen</t>
  </si>
  <si>
    <t>WangY_2017-page1.pdf</t>
  </si>
  <si>
    <t>Kana Yamamoto</t>
  </si>
  <si>
    <t>The effects of topography on leaf litter decomposition in a humid tropical forest ecosystem</t>
  </si>
  <si>
    <t>Tropical forests are a major natural source of greenhouse gases affecting the global climate, including carbon dioxide (CO2), methane (CH4), and nitrous oxide (N2O). Greenhouse gas emissions can vary along a small spatial range due to spatial heterogeneity in tropical forests created by factors like topography. Leaf litter decomposition is likely to provide important substrates for greenhouse gas emissions. To explore this, I conducted a 7-month litterbag decomposition experiment along a topographic gradient in the Luquillo Experimental Forest in Puerto Rico and compared results with high frequency soil moisture, soil oxygen, and greenhouse gas measurements. Litterbags were placed at four topographic locations (ridge, upper slope, lower slope, and valley) and collected and analyzed for mass remaining, C content, and N content over time. Decomposition rates were lower in the valleys, which matched the anaerobic conditions characterized by low soil oxygen and high soil moisture. The decay rates for other topographic locations did not differ significantly from one another, suggesting a threshold effect on decomposition. The valley also had the highest emission of CH4, a by-product of anaerobic decomposition, but overall C emissions were dominated by the production of CO2 on the ridge. Decomposition rates and C gas fluxes had a strong correlation, mostly indicating a turnover from aerobic to anaerobic decomposition. A link between N2O and CO2 emissions is evident as well, connecting faster decomposition rates to higher N-gas emissions. These results indicate significant variation in microbial activity linked to greenhouse gas emissions within a small, spatial range.</t>
  </si>
  <si>
    <t>microbial decomposition, spatial heterogeneity, carbon dioxide, methane, nitrous oxide</t>
  </si>
  <si>
    <t>YamamotoK_2017-page1.pdf</t>
  </si>
  <si>
    <t>Anna Yip</t>
  </si>
  <si>
    <t>University of California, Berkeley: ‘Zero Waste’ by When, and How?</t>
  </si>
  <si>
    <t>In 2009, the University of California joined the ‘zero waste’ movement by implementing its system-wide ‘Zero Waste by 2020’ goal. Unfortunately, with less than four years left to achieve ‘zero waste’, UC Berkeley has fallen far behind. The campus’ current waste setting and necessary next-steps to achieve ‘zero waste’ had previously been left undefined, as UCB had not created a ‘zero waste’ plan since 2013. Throughout this study, I produced UC Berkeley’s 2017 Zero Waste Plan, which summarized campus’ current waste setting and demonstrated the required changes needed to push campus to its goal. I found that campus is currently at a 48% diversion rate and holds the potential to increase this diversion rate significantly through proper sorting. Presently, 83% of all waste sent to landfill could be diverted if sorted properly. With perfect sorting, campus’ diversion rate could increase to 91%. Bin distribution and signage was also found to be inconsistent, which could explain the high amount of recyclables and divertables in the landfill stream. Thus, the suggestions made in the 2017 plan focused on creating more downstream solutions to increase diversion. Though this new 2017 plan outlines how UC Berkeley could achieve its daunting goal of nearly doubling its diversion rate, analyzing the ‘zero waste’ goal also shows that racing to achieve a certain diversion rate might not be the most effective way for campus to manage its waste.</t>
  </si>
  <si>
    <t>recycling, composting, diversion rate, zero waste by 2020, waste reduction</t>
  </si>
  <si>
    <t>YipA_2017-page1.pdf</t>
  </si>
  <si>
    <t>Alvaro Zayas</t>
  </si>
  <si>
    <t>Groundwater Inundation: Interpolating Groundwater Surface Levels in Alameda County, CA</t>
  </si>
  <si>
    <t>ZayasA_2017-page1.pdf</t>
  </si>
  <si>
    <t>Natalie Zhang</t>
  </si>
  <si>
    <t>Effects of Sulfate Addition and Soil Physico-Chemical Characteristics on the Abundance of Fe(III)-Reducing Bacteria in Subalpine Wetland Soils</t>
  </si>
  <si>
    <t>Observed elevations in dissolved organic carbon (DOC) concentrations in surface waters worldwide signal a declining capacity of soils to stabilize soil organic matter (SOM), a function important to managing drinking water quality as well as maintaining a large terrestrial carbon (C) pool integral to global carbon balance. In wetlands, anaerobic respiration via microbial reduction of terminal electron acceptors including iron (Fe) and sulfate (SO42-) is a major driver of Fe cycling, which is key to preservation and decomposition processes in SOM cycling. Given Fe-S coupled cycling and previously demonstrated fallibility of a long-standing thermodynamic hierarchy used to predict the sequence of terminal electron accepting processes, effects of changing the relative availability of S on Fe-reducing populations are unclear. This study elucidates the effects of observed increases in SO42- deposition levels in subalpine wetlands of Colorado’s Fraser Experimental Forest on the abundance of soil Fe(III)-reducing bacteria (IRB). IRB in a slope and a depressional wetland were enumerated using the most probable number (MPN) method before and after intact soil cores were injected with artificial SO42--enriched porewater. SO42- addition significantly increased IRB abundance in most study soils, implying that SO42- deposition can be a contributing factor to rising DOC levels in watersheds. Dry bulk density was found to have a significant positive effect on IRB abundance that was enhanced upon SO42- addition and N content only became relevant to IRB abundance after SO42- addition. Complexities in Fe-S cycling linkages combined with physico-chemical heterogeneity of soils pose challenges to determining the extent to which SO42- addition affects biotic Fe(III) reduction in subalpine wetlands.</t>
  </si>
  <si>
    <t>Iron-sulfur coupled cycling, dissolved organic carbon, soil organic matter, subalpine watersheds, wetland biogeochemistry</t>
  </si>
  <si>
    <t>ZhangN_2017-page1.pdf</t>
  </si>
  <si>
    <t>Lindsey P. Agnew</t>
  </si>
  <si>
    <t>Environmental and Evolutionary Influences of Light on Fern Leaf Morphology in California</t>
  </si>
  <si>
    <t>Climate change is predicted to increase the amount of solar radiation reaching understory plant communities in California. The degree to which plants are able to respond to this change depends on a combination of factors, including their evolutionary history and phenotypic plasticity. Examining the phylogenetic and environmental factors affecting leaf morphology in ferns can help us predict how California’s flora will respond to this environmental change. I studied environmental influences by comparing the division of four fern species to the light intensities of their habitats in northern and southern regions of the state. I investigated evolutionary influences by comparing leaf division and average habitat light intensity across the phylogeny of polypod ferns in California. Differences in light intensity along the state’s latitudinal gradient caused more significant changes to leaf morphology than shading, with the morphological response varying by species. Phylogenetic analyses reveal that leaf division and habitat light intensity are highly labile traits with no strong phylogenetic signal. Lack of correlation between these traits indicates that different morphologies serve as adaptations to the same light conditions. The high phenotypic variability found in ferns suggests that they will likely be able to persist amongst the rapid environmental changes predicted for California. These findings show the importance of considering both environmental and evolutionary history when planning conservation efforts for the state’s flora.</t>
  </si>
  <si>
    <t>phylogenetic signal, phenotypic plasticity, leaf division, Polypodiales, pteridophytes</t>
  </si>
  <si>
    <t>AgnewL_2016-page1.pdf</t>
  </si>
  <si>
    <t>https://www.ocf.berkeley.edu/~pkmendez/envsci/projects/2016final/</t>
  </si>
  <si>
    <t>Sarah R. Atkinson</t>
  </si>
  <si>
    <t>What’s Missing from the Discussion of “Food Deserts”? An analysis of discursive justice in “food desert” related articles in The New York Times, Chicago Tribune and The Los Angeles Times from 2008-2015</t>
  </si>
  <si>
    <t>In this study, I analyzed articles on the topic of “food deserts” from three popular U.S. newspapers, The New York Times, Chicago Tribune and The Los Angeles Times, from 2008- 2015. I identified narrative trends within the articles surrounding issues of invisibility, racism and solution building. I also analyzed writings and talks from two food justice organizations and one food justice advocate: Planting Justice, Food First and LaDonna Redmond. Using their narrative perspectives, I examined what was missing from the discourse around “food deserts” in the news media. These contrasting perspectives and framing of “food deserts” allowed me to explore the general designation of “food desert” and its creation of place and representation of the affected community. In conclusion, I put forth some alternative ways of discussing “food deserts” and “food insecurity” in the United States and examine racism and income inequality as the core causes of these social issues. This paper is part of a larger social discussion around rebuilding our current social structure and physical infrastructure in order to build a more equitable and just society.</t>
  </si>
  <si>
    <t>Food insecurity, food justice, food access, social justice, racial justice, income inequality</t>
  </si>
  <si>
    <t>AtkinsonS_2016-page1.pdf</t>
  </si>
  <si>
    <t>Manda V. Au</t>
  </si>
  <si>
    <t>Tidal Marsh Restoration in the South Bay Salt Ponds: Mapping Vegetation Re-establishment Patterns with Remote Sensing in Pond A21 and North Creek Marsh</t>
  </si>
  <si>
    <t>Tidal wetlands provide a large variety of important ecosystem services, but are extremely vulnerable to environmental changes and have experienced high losses globally. Without intervention, these losses will increase because of stresses from climatic events and urban development. Many efforts have been made to conserve and restore wetlands around the San Francisco Bay, but the progress of restoration projects have been seen to be highly variable and difficult to monitor. Remote sensing and change analysis can alleviate some of those difficulties and provide information on long-term monitoring. I used Object Based Image Analysis (OBIA) on 1 meter resolution IKONOS imagery and performed change analysis to assess the patterns of vegetation change between 2009 and 2011 in two breached restoration sites managed by the South Bay Salt Pond Restoration Project: Pond A21 in Alviso and North Creek Marsh (NCM) in Eden Landing. NCM experienced increases in vegetation throughout the site, while vegetation growth in A21 remained limited to areas near water channels. Image segmentation based on scale parameter was variable between sites, but other parameters within segmentation and classification rule sets can be saved and applied to monitor additional restored wetlands. This information gives adaptive management projects greater insight on the effectiveness and limitations of using these remote sensing methods to monitor wetland response to environmental changes.</t>
  </si>
  <si>
    <t>Remote Sensing, Object Based Image Analysis, San Francisco Bay, Wetland Restoration, Adaptive Management</t>
  </si>
  <si>
    <t>AuM_2016-page1.pdf</t>
  </si>
  <si>
    <t>Ryan B. Avery</t>
  </si>
  <si>
    <t>Effects of DEM Source on the Accuracy of Derived Hydrological Networks in Marin County</t>
  </si>
  <si>
    <t>The multitude of publicly available Digital Elevation Models (DEMs) requires end users to assess which DEM best represents surface topography for a given region. The differences in coverage and spatial resolution between DEMs is clear, but site specific accuracy can vary significantly between sources and is difficult to measure. Data noise (randomly distributed error), biases in the pre-processing stage, and equipment malfunctions can all impact the DEM’s representation of the Earth’s surface. This error can compromise the utility of one of the most common products derived from DEMs, the digital stream network (DSN). This analysis seeks to examine the differences in accuracy of DSNs obtained from three sources: The National Elevation Data, the Spectral Radar Topography Mission and the Advanced Spaceborne Thermal Emission Radar. Accuracy of hydrology networks is measured using the figure of merit (FM ratio), which measures the overall agreement of DSNs with a reasonably accurate baseline, the National Hydrography Dataset. Accuracy is evaluated and compared on two scales, the bounded study region in Marin County and at a local resolution across the same study region. My results show that errors are not randomly distributed. Overall accuracy results are given for the Tuolomne River Valley and Marin County study regions. The local accuracy statistics for Marin County are presented along with visualizations of error and significant error clustering. I present the semivariograms of error and my spatial variables of interest for a stream network cell resolution size of 30 meters. My results show the degree to which slope and elevation vary with network error. Furthermore, my results reveal how these spatial relationships depend on the source of the DEM.</t>
  </si>
  <si>
    <t>elevation, flow accumulation, figure of merit, ASTER, spatial analysis</t>
  </si>
  <si>
    <t>AveryR_2016-page1.pdf</t>
  </si>
  <si>
    <t>Brittni L. Bertolet</t>
  </si>
  <si>
    <t>Lake TEA: Changing Dynamics of Terrestrially-Derived Dissolved Organic Carbon Across the Land-Water Interface in Northern Wisconsin</t>
  </si>
  <si>
    <t>Increases in terrestrially-derived dissolved organic carbon (DOC) in lakes have altered the physiochemical structure of the water column, and have raised questions regarding the role of these ecosystems in the global carbon cycle. Understanding the sources and controls of the incoming DOC is essential for predicting water chemistry and ecosystem change in the lake-rich region of northern Wisconsin. I sought to determine how changes in soil temperature and moisture may affect both the concentration and molecular form of DOC leaching from soils into lakes in northern Wisconsin. Saturated soil cores were collected from a seepage lake in the Chequamegon-Nicolet National Forest, Wisconsin, USA and manipulated in the laboratory with simulated climate treatments for 28 days (n=5). Experimental treatments were chosen to understand potential warming and drying conditions predicted under climate change. Soil core leachate was then extracted and analyzed for DOC concentration and specific UV absorbance, a function positively correlated with aromaticity. Increased temperatures led to lower leachate DOC concentrations (F24,1 = 37.280, P &lt; 0.05), while both increased temperatures and drier conditions caused a preferential breakdown of aromatic compounds (F24,2 = 4.693, P &lt; 0.05). These trends can potentially be attributed to an increase in microbial decomposition of soil organic matter and mineralization to CO2. In a lake, the smaller molecules are less colored and are typically more bioavailable to microorganisms. Therefore, my results provide some evidence that warmer and drier climate conditions may offset recent lake browning trends in northern Wisconsin.</t>
  </si>
  <si>
    <t>climate change, carbon cycling, freshwater biogeochemistry, ecosystem change, lake browning</t>
  </si>
  <si>
    <t>BertoletB_2016-page1.pdf</t>
  </si>
  <si>
    <t>Hillary K. Buntara</t>
  </si>
  <si>
    <t>Assessing Infrastructure Interdependency in Jakarta, Indonesia: Using Critical Asset Surveys to Advance Urban Decision Support Systems</t>
  </si>
  <si>
    <t>Due to climate change and high urbanization rates, developing megacities like Jakarta, Indonesia, have experienced an increased number and intensity of climatic disasters like flooding, which can be mitigated by resilient infrastructure systems. However, as cities grow larger, infrastructure systems become more interdependent with one another, and the risk of cascading failures increases. Using questionnaire responses from in the Jakarta Provincial Government (JPG) and United Nations Development Programme (UNDP) Indonesia, I show that governments and intergovernmental organizations may not be fully aware of this risk during urban planning. I also identified that several barriers to constructing more robust infrastructure models that address infrastructure interdependency include the lack of human resources, availability and credibility of data, and coordination between affiliated parties. Furthermore, I propose a critical asset survey (CAS) prototype that aims to collect appropriate data on critical infrastructure, so that governments can make more rational, data-based policy decisions and to provide more credible data to run infrastructure models. I modified the CAS based on my questionnaire responses, literature review and assessment on the implementation of the prototype. Foreign aid agencies that aim to help cities like Jakarta adapt to climate change through infrastructure projects can increase the likelihood that their funds are allocated to investments that are less likely to fail due to infrastructure interdependency by requiring the use of the CAS and infrastructure models. The conclusions from this paper and the CAS can also be applied to developing cities that also face the problem of data scarcity like Jakarta.</t>
  </si>
  <si>
    <t>Urban environment, urban planning, water management, flooding, foreign aid policy</t>
  </si>
  <si>
    <t>BuntaraH_2016-page1.pdf</t>
  </si>
  <si>
    <t>Wai Ting Chan</t>
  </si>
  <si>
    <t>Life Cycle Assessment of Shanghai Electric Vehicle Subsidy</t>
  </si>
  <si>
    <t>Rapid motorization is exacerbating China’s growing greenhouse gas emissions from the transportation sector. To meet its target in abating greenhouse gas emissions, China promotes and subsidizes purchase of electric vehicles (EVs) as an alternative to conventional vehicles. This research assesses the environmental impact of the transportation subsidy policy in Shanghai, China. To model the effect of the policy, the life cycle emissions from different vehicle composition and electricity generation scenarios were calculated using the GREET model. Results indicate that encouraging the adaption of EVs via subsidy can reduce carbon emissions and air pollutants include violate organic compound (VOC), carbon monoxide (CO) and nitrogen oxide (NOx). However, it can increase air pollutants, such as particulate matter 10 (PM 10), particulate matter 2.5 (PM 2.5) and sulfur oxide (SOx). This suggests that while the policy has positive effect on mitigating emissions, it is worsening the already poor urban air quality. When coal powered energy is partially substituted with renewable energy sources, having more EVs is more effective in reducing carbon emission and all air pollution.</t>
  </si>
  <si>
    <t>Life Cycle Assessment, GREET model, Carbon Emissions, Air Pollution, Transportation</t>
  </si>
  <si>
    <t>ChanW_2016-page1.pdf</t>
  </si>
  <si>
    <t>Jordan Cheng</t>
  </si>
  <si>
    <t>Chasing the Tesla Standard: Predicting Battery Electric Vehicle Sales amidst Increasing Competitive Pressures</t>
  </si>
  <si>
    <t>Tesla has been a market leader in Battery Electric Vehicle (BEV) capabilities—boasting an EPA estimated travel range of 265 miles. Still, mass-market BEV manufacturers have been able to sell cars with a lower range of approximately 87 miles without having to make significant upgrades to their capacity. This is because Tesla vehicles—though powerful—are above the price point of the typical consumer. But in the next few years—anticipating Tesla’s release of an equally powerful mass-market vehicle—companies are preparing to release their next generation of BEVs. Recently, Chevy announced their next generation of BEVs will have a 200 mile travel capacity—which can be seen as an effort to compete with Tesla’s mass market vehicle. Based on this evidence, this paper examines the effect of travel range on sales of battery electric vehicles. Using sales data from hybridcars.com, I conducted an econometric analysis of factors that affect BEV adoption using a multivariate regression model with both fixed variable effects and fixed time effects. The main dependent variable of interest was monthly vehicle sales while the main independent variable of interest was travel range. Other independent variables such as gasoline prices and vehicle prices were included to help isolate the effect that travel range has on BEV sales. Through various iterations of the multivariate regression model, the linear coefficient of travel range regressed on sales remained positive and statistically significant (p&lt;0.01) with a with an approximate 5.4-5.6% increase for every additional mile of range.</t>
  </si>
  <si>
    <t>Tesla Model III, Travel Range, Econometric Analysis, Travel Range Anxiety, Vehicle Adoption</t>
  </si>
  <si>
    <t>ChengJ_2016-page1.pdf</t>
  </si>
  <si>
    <t>Jo-an Chen</t>
  </si>
  <si>
    <t>The Effects of Warming Temperatures on Biomonitoring Metrics in California, 2000-2050</t>
  </si>
  <si>
    <t>Climate change is predicted to negatively affect freshwater benthic macroinvertebrates as a result of temperature preferences. Recent warming temperatures and a persistent drought threaten the habitats of these species, which may result in changes in distribution and range. I randomly selected 174 sites and modeled the current and future distribution of Ephemeroptera, Trichoptera, and Plectopera species in California from 2000 to 2050 using publicly-available biomonitoring datasets from the California Environmental Data Exchange Network. Based on changes in EPT richness and genus-level tolerance values from a sampled site, I calculated the difference in biomonitoring metrics of benthic macroinvertebrate communities. I constructed species distribution models using four WorldClim’s projected annual climatic variables within MaxEnt. Overall, the models predicted general trends of decreasing species diversity and northward shifting towards cooler temperatures under projected climate change. Biomonitoring metrics, in terms of EPT richness and genus-level tolerance values, decreased in overall richness and reflected decreasing sensitivity to changing climatic conditions because tolerance values were higher. Despite the limitations and uncertainties involved in modeling, the projected changes in species distribution highlight the vulnerability of sensitive macroinvertebrates and the need to implement measures to protect freshwater resources against projected climate change.</t>
  </si>
  <si>
    <t>species distribution modeling, EPT species, water quality, Maxent, climate change</t>
  </si>
  <si>
    <t>ChenJ_2016-page1.pdf</t>
  </si>
  <si>
    <t>James C. Dunn</t>
  </si>
  <si>
    <t>Comparing Subnational Ecological Footprints for the United States, 2010</t>
  </si>
  <si>
    <t>The Ecological Footprint is an environmental impact model widely used in ecological economics. Per capita Footprints are well documented at the national level but there is a dearth in knowledge about per capita Footprints at the subnational level, or comparisons of per capita Footprints between groups within a nation. In this paper, I propose the first complete demographic analysis of Ecological Footprints within the United States using 2010 National Footprint Account data in order to examine environmental burden allocation at the subnational level. For the national average consumer, household expenditures that resulted in the largest Footprints were electricity, public and other transportation, food service, and healthcare. Demographic characteristics, such as race, education, marital status, and housing tenure, are associated with distinct, non-uniform consumption patterns and per capita Footprints for many demographic cohorts differ from the national average. It is important for policy makers in the United States to consider the different causes of consumption heterogeneity and to be able to benchmark industries and consumer products by environmental impact.</t>
  </si>
  <si>
    <t>allocation method, input-output, demographic analysis, population composition, household consumption</t>
  </si>
  <si>
    <t>DunnJ_2016-page1.pdf</t>
  </si>
  <si>
    <t>Fedorova Varvara</t>
  </si>
  <si>
    <t>Investigating Tree Mortality in the American Fire Footprint: Is California’s Current Drought Affecting Post-Fire Mortality?</t>
  </si>
  <si>
    <t>I compared mortality rates pre- and post-fire, as well as pre- and post-drought between two study sites: the American Fire footprint in the American River Ranger District Forest and a controlled burn in Blodgett Forest. I created a model for mortality predictability using char, scorch and tree size as predictor variables with a logistic regression. After the fire, overall mortality rose by 4,063% for the American Fire footprint and 411% for Blodgett; a Chi-squared test yielded this to be a significant increase, indicating that fire has an effect on post-fire mortality. However, there was no strong statistical significance between the American Fire footprint post-fire mortality and Blodgett post-fire mortality, indicating that drought does not have an effect here. The best logistic regression for both study sites used char and DBH as predictor variables; however, the AF footprint model also used scorch. When controlling for tree size, the probability of mortality was much higher for the AF footprint than Blodgett, indicating that drought may actually have an effect on post-fire mortality. Realizing these discrepancies in mortality and mortality predictability between non-drought years and years with drought will be critical for future management regimens and conservation efforts.</t>
  </si>
  <si>
    <t>Char, scorch, logistic model, disturbance ecology, Sierra Nevada</t>
  </si>
  <si>
    <t>FedorovaV_2016-page1.pdf</t>
  </si>
  <si>
    <t>Trevor Fischer</t>
  </si>
  <si>
    <t>Effect of El Niño Rainfall on Aphid Winged Morphs</t>
  </si>
  <si>
    <t>Aphid interaction with pheromone cues, one of the strongest being aphid alarm pheromone. Excess rainfall may stress aphids and cause them to produce the alarm pheromone. Because of this, aphids may produce more stress pheromone, which can be observed in the field through percentage of aphid population with wings. Results showed that there was no significant findings and that no result could be concluded in the study.</t>
  </si>
  <si>
    <t>Alarm pheromone, aphid stress, specialization</t>
  </si>
  <si>
    <t>FischerT_2016-page1.pdf</t>
  </si>
  <si>
    <t>Hannah L. Hagen</t>
  </si>
  <si>
    <t>Effect of WENO advection scheme on simulation of stratocumulus-topped atmospheric boundary layer</t>
  </si>
  <si>
    <t>Clouds maintain Earth’s energy balance and are a key regulator of weather and climate. The
effect of the WENO advection scheme was analyzed in simulation of the marine stratocumulus-
topped boundary layer. Data from the first research flight (RF01) of the DYCOMS II field
campaign was used as a test case. RF01 was characterized by a cloud layer that was maintained
throughout the night with a strong, sharp inversion at cloud top. Cloud Model 1 (CM1) was used
to simulate a 3.36 km x 3.36 km x 2.0 km domain. Two coarse simulations (15 m), one using the
WENO advection scheme and the other using the default advection scheme for CM1 were
compared with a high resolution (5 m) simulation that closely matched the observations from
RF01. Global integrals like domain liquid water and vertical velocity statistics reveal that the
WENO scheme produced results that were highly divergent from the high resolution simulation.
In contrast, the default advection scheme of CM1, which is a 5th order scheme with mass flux
correction, was a closer match to the high resolution data. The results and analysis indicate that
the WENO scheme produced artificially large entrainment of warm and dry air into the cloud
layer, weakening radiative cooling and reducing turbulent mixing beneath the cloud layer. The
result of this artificial entrainment in the WENO simulation was a decoupled boundary layer and
nearly complete dissipation of the cloud layer by the end of the four-hour simulation period. On
the other hand, the simulation using the default advection scheme produced a thinner, but still
present, cloud layer, suggesting significantly less artificial entrainment of dry air into the cloud
layer. The divergent results indicate that simulation of marine stratocumulus is highly sensitive
to numerical diffusion at cloud top. This increased numerical diffusion at cloud top produced by
the WENO scheme led to incorrect decoupling and dissipation of the cloud layer. On the other
hand, the default advection scheme showed closer agreement with the high resolution simulation
and observations, although this improved performance was achieved at a greater computational
cost. An ideal advection scheme would reduce both numerical diffusion and oscillations at sharp
gradient, but also maintain the computational efficiencies of a scheme like WENO.</t>
  </si>
  <si>
    <t>Cloud-resolving model, numerical analysis, WENO schemes, marine stratocumulus, large eddy simulation (LES)</t>
  </si>
  <si>
    <t>HagenH_2016-page1.pdf</t>
  </si>
  <si>
    <t>Jenna Keller</t>
  </si>
  <si>
    <t>The Effects of Forest Management on Carbon Dynamics in California Sierra Nevada Mixed Conifer Forests</t>
  </si>
  <si>
    <t>Predicted increases in atmospheric carbon dioxide (CO2) have generated interest in strategies to decrease atmospheric emissions; one such strategy is carbon sequestration in forests and forest products. Forests are an essential part of the carbon cycle and have the potential of storing large quantities of carbon at the stand level and in wood products. The purpose of this study is to better understand the net carbon consequences of even-aged (clear-cuts) and uneven-aged (group selection) management regimes compared to unmanaged reserve stands using long-term data records from the University of California Blodgett Research Forest. I generated growth equations that modeled the stands under a no harvest let-grow scenario and that modeled the regenerated stand. I also conducted a life-cycle analysis of the harvested wood using Stewart and Sharma’s (2015) Carbon Calculator for Timber Harvest Plans. I found that both group selection and clear-cut harvesting resulted in higher net carbon benefit than their no-harvest counterparts; with group selection resulting in a higher percent increase in carbon benefit than clear-cut. I also found that when substitution benefits of using wood products instead of CO2 intensive building material were not included in the carbon benefit analysis, clear-cut did not increase carbon benefit. These findings suggest that the best way to manage forests as carbon sinks for Blodgett Forest is to harvest the stand via group selection.</t>
  </si>
  <si>
    <t>Clear-cut, group selection, carbon sequestration and capture, Jenkins equation, life cycle analysis</t>
  </si>
  <si>
    <t>KellerJ_2016-page1.pdf</t>
  </si>
  <si>
    <t>Hannah Krovetz</t>
  </si>
  <si>
    <t>The Effect of Water-Use Labeling and Information on Consumer Valuation for Water-Sustainable Food Choices in California</t>
  </si>
  <si>
    <t>The recent rise of “eco-labels” has created a market for sustainable food options. With recent droughts in California, an agricultural powerhouse, there is a need for increased water efficiency in food production. Currently there are no water-efficient food labels in the marketplace to guide consumers who want to decrease their water footprint and follow a more sustainable diet. I used discrete choice experiments, rooted in random utility theory (RUM) to document consumer valuation of water efficiency and the effect of information on preferences for attributes and products via discrete choice experiments. Survey respondents participated in four choice experiments for avocados, almonds, lettuce, and tomatoes. Choice data was analyzed using a conditional logit model. Findings show that consumers perceived high utility towards water-efficiency and had a high willingness to pay (WTP). An information treatment doubled consumer WTP for low-water showing that there is a knowledge barrier and potential for marketing water-efficient foods.</t>
  </si>
  <si>
    <t>choice experiment, willingness to pay, water efficiency, food, California agriculture</t>
  </si>
  <si>
    <t>KrovetzH_2016-page1.pdf</t>
  </si>
  <si>
    <t>Paras Kumar</t>
  </si>
  <si>
    <t>Challenging Climate Change Skepticism Through Graphical Curricula</t>
  </si>
  <si>
    <t>The effects of anthropogenic global warming (AGW) will soon become irreversible absent drastic domestic and international changes in environmental policy. Environmental progress has been hindered by relevant political (e.g. governments) and economic (e.g. big businesses) actors, many of whom are still skeptical global climate change is real and due to humans. Since these actors are most responsive in the face of political or economic costs, building broad public consensus in favor of taking decisive policy actions will likely prove crucial to shaming relevant actors into action. One important tool that can be used to combat skepticism is science communication, be it through statistics, graphs, videos, text or some combination thereof. This experiment looked at the effectiveness of six different interactive graphical curricula at increasing acceptance of global warming amongst an undergraduate class (n=280) at the University of California, Berkeley. Most results were not statistically significant. However, all participants demonstrated modest increases in understanding and acceptance that earth has warmed over the past 200 years, though overall climate change attitudes were small and statistically insignificant. Some academics have proposed that science curriculum are polarizing, which this experiment found little support for. Despite small sample size and inability to establish statistical significance, participants who identified as politically conservative were typically more likely to believe climate change is real after receiving the curriculum. This suggests that interactive graphs could aid in challenging climate change skepticism and should merit attention from educators charged with designing science curriculum for students, though more research must be conducted.</t>
  </si>
  <si>
    <t>global warming skepticism, science communication, belief revision, attitude change, climate literacy</t>
  </si>
  <si>
    <t>KumarP_2016-page1.pdf</t>
  </si>
  <si>
    <t>Wun Seong Lam</t>
  </si>
  <si>
    <t>Calculating Life Cycle Greenhouse Gas Emissions for Hydrogen Fuel Cell Vehicles in California</t>
  </si>
  <si>
    <t>In this study, I estimated the life cycle greenhouse gas emissions of hydrogen fuel produced from both natural gas reformation and 33.3% of solar or wind electrolysis, and compared these outputs to the life cycle emissions of gasoline. Automotive exhaust emissions have a major impact on the global and local environment. Replacing petroleum-powered vehicles with clean alternative energy vehicles can reduce greenhouse gas (GHG) emissions. In order to understand the real-world impacts of using hydrogen as a transportation fuel in California, policymakers and companies need to be able to accurately evaluate the energy and emissions effects of hydrogen fuel and vehicle technology. Study methodology relied on using the California-modified Greenhouse Gases, Regulated Emissions, and Energy Use in Transportation (CA-GREET) model to evaluate well-to-wheels (WTW) energy and emissions impacts of various fuel-cell fuels. Examining results, hydrogen fuel cell vehicles (HFCVs) generated less life cycle GHG emissions, criteria pollutants, and consumed less fossil fuel energy than conventional vehicles. Moreover, when simulated renewable energy was used to produce hydrogen, lower upstream carbon emissions resulted – suggesting this approach might substantially lower overall transportation emissions. Thus, HFCVs can be a tool for achieving California's long-term goals of reducing GHG emissions and improving local air quality in the transportation sector.</t>
  </si>
  <si>
    <t>hydrogen production, gasoline, transportation, emission, fossil fuel energy</t>
  </si>
  <si>
    <t>LamW_2016-page1.pdf</t>
  </si>
  <si>
    <t>Ka Hei A. Lee</t>
  </si>
  <si>
    <t>Effects of Residential Block Layout on Urban Tree Population in San Jose, California</t>
  </si>
  <si>
    <t>Urban forests play a key role in providing environmental, social and economic benefits and enhancing human health and quality of life in cities. Street trees as an element of landscape design emerged with suburban development. Tree-sidewalk conflicts such as sidewalk lifting incur social and financial costs. In the 1970s, planners took the advice of arborists to move from the traditional Park Strip (PS) Design to a new Monolithic Sidewalk (ML) Design in new residential development, hoping to allow more room for tree root growth. However, there remains a lack of consensus whether the new design promotes healthier trees. Missing trees were observed in some neighborhoods. I used a Tree Inventory which recorded tree species and sidewalk type. I sampled 42 neighborhoods and found that the proportion of missing tree in ML is higher. Net property value is not a significant indicator of the presence or absence of trees. I also found tree planting space in ML is not significantly higher than planting space in PS, likely due to confusion between private and public-right-of-ways where street trees are located. The confusion can also be attributed to the fact that residents believed the government is responsible for tree stewardship and very few believe that residents should be responsible for tree care. This study confirmed the tree populations in ML neighborhoods are significantly smaller than PS neighborhoods. Results evoke consideration of sidewalk choice for future developments, enforcement of poor tree care, and a broader scale education of homeowners concerning public street trees care.</t>
  </si>
  <si>
    <t>Park Strip, Monolithic Sidewalk, marginal sidewalk, street trees, tree-sidewalk conflict</t>
  </si>
  <si>
    <t>LeeA_2016-page1.pdf</t>
  </si>
  <si>
    <t>Ho Ting Leung</t>
  </si>
  <si>
    <t>The Response of the Benthic Macroinvertebrate Community to New Step-Pools Sequences in Strawberry Creek</t>
  </si>
  <si>
    <t>A step-pool system is a common restoration practice for high-gradient streams integrating boulders and cobbles across the channel to form steps, the plunge into pools composed of finer sediments. To understand how benthic macroinvertebrate (BMIs) communities use habitat in a restored step-pool system in Strawberry Creek in Berkeley, CA. I answer the following questions: 1) What benthic macroinvertebrate taxa characterize the different step and pool habitats of the restored stream reach? 2) How do the benthic macroinvertebrate communities in the restoration areas differ from natural step-pool areas? 3) How does seasonality affect the distribution of benthic macroinvertebrate taxa? I collected the macroinvertebrates from 8 step-pool pairs and 3 riffle in fall, and 6 step-pool pairs and 1 riffle in spring. I found no significant difference in most of the bioassessment metrics among steps, pools and riffles except the % contribution of dominant taxon from Kruskal—Wallis test. The bioassessment metrics in the restored step-pool sites were generally similar to the natural step-pool sites from two-sample t-test. To determine how similar of different sampling sites were in terms of benthic assemblage under four variables: habitat types location, seasonality and restoration status, I used a 3-dimesnional non-metric multidimensional scaling analysis. I observed only season (p= 0.001), location (0.005) and restoration status (0.011) were the significant factors that determined the distribution of macroinvetebrate taxa among different sites. The higher similarity of macroinvertebrate taxa between restored sites and the South Fork, and the presence of sensitive EPT species both suggested the degraded habitats have been restored.</t>
  </si>
  <si>
    <t>River restoration, bioassessment, habitat complexity, geomorphology, urbanization</t>
  </si>
  <si>
    <t>LeungH_2016-page1.pdf</t>
  </si>
  <si>
    <t>Alexander C. Makabeh</t>
  </si>
  <si>
    <t>Evaluating and optimizing a method for using cotton-pads to monitor for fluorescent compounds in urban water systems</t>
  </si>
  <si>
    <t>Sewage misconnections and storm drain outflows can dump pollutant-runoff, which may include detergents, into watersheds. With drought concerns in California, properly managing water chemistry is necessary. Community members need to become the scientists and stewards of their local streams. However, some communities may not be able to afford current chemical kit testing methods. Using a low-cost cotton-pad, I enhanced a procedure to assess detergent levels in streams. The findings suggest a useful method to create a viable calibration, an optimal submersion in-field time of two days, an optimal in-lab submersion time of 1 hour, the ideal light being a handheld ultraviolet light that fluoresces in the 375-395nm range and zip-tying to protrusions was best for fixing. With additional implementation and a comparison to modern testing methods, my findings suggest that an inexpensive, easily-accessible detergent test kit can effectively be calibrated. Such a test can be used preliminarily to detect existing point-source detergent sources. If the low-cost cotton-pad testing kit provides positive results for the potential presence of detergents, then common methods should be considered. Environmental groups can add the testing recommendations to their catalogue, making them more effective in their duty to resolve water quality concerns within communities.</t>
  </si>
  <si>
    <t>watersheds, creeks, water quality, detergents, optical brighteners, pollution</t>
  </si>
  <si>
    <t>MakabehA_2016-page1.pdf</t>
  </si>
  <si>
    <t>Annika K. Min</t>
  </si>
  <si>
    <t>Forest Cover Change in South Gondar, Ethiopia from 1985 to 2015: Landsat Remote Sensing Analysis and Conservation Implications</t>
  </si>
  <si>
    <t>Ethiopia has experienced drastic historical deforestation, concentrating the remaining indigenous forest cover in small patches that hold great ecological, economic, social, and religious significance. Ongoing forest loss in recent decades has been documented in various parts of Ethiopia, but overall vegetative cover may be increasing in certain regions due to the widespread use of the non-native plantation crop eucalyptus, even if native forest is still declining. No recent forest cover change has yet been investigated in the South Gondar, Amhara region, even though spatial assessment of forest cover change and trends in forest composition is critical for informing conservation efforts. I used the geospatial software ENVI to analyze two Landsat scenes of South Gondar from the dry seasons of 1985 and 2015. I carried out NDVI change detection between 1985 and 2015, conducted a supervised classification of the 2015 image to generate comparative forest cover maps, and analyzed land cover characteristics within three different elevation categories. Overall NDVI increased from 1985 to 2015, indicating promising vegetative growth or recovery, but nevertheless vegetation comprised less than 5% of the scene in the classified image of present day land cover, and native forest and eucalyptus stands each made up &lt; 1% of the overall scene, but the abundance of eucalyptus is relatively high compared to persisting native forest. More areas at high elevations experienced a big increase in NDVI than at lower elevations. These trends suggest that overall vegetation has increased, but native forest ecosystems remain only a small fraction of the overall landscape, and the myriad ecological and cultural benefits that these biodiverse forests provide remain compromised.</t>
  </si>
  <si>
    <t>Land cover change, ENVI, Amhara, church forest, eucalyptus</t>
  </si>
  <si>
    <t>MinA_2016-page1.pdf</t>
  </si>
  <si>
    <t>Niamh P. Murphy</t>
  </si>
  <si>
    <t>The Effect of Compost on Crop Arsenic Uptake</t>
  </si>
  <si>
    <t>Urban gardens, such as the Santa-Fe-Right-of-Way, an old railway bed in South Berkeley, sometimes struggle with contaminated soils contaminated with high levels of metals like arsenic. Community gardens often need a short-term, inexpensive method of managing this contamination, and studies have shown that long-term compost applications reduce the amount of arsenic that is taken up into crops. However, I wanted to test whether short-term compost applications had any effect on arsenic uptake. This study showed that short-term compost applications are not an effective method of treating arsenic contamination in soil. The application of compost did not have an effect on the crop uptake of arsenic, and there was not a significant difference in arsenic level between different kinds of crops. Compost is not an effective short-term arsenic immobilizer and while it is easy for communities to use, it should not be used to remediate arsenic in community garden soil contaminated with heavy metals.</t>
  </si>
  <si>
    <t>soil, Berkeley, urban garden, heavy metal, contamination</t>
  </si>
  <si>
    <t>MurphyN_2016-page1.pdf</t>
  </si>
  <si>
    <t>Yuanmin Ouyang</t>
  </si>
  <si>
    <t>Effect of Soil Compaction on Some Soil Organisms</t>
  </si>
  <si>
    <t>Agricultural soil compaction has become more and more prevalent as mechanized agricultural using heavy equipment expands globally to feed a rapidly growing world population. However, there is limited knowledge and research being carried out on the biological and physical effects resulting from soil compaction. In our study, we found that in the compacted soil samples, there are increased soil fungi colony forming units and meso- and micro-fauna populations compared with un-compacted control soil. In addition, we found a significant decrease in aggregate stability in the compacted soil samples. Specifically, soil compaction destroys the physical environment including soil pore size and soil aggregates stability and these changes in turn it affect the soil organisms that inhabitat in these environments.</t>
  </si>
  <si>
    <t>Soil bacteria, soil fungi, soil organisms, soil pore size, soil aggregates stability</t>
  </si>
  <si>
    <t>OuyangY_2016-page1.pdf</t>
  </si>
  <si>
    <t>Samantha Ov</t>
  </si>
  <si>
    <t>The Urban Agriculture Incentive Zones Act (AB551): Implementation and Perceptions in Northern California</t>
  </si>
  <si>
    <t>Urban farmers and farms face many challenges and barriers. The Urban Agriculture Incentive Zones Act (AB551) seeks to mitigate these by facilitating land access for urban agriculture operations. The law, which may be adopted by counties and municipalities that choose to do so, aims to promote the development of sustainable urban farms for the public interest, and put vacant lots into fruitful production through a five-year minimum contract period between landowners and farmers. I document where the law has been adopted and implemented, and interview stakeholders in Northern California to understand their perceptions of the law, and how it may be improved. My findings suggest means of creating more sustainable and beneficial policy alternatives.</t>
  </si>
  <si>
    <t>urban farms, food justice, land access, urban agriculture policy, food policy</t>
  </si>
  <si>
    <t>OvS_2016-page1.pdf</t>
  </si>
  <si>
    <t>Sean D. Pagnon</t>
  </si>
  <si>
    <t>The Differential Growth of Native Plant Species in a California Urban Creek Restoration Site</t>
  </si>
  <si>
    <t>In 2012, the Strawberry Creek Ecological Stabilization Project planted thirteen species of native plants along an 80-foot stretch of Strawberry Creek, a degraded urban stream located in Berkeley, California. This study determined which of those species exhibited the greatest success over a 5-month winter season, using a relative growth rate metric calculated from the change in each plant’s volume and leaf counts. The relative growth rates were compared using a boxplot summary, which was supplemented quantitatively with ANOVA and Tukey’s HSD post-hoc analyses. In addition, each plant’s soil moisture, proximity to the creek, sunlight exposure, willow cover, and creek bank (right vs. left) were analyzed as possible covariates using a multiple regression analysis, first for all plants and then for three guilds (trees, shrubs, and forbs). Acer macrophyllum, Rosa californica, and Lonicera hispidula exhibited the highest overall relative growth rates, indicating that they be good species to include in future restoration projects. Polystichum munitum and Lonicera involucrata, on the other hand, had low relative growth rates and P. munitum had a mortality of 60%, indicating that these species may be wise to exclude from future restoration efforts. Proximity to creek showed a significant positive correlation to growth rate and willow cover showed a significant negative correlation. Creek bank was significant only for the shrubs guild, indicating that the Eucalyptus grove on the left bank of the creek exhibits a stronger negative effect on the growth of shrubs than trees or forbs.</t>
  </si>
  <si>
    <t>relative growth rate, riparian vegetation, Strawberry Creek, multiple regression analysis, primary productivity</t>
  </si>
  <si>
    <t>PagnonS_2016-page1.pdf</t>
  </si>
  <si>
    <t>Ramji K.Pasricha</t>
  </si>
  <si>
    <t>Comparing Pearl, Japanese, Foxtail, and Proso Millet Performance in the Californian Drought; Potential for a New Staple Crop</t>
  </si>
  <si>
    <t>Millet is a gluten-free whole grain consumed in various parts of the world. Certain millet varieties have been noted to have high yields in areas of drought. The following study is designed address the current lapse in quantitative data displaying the benefits of incorporating millet into Northern California’s agricultural sector as a drought tolerant alternative crop. Pearl, Japanese, Foxtail, and Proso millet varieties were subject to three water conditions: Drought, Reduced and Full, the latter representing our control group. We took 25 samples for each water condition in all three varieties and plant height, number of ears per plant, ear length, and ear weight was recorded. Our findings indicated that of the three varieties, in two of the four growth parameter categories, there was no statistically significant difference in Pearl millet performance given different water inputs. Pearl millet was therefore the most resilient to water stress in the Gill Tract setting in comparison with Japanese and Foxtail millet.</t>
  </si>
  <si>
    <t>Drought tolerance, alternative crop, whole grain, gluten –free, California microclimate</t>
  </si>
  <si>
    <t>PasrichaR_2016-page1.pdf</t>
  </si>
  <si>
    <t>Katherine M. Patterson</t>
  </si>
  <si>
    <t>Drought Effects on Chromaphis juglandicola Walnut Aphid Population Dynamics on Walnut Seedlings</t>
  </si>
  <si>
    <t>Walnuts are an important California crop, and it is crucial for agricultural scientists to understand the biotic and abiotic interactions that affect the production of walnuts. Walnuts are highly susceptible to water stress, and drought conditions may have strong effects on walnut production. Walnuts are also affected by the walnut aphid (Chromaphis juglandicola), a prominent sap-sucking insect pest on walnut trees. Through an outdoor cage experiment, I researched the effect of soil water levels on walnut aphid (Chromaphis juglandicola) populations on walnut seedlings to determine effects of the California drought on this crop-pest system. The experiment found no significant difference between High, Medium, and Low drought treatments on aphid population composition. However, non-normal data indicates that a larger sample size was needed for conclusive results.</t>
  </si>
  <si>
    <t>California drought, insect ecology, biological control, parasitoid wasp, IPM</t>
  </si>
  <si>
    <t>PattersonK_2016-page1.pdf</t>
  </si>
  <si>
    <t>Kaelin Pukke</t>
  </si>
  <si>
    <t>Population Diversity of Small Rodents within Eucalyptus and Oak/Bay Woodlands in Tilden Regional Park, Alameda and Contra Costa County, California</t>
  </si>
  <si>
    <t>The recreational parks of the San Francisco Bay Area’s Wildcat Canyon watershed are natively composed of Coast Live Oak (Quercus agrifolia) and California Bay Laurel (Umbellularia californica) mixed woodland with an understory of blackberry and poison oak. As a result of lumber investment in the late 1800s, Blue Gum Eucalyptus (Eucalyptus globulus) was transplanted from Australia along the coast of California. The invasive tree is found to create monocultures along hillsides, outcompeting native habitat vegetation. This study examines native small mammal populations across varying degrees of Eucalyptus invasion for trends in population distribution and species diversity to understand how Eucalyptus affects native rodent populations. The study was conducted from March 2015 until November 2015 using 40 Sherman trap transects across three plots generally categorized as: mainly Eucalyptus, mixed Eucalyptus and Oak/Bay woodland, and mainly Oak/Bay woodland. The distribution of rodents trapped across these three plots found an inverse relationship between Peromyscus maniculatus and Peromyscus truei populations with P. maniculatus favoring Eucalyptus and P. truei favoring Oak/Bay. The study also found Neotoma fuscipes populations to decline with increased Eucalyptus concentrations. Overall, the study found invading Eucalyptus to initially decrease ecosystem health in terms of small mammal distribution and species density, but then become a separate productive habitat generally favored by P. maniculatus.</t>
  </si>
  <si>
    <t>Habitat resource use, Wildcat Canyon, population distribution, Peromyscus maniculatus, Peromyscus truei, Neotoma fuscipes</t>
  </si>
  <si>
    <t>PukkeK_2016-page1.pdf</t>
  </si>
  <si>
    <t>Jonathan J Reader</t>
  </si>
  <si>
    <t>Understanding the Understory Structure of Californian Eucalyptus Forests by mapping the density of Oak (Quercus agrifolia) and Bay Laurel (Umbellularia californica)</t>
  </si>
  <si>
    <t>Globalization and the mass transplanting of species by human beings have created a state of modern ecological confusion, as ecosystems across the planet have become composed of locally unprecedented assemblages of species. For example, in the eastern hills of the San Francisco Bay Area, native trees and shrubs have infiltrated the understory of hundred-year-old eucalyptus plantations, creating a novel forest. The novel eucalyptus woodland has been the subject of local aesthetic and ecological debate, and now is the target of a multi-million-dollar fuel reduction and thinning plan funded by the Federal Emergency Management Agency (FEMA). No spatially related survey of the understory vegetation exists, leaving uncertainties about how such a disturbance that will affect the native species in the forest. I conducted a survey of the densities of the native trees Quercus agrifolia (Coast Live Oak) and Umbellularia californica (Bay Laurel) in a matrix through the forest in order to determine where and in what relative abundances those native trees grow, and whether changes in their abundances can be associated with known environmental variables that affect the structures of other forests (slope aspect, slope steepness, distance from forest edge, canopy cover, and history of mechanical thinning). Thinning history was significantly correlated with changes in the densities of the native trees in the understory, while other variables were not.</t>
  </si>
  <si>
    <t>Novel ecosystems, GIS, inverse density-weighted (IDW) interpolation, thinning, restoration</t>
  </si>
  <si>
    <t>ReaderJ_2016-page1.pdf</t>
  </si>
  <si>
    <t>Gyan Rusconi-Rodrigues</t>
  </si>
  <si>
    <t>Understanding Diurnal Vertical Migration of Zooplankton in Perialpine Freshwater Lakes</t>
  </si>
  <si>
    <t>Diurnal Vertical Migration(DVM) of zooplankton was studied for a one-year period in Lake Biel - a perialpine lake in Switzerland. The data was collected at a location near the center of the lake at a depth of 45 meters. Acoustic Doppler Current Profile (ADCP), Current Temperature Depth (CTD), biomass, and temperature data was collected during the months of February, August, September, October, and November 2014. The ADCP data was used to map vertical distributions of zooplankton, the CTD data was used for examining chlorophyll A density and temperature, and the net traps were employed to collect biomass data. The data was plotted together to confirm whether zooplankton perform DVM in perialpine lakes and to understand what factors influence their movements. Results suggested zooplankton migrate to the surface during nighttime hours and return during daylight hours. A search for food sources while minimizing predation was identified as the primary driving force behind their migrations, while temperature did not a have a significant impact.</t>
  </si>
  <si>
    <t>Lake Biel, Cladocera, Net Trap, Acoustic Doppler Current Profile (ADCP), Current Temperature Depth (CTD)</t>
  </si>
  <si>
    <t>Rusconi-RodriguesG_2016-page1.pdf</t>
  </si>
  <si>
    <t>Maritza V. Sazo</t>
  </si>
  <si>
    <t>Commercial Urban Agriculture in the United States: Growing More Than Just Food</t>
  </si>
  <si>
    <t>Commercial urban agriculture (CUA) is a growing economic sector that offers opportunities for increased food access and improved food security in cities. It may also provide opportunities for economic growth and enhanced connectivity to food sources for city residents in ways that non-profit urban farming and rural farming may not. Through an online literature review and interviews with commercial urban farmers, this study how commercial urban agriculture manifests in the United States, seeking to understand its unique role in the larger food system. CUA operations are generally small urban farms and urban farm installation and consulting businesses. Each type of venture faces similar barriers and challenges presented by the urban environment that lead to a unique set of business strategies. Most commonly, commercial urban farms must deal with limited access to land, high resource costs, soil contamination, and inadequate land use and tenure policies. To succeed, CUA businesses must diversify their income streams and directly involve city residents in the workings of the farm. They may be true models of civic agriculture in that they can offer social benefits, provide opportunities for economic participation, and add environmental value to cities. Their freedom from grant funding cycles and their role as job creators also allows CUA businesses to impact city residents in a unique way.</t>
  </si>
  <si>
    <t>Civic agriculture, small businesses, urban land use, urban farming, food security</t>
  </si>
  <si>
    <t>SazoM_2016-page1.pdf</t>
  </si>
  <si>
    <t>Emily P. Shafer</t>
  </si>
  <si>
    <t>Monitoring Bobcat (Lynx rufus) Activity at Watering Sites via Camera Traps</t>
  </si>
  <si>
    <t>To more rigorously examine the impact of drought and climate change on terrestrial mammals in Mediterranean ecosystems, in-depth ecological studies of particular species are required. As a top predator, bobcats are key indicators of ecosystem health. This research aimed to quantify bobcat activity at watering sites on a privately owned, 2,500-acre ranch consisting of predominantly blue-oak woodland and annual grassland habitat in San Benito County, CA. We looked for patterns of visitation related to vegetation, temperature, availability of bait and water, age class, time of day, season, and annual variation in relation to climate change and the ongoing drought. To examine bobcat activity on Ventana Ranch, 13 camera traps were installed throughout the study area at or near water sources, and have continuously recorded data from 2006-2015. Data were entered into MAPVIEW and analyzed in Excel and SYSTAT 13. We recorded 3,110 total bobcat visits over 34,525 trap-nights. Our results suggest that bobcat detections are quite variable, but some patterns of activity do occur, such as preference for habitats with increased vegetative cover, crepuscular behavior, an increase in drinking frequency at manmade watering sites during higher temperatures, and an increase in detections at watering sites during the dry spring and summer months.</t>
  </si>
  <si>
    <t>Bobcat ecology, Lynx rufus, activity patterns, camera trap, blue-oak woodland</t>
  </si>
  <si>
    <t>ShaferE_2016-page1.pdf</t>
  </si>
  <si>
    <t>J. Perth Silvers</t>
  </si>
  <si>
    <t>Air Pollution and Environmental Injustice: Differential Burdens in San Francisco Bay Area Communities</t>
  </si>
  <si>
    <t>Air quality varies significantly within San Francisco Bay Area. This paper examines trends in the concentrations of nitrogen dioxide (NO2), ozone (O3), and particulate matter ≤ 2.5µm (PM2.5) and the association of these pollutants with two demographic traits – the percentage of African Americans and percentage of individuals in poverty – from 1994 to 2013. Scholars have documented spatial inequities related to air pollution at national level but have yet to do so at local levels. Additionally, few researchers have studied how differences in the concentrations of air pollutants are changing with urban redevelopment and gentrification. I found that NO2 pollution is strongly associated with the percentage of African Americans in a population near air pollution monitoring sites surrounded by large populations of African Americans in the Bay Area. In addition, my results suggest the analogous trend with respect to poverty. Association of O3 and PM2.5 with each demographic were much weaker. A combination of racialized historical planning, new urban redevelopment, and increasing wages that are partially attributed to the tech boom have resulted in gentrification of the Bay, and associated displacement of many poorer, typically non-white residents. To better understand the local dynamics of air pollutant distribution in relation to changes in demographic composition, I identified spatial and temporal trends describing changes in demographics and changes in air pollutant concentrations in the Bay Area.</t>
  </si>
  <si>
    <t>air pollution, environmental justice, Oakland, gentrification, diesel emissions, red-lining</t>
  </si>
  <si>
    <t>SilversP_2016-page1.pdf</t>
  </si>
  <si>
    <t>Mikela M. Topey</t>
  </si>
  <si>
    <t>The Association Between Lung Cancer and Air Pollution in Trinidad: A Mixed Methods Literature Review</t>
  </si>
  <si>
    <t>Environmental quality affects human health, and recent studies have demonstrated an association between lung cancer and air pollution. Yet cancer prevention policies and initiatives rarely emphasize air quality. I analyzed studies documenting association between lung cancer and PM 2.5, PM 10, PAHs, and NOx. I collected hazard risk ratios from each study and conducted a meta-analysis to derive a pooled hazard ratio for each pollutant. PAHs had a stronger association with lung cancer compared to the other compounds. I then sought to assess the air quality related lung cancer risk in areas of Trinidad by comparing the emissions sources and cancer rates across boroughs. Most industries that generate PAHs are located on the west coast of Trinidad. However, most people who have lung cancer are found on the east coast of Trinidad. Even though I could not conclude that there was an association between these pollutants and lung cancer in Trinidad, it does not mean that there is no association between lung cancer and air pollution. It is vital for researchers to fully comprehend how air pollution in Trinidad is not only affecting the prevalence and mortality of cancer, but other health problems as well.</t>
  </si>
  <si>
    <t>environmental health, polycyclic aromatic hydrocarbons, particulate matter, nitrous oxides, meta-analysis</t>
  </si>
  <si>
    <t>TopeyM_2016-page1.pdf</t>
  </si>
  <si>
    <t>Hannah M. Totte</t>
  </si>
  <si>
    <t>And While We Wait: Perspectives on Chlorpyrifos Toxicity and Use in California Agriculture</t>
  </si>
  <si>
    <t>Reliance on Chlorpyrifos, an organophosphate pesticide, has diminished in recent years. However, new data sets are demonstrating that it is still used prolifically throughout California despite increased tolerance in pest populations to Chlorpyrifos. Chlorpyrifos is a neurotoxicant and can have long-lasting adverse neurodevelopmental effects, especially for children exposed to the pesticide during key developmental periods. The Environmental Protection Agency (EPA) banned Chlorpyrifos from home use in 2001, but has yet to come to a decision about Chlorpyrifos use in agriculture. In this paper, I synthesize the most recently published peer-reviewed literature on Chlorpyrifos toxicity, analyzing which risk factors the EPA is taking into consideration. I also present thematic findings from interviews with five key informants to present strategies that different individuals and organizations are employing while the EPA debates prohibiting Chlorpyrifos from agricultural use.</t>
  </si>
  <si>
    <t>Pesticide regulation, revoked tolerances, child development, buffer zones, organic</t>
  </si>
  <si>
    <t>TotteH_2016-page1.pdf</t>
  </si>
  <si>
    <t>Timothy N. Urso</t>
  </si>
  <si>
    <t>Climate Change and Respiratory Risk in California’s San Joaquin Valley</t>
  </si>
  <si>
    <t>This study was conducted to inform how projected climate changes in the San Joaquin Valley (SJV) may affect public health by investigating the relationship between air pollution, temperature and asthma related hospitalization rates (ARHR). If a strong association exists between days of high temperature, high ozone concentrations and ARHR, this would link projected climate changes in SJV to asthma attacks. In this aim, I completed the following tasks. I built a Geodatabase in ArcGIS by collecting secondary data on ARHR, ozone, nitrogen oxides (NOx), temperature, and particulate matter 2.5 and 10 (PM 2.5, PM 10), which was used as a platform for the analysis. I determined the strength of association between temperature, air pollution and ARHR by comparing the resulting R" values from geographically weighted regression (GWR) and linear regression analysis looking at both the local variance and global relationships. I found that a combination of PM 2.5 and PM 10 resulted in the optimal explanatory model for ARHR in SJV (R" value of 0.7666). I determined that projected temperature rise coupled with high ozone concentrations do not indicate an imposing hazard in SJV by directly causing asthma attacks. However, the relationship between temperature, air pollution and ARHR is unclear so projected climate changes are still a concern. Further, by building an optimal explanatory regression model, identifying what air pollutants are of most concern for populations with asthma, counties in the SJV can efficiently allocate resources to alleviate the risk air pollution poses for asthma sufferers.</t>
  </si>
  <si>
    <t>climate penalty, temperature, air pollution, asthma, San Joaquin Valley</t>
  </si>
  <si>
    <t>UrsoT_2016-page1.pdf</t>
  </si>
  <si>
    <t>Ian J. UTZ</t>
  </si>
  <si>
    <t>Determining the Contribution of Aquatic Autotrophs to the Carbon Budgets of Restored Wetlands in the Sacramento-San Joaquin River Delta</t>
  </si>
  <si>
    <t>UtzI_2016-page1.pdf</t>
  </si>
  <si>
    <t>Sarah E. Whitelock</t>
  </si>
  <si>
    <t>Monitoring Disease Progression of Phytophthora ramorum on Quercus agrifolia in East Bay Regional Parks over a 4-year Period.</t>
  </si>
  <si>
    <t>Sudden oak death describes the invasive water mold Phytophthora ramorum which has caused mortality of oaks across coastal California and southern Oregon forests. This study investigates the progression of sudden oak death across Anthony Chabot, Redwood, and Wildcat Canyon Regional Parks between 2011 and 2015. This study reevaluated 53% of the randomized plots across oak-bay woodlands on these three East Bay Regional Parks established in 2011 and used visual symptomology to assess stages of coast live oak (Quercus agrifolia) morbidity and mortality. General descriptive statistics and bivariate regression were used to profile characteristics and progression of the disease. Since the establishment of the plots, 16.36% of coast live oaks that were asymptomatic during the summer of 2011 became visually symptomatic by 2015 and 13.31% were killed by Phytophthora ramorum. In 2011, 81.30% of coast live oaks were asymptomatic which decreased to 63.94% in 2015. The mean DBH (diameter at breast height) of an oak with symptomatic mortality in 2015 was 32.78 cm whereas the mean DBH of asymptomatic dead trees was 14.17, indicating that larger trees are more likely to become infected and die from the disease. Regeneration of coast live oaks was not correlated with percentage of symptomatic stems per plot. The results from this study will aid in understanding management concerns for East Bay Regional Park District. This study emphasizes the need for continued large scale monitoring for Phytophthora ramorum over an extended time period.</t>
  </si>
  <si>
    <t>Invasive species, sudden oak death, coast live oaks, land management</t>
  </si>
  <si>
    <t>WhitelockS_2016-page1.pdf</t>
  </si>
  <si>
    <t>Deborah S. Yang</t>
  </si>
  <si>
    <t>Hedging Our Bets on Urban Agriculture: A Cost-Benefit Analysis of the UC Gill Tract Community Farm</t>
  </si>
  <si>
    <t>Urban agriculture has grown in popularity as the solution for all the economic, social, and environmental problems of increased urbanization. However, it often diverts scarce resources away from other necessary urban development projects such as housing, infrastructure, and businesses. Although other qualitative studies found that urban agriculture has many social benefits, few studies have attempted to perform a full cost-benefit analysis on an urban agriculture project that also includes its economic and environmental impacts. This makes it difficult to compare urban agriculture projects to other development projects for land-use planning purposes. The UC Gill Tract Community Farm (UCGTCF) was selected for a cost-benefit analysis because it was established through a land-use conflict and no studies have been conducted before to measure its value to the community. Using a willingness-to-pay survey, field observations, and harvest yield tabulation, I found that for the 2014-2015 growing season, the UCGTCF had an economic value of -$63,695 based on marketable goods and services, but when nonmarketable goods and service were factored in, the UCGTCF had a total value that ranged from $285,186.92 - $556,136.46. In addition, certain categories of goods and services tended to be more influential on farm participants' experiences at the UCGTCF than others. The results of this analysis indicate that the UCGTCF is a valuable investment of resources by the local community, and demonstrates that nonmarket valuation systems have the potential to influence policy by leveling the playing field between for-profit and non-profit projects like urban agriculture.</t>
  </si>
  <si>
    <t>environmental economics, non-market valuation, urban agriculture, urban land-use conflict, community development</t>
  </si>
  <si>
    <t>YangD_2016-page1.pdf</t>
  </si>
  <si>
    <t>Tyler Shiqiao Yan</t>
  </si>
  <si>
    <t>Greener, at What Cost? Evaluating Energy Dispatch Policy Alternatives in China</t>
  </si>
  <si>
    <t>As China continues its energy market's reform, two alternatives exist for its future energy dispatch policy – either expanding the current pilot experiment of energy saving dispatch policy (which minimizes carbon emission), or adopting the economic dispatch policy (which minimizes cost) prevalent in the developed countries. I built an electricity dispatch model that dispatched generators and generator groups at consecutive time intervals based on a predefined order. By ordering generators either by the production cost or the China NDRC’s Energy Saving Power Dispatch rules, I simulated the electricity dispatch in the Jiangsu province under each policy with hourly resolution for 2014. I then analyzed the cost and the emission of electricity supply under each policy. I also analyzed what impact each dispatch policy has on Jiangsu’s power system flexibility. I found that the average cost of electricity under ESPD was 12% higher than under ED, while the average CO2 emissions (kg/MWh) under ESPD was 5.6% lower than under ED. The emissions savings from ESPD, however, were not cost-effective compared to the value of CO2 reported in China’s carbon market or calculated by the Interagency Working Group on Social Cost of Carbon. I also found that with current renewable technologies, ESPD is the only viable way for renewable energy to competitively participate in Jiangsu’s electricity market. However, ESPD poses threat to the system reliability, as fewer flexible natural gas generators were available to respond to rapid changes in load.</t>
  </si>
  <si>
    <t>power dispatch model, Jiangsu, cost of carbon, energy saving power dispatch, economic dispatch</t>
  </si>
  <si>
    <t>YanS_2016-page1.pdf</t>
  </si>
  <si>
    <t>Akmaral Zhakypova</t>
  </si>
  <si>
    <t>Dissecting Corporate Sustainability Reporting: VW Emissions Scandal case</t>
  </si>
  <si>
    <t>The concept of socially responsible businesses and sustainability reporting always received certain degree of criticism. But those critiques tend to amplify in the light of corporate scandals like Volkswagen emissions scandal that highlight the dichotomy in reporting and reality. I tired to look into those sustainability reporting critiques through both academic and media lenses keeping in mind the emergence of the scandal. I examined existing sustainability reporting critiques and analyzed them in the light of recent scandal trying to identify some new or dominant trends in sustainability reporting critiques. I also selectively examined Volkswagen’s 2013 and 2014 sustainability reports thorough various methods trying to find the justification of the most prevalent critique – the evolution of the report into marketing tool – in this specific case.</t>
  </si>
  <si>
    <t>CSR, Social Responsibility, Criticism, Literature Review, Media Content Analysis, Critical Discourse Analysis, Reforms</t>
  </si>
  <si>
    <t>ZhakypovaA_2016-page1.pdf</t>
  </si>
  <si>
    <t>Ayla B. Benavides Quesada</t>
  </si>
  <si>
    <t>The Life and Times of Pteris vittata: Investigating Frond Life Stage and Harvest Techniques to Optimize Phytoremediation with an Arsenic Accumulating Fern</t>
  </si>
  <si>
    <t>Arsenic contamination in the environment is a global environmental health issue. On site (in-situ) remediation is an inexpensive, environmentally friendly, and minimally destructive option for cleaning up arsenic-contaminated soil and water. Pteris vittata has been widely studied since its discovery as a hyperaccumulator of arsenic, but little is known about the best way to harvest the fern under field conditions. I conducted two greenhouse studies in clean soil, one to observe life stage transition timing and another to determine the effects of different harvest techniques. Based on data from 40 fronds on eight different ferns, I identified the key life stage transition and optimum harvest time as when a frond transitions from mature, spore-releasing to early senescence (vital to prevent leaching of arsenic back into the soil). The cumulative time up to this transition ranged from 18.0 to 41.0 weeks, with an average of 28.7 ± 6.7 weeks. To determine effects of harvest techniques, I created harvest treatments comprised of three variables: harvest interval (12 weeks vs. 26 weeks), frond selection type (all fronds vs. mature and senescing fronds), and harvest height (2 cm vs. 15 cm). This design required eight treatments, with each treatment replicated six times for a total of 48 ferns. I observed a statistically significant difference in biomass (which can be correlated with pollutant removal) in 26-week time interval and mature and senescing frond selection treatments. These treatments should be followed when planning a harvest regime to encourage biomass production, increase arsenic uptake, and reduce arsenic leaching back into the soil.</t>
  </si>
  <si>
    <t>Chinese Brake Fern, hyperaccumulator, bioremediation, phytoextraction, life cycle, harvesting</t>
  </si>
  <si>
    <t>BenavidesA_2015-page1.pdf</t>
  </si>
  <si>
    <t>https://www.ocf.berkeley.edu/~pkmendez/envsci/projects/2015final/</t>
  </si>
  <si>
    <t>Sagar Bhatt</t>
  </si>
  <si>
    <t>Technological Turnover and Electronic Waste Management on a Green Campus</t>
  </si>
  <si>
    <t>Proper management and reduction of waste streams is a key focus of sustainability. The University of California at Berkeley has an initiative focusing on reducing waste and diverting as much waste from landfills as possible. Progress toward complete diversion from landfills has been especially slow in the case of electronic waste (e-waste). This study sought to understand the degree to which lack of awareness of e-waste and campus e-waste policies account for the shortfalls of e-waste diversion goal. I examined the UC Berkeley library system to see how information about sustainability and waste disposal policies are received by various branches, and to gauge compliance with that policy. I surveyed library staff members to assess their general e-waste literacy and practices. The results of the surveys contradicted the expected results for the majority of the data set. A little over half of the respondents knew what e-waste is, and approximately a quarter of respondents knew how to properly dispose of e-waste. Further, it was found that small peripherals made up the bulk of frequently requested new electronics. These items were the same ones that were most frequently found in trash intended for landfills rather than being sent for proper e-waste disposal. When combined with the lack of information on proper e-waste disposal, the role that knowledge plays in efficacy becomes apparent. Increased awareness of what e-waste is and proper disposal policy has the potential to significantly decrease the size of the e-waste stream at UC Berkeley.</t>
  </si>
  <si>
    <t>e-waste, University of California Berkeley, sustainable waste management, campus sustainability, libraries</t>
  </si>
  <si>
    <t>BhattS_2015-page1.pdf</t>
  </si>
  <si>
    <t>Carolyn L. Clusserath</t>
  </si>
  <si>
    <t>Advanced Placement Environmental Science Curricula: Emphasizing Key Topics Through Content and Pedagogy</t>
  </si>
  <si>
    <t>Environmental education is a field of strong debate in the K-12 community, as teachers, school administrators, and policy makers decide where environmental science should fit in to standard curriculum. Advanced Placement Environmental Science (APES) is an environmental education program offered in science departments in many US secondary schools. APES courses are an important focus within the environmental education debate because of their emphasis on preparation for standardized tests and tensions between their roots in traditional science curriculum and the interdisciplinary nature of environmental issues. To investigate curricular and pedagogical techniques employed in APES courses, I surveyed 67 former APES students, interviewed 6 former APES students, and interviewed 5 current and former APES teachers. Respondents reported varied experiences in the course, with the majority emphasizing pedagogical differences between Advanced Placement (AP) test expectations and classroom expectations, and some indicating differences between their teachers’ approaches and the content of the AP exam. Interview subjects reported that APES allowed for more interdisciplinary study and discussion of social context than most science courses, but that the AP exam does not emphasize that same interdisciplinary content, which influences teachers’ curriculum and pedagogy choices. Many students perceived the most traditional techniques – strong reliance on a textbook, emphasis on the AP exam - as an impediment to learning. Culturally relevant pedagogy had the largest positive impact on student learning because of its connection to issues that students care about. These results suggest that connections between environmental science and social contexts may provide an effective way for students to learn about environmental problems in APES courses.</t>
  </si>
  <si>
    <t>science education, classroom pedagogy, standardized testing, Advanced Placement, environmental education</t>
  </si>
  <si>
    <t>ClusserathC_2015-page1.pdf</t>
  </si>
  <si>
    <t>Lia L. D’Addario</t>
  </si>
  <si>
    <t>Community-Based Monitoring and Air Quality: Citizen Scientists as Data Collectors in the University Village Community and Quantifying the Effects of Nearby Industrial Practices in West Berkeley and Albany, California</t>
  </si>
  <si>
    <t>Community-based monitoring (CBM) has been used in communities around the United States to allow residents of impacted communities to conduct environmental testing and surveying. I employed CBM methods of surveying and air quality testing in University Village—an industrial fenceline community—to collect data about malodorous emissions believed to come from a nearby steel foundry. Residents were involved in parallel odor perception surveys and community-based air quality monitoring during peak odor events to determine spatial and temporal emissions patterns and levels of air pollutants. Surveys were web-based and asked about the time, date, location, and intensity of odors, while air quality testing was conducted to sample for volatile organic compounds (VOCs) and formaldehyde. Odors were most frequently observed on Wednesdays and Thursdays, and odors of the strongest intensity at the smallest distance from the foundry. Of the 57 VOCs analyzed in air samples, 24 had concentrations above the detection limit of 0.5 ppb. Formaldehyde was detected in all samples. Only one VOC exceeded statutory limits—methylene chloride—and it was detected in all samples. While CBM is limited in its capacity to be a reliable and standalone method of data collection, it is a promising approach that provides more comprehensive knowledge of environmental conditions, while empowering and spreading knowledge to community members about local issues. A combination of CBM with traditional methods could collect data with the potential to be more effective than either method alone.</t>
  </si>
  <si>
    <t>participatory science, fenceline community, steel casting, volatile organic compounds, environmental health risk</t>
  </si>
  <si>
    <t>DAddarioL_2015-page1.pdf</t>
  </si>
  <si>
    <t>Faith N. De Amaral</t>
  </si>
  <si>
    <t>Oak succession in the Maritime Chaparral Ecosystem of the Fort Ord Natural Reserve</t>
  </si>
  <si>
    <t>Oak succession in maritime chaparral ecosystems is an uncommon occurrence. However, Fort Ord Natural Reserve in Marina, California is a study site with a unique condition of oak (Quercus agrifolia) succession within manzanita brush (Ceanothus rigidus and Arctostaphylos pumila). I studied factors that potentially alter the chaparral ecosystem and allow for oak succession: anthropogenic influences and human encroachment, interspecific and intraspecific interaction, and environmental gradients across the reserve. I sampled over 500 trees and recorded the position and life stage on an ordinal scale of 1-5. I used ArcMap to calculate the distance of the trees to anthropogenic factors (roads, trails), inter/intraspecific interactions (other trees, woodrat nests), and find the slope, elevation, and aspect of each tree. To determine the effect of these variables on tree presence and stage, I ran a backwards stepwise logistic regression and a multinomial regression for all stages concurrently. Upon calculating the p-values, I found a significant inverse correlation between stages 4 and 5 and the distance of the nearest tree, possibly indicating competition of oak trees. This competition would occur via root or canopy competition. I also found a significant inverse correlation between stage 1 trees and nearest wood rat (Neotoma fuscipes) nest distance, possibly indicating a symbiotic relationship between the tree and wood rats. The trees could act as a home or as a building material for the wood rats, and/or the wood rats could also be burying acorns leading to oak establishment. Finding the factors involved in determining oak succession allows for prediction of future oak establishment and potential to conserve the native chaparral habitat.</t>
  </si>
  <si>
    <t>manzanita, fire suppression, ecosystem dynamics, Quercus agrifolia, California chaparral</t>
  </si>
  <si>
    <t>DeAmaralF_2015-page1.pdf</t>
  </si>
  <si>
    <t>Bud Dillard</t>
  </si>
  <si>
    <t>Nitrogen Concentration Responses to Drought in Sagehen Creek, California</t>
  </si>
  <si>
    <t>Nitrogen is a limiting nutrient in freshwater systems. Relative concentrations of nitrogen species can determine the productivity of local and downstream ecosystems. In this study, I explored how total nitrogen concentrations and combined nitrate and nitrite concentrations responded to drought conditions in an upland creek. To do this, I compared the temporal variability of nitrogen concentrations during drought years and in years with adequate precipitation levels. I performed an analysis of covariance to determine if data grouped by drought and non-drought conditions were significantly different. While total nitrogen concentrations did not significantly change between drought years and non-drought years, I found nitrate and nitrate concentration trends to be significantly altered during drought conditions. Specifically, I observed an increase in the variability in nitrogen concentrations, with maximum concentrations reaching as high as double the maximum of nitrate and nitrite during non-drought years. To determine dominant predictors of nitrate and nitrate concentrations, I performed multivariable linear regression. The results indicated that gage height and water temperature were significant predictor variables of nitrate and nitrite concentrations in the system. Contrary to established literature, I found that elevated nitrate and nitrate concentrations occurred in cold water temperatures and low flow conditions. This finding suggests that inhibited microbial denitrification coupled with decreased flow and disrupted stream connectivity could result in elevated nitrate and nitrite concentrations. As the occurrence and severity of droughts could increase, low flow conditions may become more frequent, thereby disturbing stream nutrient dynamics and ecosystem productivity.</t>
  </si>
  <si>
    <t>nitrogen cycling, water quality, multivariable regression, solute chemistry, freshwater ecology</t>
  </si>
  <si>
    <t>DillardD_2015-page1.pdf</t>
  </si>
  <si>
    <t>Austin Ehrhardt</t>
  </si>
  <si>
    <t>Determining Green Infrastructure Potential and Benefit Allocation in Oakland, California</t>
  </si>
  <si>
    <t>Cities face a variety of stormwater runoff issues resulting from the prominence of impervious surfaces in the urban landscape. Green infrastructure (GI) is a method of urban stormwater management that uses soil and vegetation to treat and/or capture the resulting runoff. GI installations provide a host of benefits, including improved water quality, flood control and decreased localized air pollution. In this study, I conducted a GIS-based suitability analysis using physical, social and demographic factors to assess the potential for public GI implementation in Oakland, California. I then interviewed non-profit workers and municipal employees to situate my results within an Oakland-specific policy context, while also drawing upon examples from other US cities. My GIS analysis found widespread opportunity for GI implementation, with many priority consideration areas in West Oakland and East Oakland. Additionally, my policy analysis examined the complexity of addressing displacement issues associated with urban greening in low-income areas. While GI installations are not a comprehensive prescription for social ills, a thoughtfully implemented, large-scale GI program could provide the residents of Oakland with tangible environmental and public health benefits.</t>
  </si>
  <si>
    <t>urban greening, public health, water quality, environmental justice, ArcGIS</t>
  </si>
  <si>
    <t>EhrhardtA_2015-page1.pdf</t>
  </si>
  <si>
    <t>Mirit Friedman</t>
  </si>
  <si>
    <t>Assessing Urban Vegetation as an Urban Heat Island Effect Mitigation Strategy in Berkeley and Oakland, California</t>
  </si>
  <si>
    <t>The conversion of natural vegetated landscapes into impervious surfaces causes a shift in the urban climate know as the Urban Heat Island (UHI) Effect. The magnitude of and mitigation strategies for this phenomenon are place specific. The projected population increase in the San Francisco Bay Area will likely prompt further relative warming of local urban centers. This study aimed to understand whether vegetation in Bay Area park spaces can be a net positive mitigator of UHIs. Using atmospherically corrected Landsat imagery of parks from nine dates in 2014, I built linear regression models of each month to look at the overall trends of how Normalized Difference Vegetation Index (NDVI) values correlate with thermal intensity values, which are a proxy for surface temperature. To better understand the year-round dynamics of urban vegetation and ground-level temperature, I performed a pair-wise comparison of the slopes across seasons. Regression analysis suggests a negative relationship between NDVI and thermal intensity; increased incidence of green vegetation is associated with lower surface temperatures (r² = 0.20). Further, I found a marginally significant difference among the slopes of the different seasons, with the strongest association between variables occurring in summer. While these findings suggest that urban vegetation can be effective in mitigating the UHI Effect, particularly in summer, when temperatures are highest, further study is required to explore what types of vegetation would increase this net positive effect in addition to the best ways to design future parks to enhance UHI mitigation.</t>
  </si>
  <si>
    <t>Normalized Difference Vegetation Index, Thermal Intensity, Urban Planning, GIS, Landsat</t>
  </si>
  <si>
    <t>FriedmanM_2015-page1.pdf</t>
  </si>
  <si>
    <t>Camilla A. Gardiner</t>
  </si>
  <si>
    <t>Precipitation Effects on Inter-Annual Variability of Rangeland Soil Carbon and Nitrogen</t>
  </si>
  <si>
    <t>Grasslands account for over 30% of global land cover and are predominantly managed for livestock production. Compost application has been proposed as a means to increase net primary productivity (NPP) and ecosystem carbon (C) and nitrogen (N) storage in soils. The goal of this study was to determine whether compost application on California rangelands leads to increased C and N sequestration through stimulation of plant activity. Since water is a limiting factor to growth in California rangelands, we used precipitation as an indicator of soil moisture to determine whether water availability is the primary driver of C and N content variability in Mediterranean grassland soils. Over five years, compost significantly increased both C and N concentration and content (P&lt;0.01), but annual precipitation did not explain inter-annual variability. Compost plots averaged 1.5 Mg ha-1 yr-1 more than control plots in the 0-10 cm depth. When scaled to the 23 million ha of rangeland in California, we could sequester 34.5 million Mg C ha-1 yr-1 and offset 11% of California’s annual CO2 emissions with a one-time application of compost.</t>
  </si>
  <si>
    <t>California annual grasslands, carbon sequestration, compost, soil moisture, nitrogen availability</t>
  </si>
  <si>
    <t>GardinerC_2015-page1.pdf</t>
  </si>
  <si>
    <t>Sarah Jean Gerlach</t>
  </si>
  <si>
    <t>Private wildlife: Domestication of Wild Deer on Private Texas Ranches</t>
  </si>
  <si>
    <t>Although wild species face extinction in the wild, some species can be preserved on private lands such as ranches where they are subject to individual management decisions. These management decisions carry the potential to domesticate wild species such as white tailed deer because they may become reliant on humans. Factors on closed game ranches such as the size of the property, the height of the fence, human interaction through practices such feeding, and hunting access can contribute to the level of domestication. To determine the effect of management practices on ranches, I focused on white-tailed deer (Odocoileus virginianus) populations in the Edwards Plateau region of Texas. I surveyed ranch owners directly on their management practices as well as the characteristics of their wild deer herds, such as the size and density of their herds. To examine the differences between the management practices between the ranches, I used Wilcoxon Rank-Sum tests to compare the management practices of high-fenced and low-fenced managers. The survey confirmed that differences exist in the management practices, specifically the amount of feed provided, where high-fenced ranches provided on average 0.10 tons per year per acre, and low-fenced ranches provided 0.01 tons per year per acre of feed. The characteristics of the deer herds differed as well, including the ratio of does to bucks and the amount of in-migration on the ranch. These differences illustrate the high-fenced ranch managers have begun to domesticate the deer on their ranches.</t>
  </si>
  <si>
    <t>Odocoileus virginianus, wildlife management, range ecology, rangeland management, hunting</t>
  </si>
  <si>
    <t>GerlachS_2015-page1.pdf</t>
  </si>
  <si>
    <t>Brooke C. Harding</t>
  </si>
  <si>
    <t>An Urban-Wildland Interface in Claremont Canyon, Berkeley, CA: Change in Avian Species Richness Over Time</t>
  </si>
  <si>
    <t>The urban/wildland interface is a problem for wildland species. The urban area creates barriers and disturbances for wildlife species, as well as converts previously habitable land, with food and shelter, into a maze of streets and buildings. Some species have adapted to this new landscape and can feed on the discards and yards of humans. The urban/wildland interface is a transition zone where species from urban and wildland areas intermix and find a balance. To study the intricacies of this unique ecosystem, I performed a census of avian species in a 32-acre site of the 208-acre Claremont Canyon Regional Preserve during the winter months of 2014 and 2015. Finding the balance between the urban and wildland species can take a long time so I compared the results to a similar study performed in the years of 1991 and 1992, to identify if any significant changes had occurred during the 22-year time interval. Both censuses resulted in a similar number of species, 36 species in 1991-1992 and 34 in 2014-2015, but the actual species differ between the two censuses. In the 1991-1992 census there were more avian species in the Acciptriformes order and less in the Passeriformes order than was found in 2014-2015 census. There are many possible factors for the decrease in observations like changes in climate, increased competition amongst members of the same species, species that stay away from trails and humans due to their noise pollution, or observer bias. After looking at data on precipitation, temperature, and changing vegetation, it is likely that avian species populations are diminished due to the 2012 drought or human access to trails.</t>
  </si>
  <si>
    <t>Urban/Wildland Interface, Species Richness, Ecosystem, Transition zone, Species Accumulation</t>
  </si>
  <si>
    <t>HardingB_2015-page1.pdf</t>
  </si>
  <si>
    <t>Cheuk Him Ho</t>
  </si>
  <si>
    <t>Effect of Soil Moisture on Reintroduced Native Seedlings’ Growth: Riparian Restoration on Strawberry Creek, Berkeley, California</t>
  </si>
  <si>
    <t>Invasion of plant species causes a threat to the urban and ecological environment in the modern society. Restoration work on plant community are challenging when multiple factors contribute to the final restoration outcome. Soil moisture level is crucial for the long term sustainability of vegetation restoration. This research will study soil moisture that affect the restoration of Strawberry Creek riparian zone. The following hypothesis will be tested: (1) The effect of Algerian or English Ivy (Hedera spp) on soil moisture of Strawberry creek's riparian zone. (2) The effect of soil moisture level, slope and photosynthetically active radiation(PAR) on growth of native seedlings. 9 experimental plots are chosen along the Strawberry Creek’s riparian zone to reintroduce 6 native plants. I alternate between watering the plants and measuring soil moisture on a weekly basis to monitor moisture change over time. Slope contributes more than ivy and PAR to determine moisture level. Plots with steep slope and ivy have lower mean soil moisture value than those with gentle slopes and no ivy. PAR has no significant contribution to soil moisture level. The mean number of leaves increased by [insert percentage] and the mean height increased by [insert percentage]. Growth rate is highest in flat plots without ivy. Lower mean growth rate of seedlings on sloped plots than gentle plots indicates that restoration has a higher potential of success on flat terrain with ivy removed.</t>
  </si>
  <si>
    <t>urban creek riparian zone, restoration management, invasive species, native plant community, physical habitat</t>
  </si>
  <si>
    <t>HoC_2015-page1.pdf</t>
  </si>
  <si>
    <t>Gregory Johnson</t>
  </si>
  <si>
    <t>Striking Out Excess Travel In Major League Baseball: Reducing CO2 Emissions Due To the MLB Schedule</t>
  </si>
  <si>
    <t>Air travel has several negative environmental effects, including CO2 emissions, which contribute to global climate change. To counteract the emissions that will result from an anticipated increase in air travel demand, organizations and individuals can eliminate unnecessary air travel. Major League Baseball (MLB) teams must travel a great deal to complete the 162-game schedule. Optimizing the MLB schedule to minimize travel could eliminate significant amounts of CO2 emissions. I sought to estimate by how much MLB could reduce its carbon footprint through optimizing travel for one MLB team, the Chicago Cubs. The Traveling Salesperson Problem (TSP) is a classic optimization problem in which a traveling salesperson must find the shortest route that visits n number of cities and returns him home. To minimize the CO2 emissions associated with alternative travel scheduling rules, I built a TSP-type optimization model in Microsoft Excel using the Solver add-in. I identified scheduling constraints by studying the official schedules of several teams and by reading the MLB 2012 Basic Agreement. I compared the CO2 emissions from the Cubs’ official schedule to the emissions generated by the optimized schedule. I found that CO2 emissions can be reduced by 4.7% while satisfying all constraints. I also found that, in the case of the 2014 Chicago Cubs, interleague play reduced total emissions. While my model is not indicative of all of MLB, it indicates that, in the case of the Cubs, changes to the way the MLB schedule is created can reduce CO2 emissions.</t>
  </si>
  <si>
    <t>Scheduling, optimization, baseball, traveling salesperson problem, Excel Solver</t>
  </si>
  <si>
    <t>JohnsonG_2015-page1.pdf</t>
  </si>
  <si>
    <t>David C. King</t>
  </si>
  <si>
    <t>Plant-Soil Feedbacks of the Invasive Centaurea Solstitialis</t>
  </si>
  <si>
    <t>There is increasing interest in how plant-soil feedback systems may contribute to plant invasions, and in particular, the enemy-release hypothesis. In this experiment, I conducted a greenhouse experiment to assess the existence and nature of plant-soil feedbacks of Centaurea solstitialis. I planted individuals of C. solstitialis in sterilized soil, in soil that had never hosted C. solstitialis, and in soil that had hosted a variety of densities of C. solstitialis. I also planted individuals of the grass Avena fatua (a common competitor of C. solstitialis in California grasslands) in the same soil categories for comparison. I measured germination, plant height, and root, shoot, and total biomass, and used several statistics to test for plant-soil feedbacks. I found that C. solstitialis had higher shoot and total biomass when grown in sterilized soil than when grown in soil that had previously hosted C. solstitialis, which suggests a possible negative plant-soil feedback. This would imply that the enemy-release hypothesis may not explain the invasiveness of C. solstitialis. Inconsistencies between this study and previous studies are likely the result of spatial and temporal variation of the influence of plant-soil feedback on plant growth, which should be investigated further.</t>
  </si>
  <si>
    <t>invasion ecology, enemy-release hypothesis, California grasslands, plant-soil interactions, greenhouse experiment, Yellow starthistle</t>
  </si>
  <si>
    <t>KingD_2015-page1.pdf</t>
  </si>
  <si>
    <t>Maria Rohana Lazo</t>
  </si>
  <si>
    <t>Consumer Perceptions of Produce Safety</t>
  </si>
  <si>
    <t>In recent years, food safety has been an extremely controversial and complex issue to tackle. Foodborne illnesses and outbreaks persist, leaving uncertainty about the effectiveness of food regulation.. Consumers are influential in shaping food safety governance as both industry and government always cite consumer demand as a reason to take action. The objective of this study is to understand consumer perceptions of the safety issues associated with produce. I administered a survey on produce safety issues to college students. Responses showed that most students felt that organic produce is safer than inorganic, farmers markets sell safer produce, and government agencies need more enforcement in assuring food safety in produce. Furthermore, respondents identified pest infestation, bacterial contamination, and expiration dates as most concerning when purchasing produce, implying that there is an ongoing tension between perceptions of produce safety and their purchasing behavior.</t>
  </si>
  <si>
    <t>Food Safety Modernization Act, pesticides, perception, consumers, farmer’s market, organic produce, food safety, government regulations</t>
  </si>
  <si>
    <t>LazoR_2015-page1.pdf</t>
  </si>
  <si>
    <t>Laura Li</t>
  </si>
  <si>
    <t>Media Narratives of the Deepwater Horizon Oil Spill Response</t>
  </si>
  <si>
    <t>This study identifies narratives of the response to the Deepwater Horizon oil spill of April 20, 2010. I reviewed articles from The New Orleans Times–Picayune, New York Times, and Wall Street Journal, and documented and identified common narratives inductively in these texts, and recorded the frequency of each common narrative across media sources and time periods following the spill. By conducting informal interviews with a few experts in oil spill recovery, I found insight on the point of view of the people working in the field, which provided a better understanding of the events through the perspectives of officials that were present. The narratives and trends in the media coverage convey the social, political, and economic pressures on the response efforts, and show were these pressures are being applied. By understanding the media coverage of these efforts, we can see where improvements can be made to the process.</t>
  </si>
  <si>
    <t>emergency response, discourse, news media, Gulf of Mexico, oil spill policy</t>
  </si>
  <si>
    <t>LiL_2015-page1.pdf</t>
  </si>
  <si>
    <t>Riva T. Madan</t>
  </si>
  <si>
    <t>Predictors of Wild Turkey (Meleagris gallopavo) Population Change in California from 1972 to 2013</t>
  </si>
  <si>
    <t>Wild turkeys never lived in California until humans began introducing them around 1908. The success of this introduced species was variable at first, but in the 1990s there was a noticeable increase in their population and range. The reasons behind what drove these population changes are unknown, especially with only a few studies on wild turkeys in California. With Breeding Bird Survey, National Land Cover Database, PRISM Climate Group, and California Department of Fish and Wildlife data, I used a zero-inflated poisson mixed model to determine the influence of climate, translocations, hunting, and land cover on wild turkey population change. I ran a separate model for three land cover distances. I calculated population change statewide and at individual routes using a generalized linear model. Wild turkey populations increased 10% per year statewide from 1972 to 2013. Hunting was the most influential predictor of population change showing that populations are increasing even as hunting increases. Land cover was a significant predictor, but the effects of different land cover types varied with the scale looked at. Urban land cover was positively related to population change only at 1 and 10 km distances. At the 5 km distance, forest, grassland, and agriculture were inversely related to population change. This study suggests increasing urban land cover, which may increase food supply, can increase wild turkey populations. However, the results also suggest that other factors that are not included in this model have large influences on wild turkey population change.</t>
  </si>
  <si>
    <t>introduced species, Breeding Bird Survey, zero inflated poisson mixed model, land cover change, ArcGIS</t>
  </si>
  <si>
    <t>MadanR_2015-page1.pdf</t>
  </si>
  <si>
    <t>Julia Mangin</t>
  </si>
  <si>
    <t>Gardening practices and sustainability in a school garden program in Berkeley, California</t>
  </si>
  <si>
    <t>Urban and school gardens have the potential to aid in the transformation of urban areas into sustainable environments, however few studies have documented how this is manifested or systematically assess this potential. This study makes a connection between school gardens and sustainability by using sustainable gardening practices as indicators to measure sustainability in school gardens. For systematic assessment, this study focuses on a structured school garden program in Berkeley, California called the Gardening and Cooking Program (GCP). The program uses a garden-based learning curriculum that aims to formally integrate gardening into academic instruction. Using surveys, I identified and compared sustainable gardening practices used in gardens in the GCP. I then created a sustainability score for each garden and broke these scores into three levels that represented basic, intermediate and advanced levels of sustainability. Initial ranges were skewed to basic and intermediate levels, however when adjusted against each other, scores were more evenly distributed among all three levels. Additional survey questions related to program curriculum identified the main focus of garden lessons and instruction while questions on instructor knowledge and pedagogy identified instructor rationales or reasons behind the use of sustainable gardening practices. Key findings showed that a structured curriculum has a strong influence on topics that are manifested in the garden and can shape the overall nature and goals of the garden program. Findings also identified barriers to sustainability and suggested that training on sustainable gardening practices and greater support for the garden program would result in higher levels of sustainability.</t>
  </si>
  <si>
    <t>Urban agriculture, food systems, sustainability indicators, Berkeley Public School Gardening and Cooking Program (GCP), school garden programs</t>
  </si>
  <si>
    <t>ManginJ_2015-page1.pdf</t>
  </si>
  <si>
    <t>Dayton C. Marchese</t>
  </si>
  <si>
    <t>Temperature Sensitivity of Guatemala’s Rio Dulce to Climate Change</t>
  </si>
  <si>
    <t>Water temperature is an important indicator of river system health. Temperatures occurring outside the norm for a particular system cause stress to the biological community. Climate change is expected to intensify extreme river water temperature, especially in high biodiversity areas such as Central America. I constructed a deterministic water temperature model for Guatemala’s Rio Dulce using meteorological and temperature data I collected in situ from August 5 – 15, 2014. I used this model to predict water temperatures in Rio Dulce for two of the climate change scenarios expected during the 21st century. I found the model to predict summer midday water temperatures with a mean standard error of 0.57 °C. And I found that Rio Dulce water temperature is expected to increase by 2 – 5 °C by year 2100. This temperature increase will adversely affect local biota. Specifically, I expect growth reduction and mortality in Rio Dulce fish populations. This will impact local Guatemalan communities that rely on subsistence fishing in Rio Dulce and nearby river systems.</t>
  </si>
  <si>
    <t>temperature model, deterministic, advection-dispersion, representative concentration pathway, Central America</t>
  </si>
  <si>
    <t>MarcheseD_2015-page1.pdf</t>
  </si>
  <si>
    <t>Max Moore</t>
  </si>
  <si>
    <t>Feasibility Study of a Solar Photovoltaic to Hydrogen Electrolyzer System at the Richmond Field Station</t>
  </si>
  <si>
    <t>With the transportation sector having a substantial impact on global CO2 release, hydrogen fuel cell vehicles provide consumers with a strategy to reduce transportation-related carbon emissions Hydrogen for fuel cell vehicles is largely produced through an energy intensive process known as steam reformation of natural gas. Recently, there has been research and development into the use of solar photovoltaic (PV) energy to power electrolyzers to generate hydrogen with a much lower carbon footprint. These electrolyzers are modular and can be scaled to many sizes and for many sites. Through online data collection and solar access surveys, I explored the appropriate sizing and output levels of a solar to hydrogen system at UC Berkeley’s Richmond Field Station to meet its fueling station’s needs. I explored three different hydrogen generation scenarios: 1) an electrolyzer powered by just a solar array 2) an electrolyzer powered by solely grid energy and 3) an electrolyzer powered by a combination of the two energy sources. I found that all three scenarios of generating hydrogen onsite will save money over a period of 20 years compared to the station’s current system of purchasing conventionally generated hydrogen from a local refinery. Each scenario also adds its own carbon footprint to the station. While the method of producing hydrogen fuel at the lowest initial cost entails using grid energy as the sole power source of the electrolyzer, this system also emits much more CO2 than relying exclusively on a PV array for electrical inputs. Onsite hydrogen generation presents a unique opportunity for hydrogen infrastructure to spread throughout the country and further encourage and provide opportunities for commuters to switch to fuel cell vehicles.</t>
  </si>
  <si>
    <t>Proton exchange membrane, solar-grid power combination, GIS, lifecycle analysis, sustainable transportation</t>
  </si>
  <si>
    <t>MooreM_2015-page1.pdf</t>
  </si>
  <si>
    <t>Miguel A. Naranjo</t>
  </si>
  <si>
    <t>Characterizing and Modeling Post-fire Vegetation Change in The Illilouette Creek Basin</t>
  </si>
  <si>
    <t>Fire is a key process influencing the composition and development of forests in western North America. As a result of an immense heritage of suppression, the Pacific Northwest is facing a crisis broadly known as the “western fire problem”. Forest vegetation dynamics are intimately associated with this dilemma. In an effort to mitigate this problem, some parks such as the Illilouette Creek Basin in Yosemite National Park have implemented Wildland Fire Use. To investigate how post-fire vegetative landscape has transformed in this basin, I adapt a pre-existing vegetation map from 1997 and remotely sense three NAIP orthoimagery from 2005 to 2012 to create vegetation maps, representing major vegetation types on the landscape. I overlayed fire perimeter data, encapsulating small and large fires, from CALFRAP onto vegetation maps to generate pre-fire and successional post-fire vegetation. To evaluate post-fire vegetation change, two novel metrics were devised based on multitemporal remotely sensed data, indicating direct replacement and land cover shifts of particular vegetation types. Vegetation data, along with topographic variables and fire severity were additionally utilized as predictors in classification trees to model the future of vegetation change. The results presented here detail the decline of mixed conifer canopy and the expansion of sparse grassland and particularly shrubs. These trends are positively associated with elevation, slope, and RdNBR. TWI and hillshade have no significant on impact on vegetation change.</t>
  </si>
  <si>
    <t>remote sensing, vegetation change, classification trees, shrub expansion, sierra nevada, long-term forest dynamics</t>
  </si>
  <si>
    <t>NaranjoM_2015-page1.pdf</t>
  </si>
  <si>
    <t>Danielle A. Petruzzelli</t>
  </si>
  <si>
    <t>Too Ugly to Eat? Consumer Perceptions and Purchasing Behavior Regarding Low-Grade Produce</t>
  </si>
  <si>
    <t>Before most produce reaches market it is graded by appearance, size, shape or texture, with pieces not meeting quality standards outgraded, regardless of their edibility. Most commonly, this low-grade produce is processed into a secondary product, composted, disposed of in a landfill, fed to livestock or plowed back into the field, contributing to food waste. To discover whether consumers would be willing to purchase low-grade produce, at full price or at a discount, I surveyed 322 UC Berkeley students and interviewed 16 vendors at two farmers' markets in Berkeley, CA and two in Oakland, CA. The percent of respondents willing to purchase low-grade produce positively correlated with an increasing discount, rising to 56% when the produce was free. Likelihood of buying low-grade produce was correlated with respondents' level of knowledge concerning why produce appeared abnormal, race and monthly food expenditures. All 16 vendors interviewed had discounted low-grade produce, which they called 'seconds,' and reported a positive response from consumers. However, they generally did not discount produce that was low-grade but which they called 'mutants,' because they knew that consumers would buy those pieces specifically for the novelty. Selling low-grade, fresh produce to consumers willing to purchase it, would reduce food waste and, if discounted, increase the amount of produce available to price sensitive consumers.</t>
  </si>
  <si>
    <t>food waste, farmers' market, ugly fruit, ugly vegetables, outgrading</t>
  </si>
  <si>
    <t>PetruzzelliD_2015-page1.pdf</t>
  </si>
  <si>
    <t>Alexandra L. Polasko</t>
  </si>
  <si>
    <t>Sulfide Inhibition Effect on Dehalococcoides Strain 195’s Ability to Biodegrade Trichloroethene and Desulfovibrio vulgaris Hildenborough’s Cell Growth</t>
  </si>
  <si>
    <t>Trichloroethene (TCE) is a prevalent groundwater contaminant across the USA. Dehalococcoides is the only known bacterium that can reductively dechlorinate TCE to the benign end product ethene. Sulfate is also a common ubiquitous compound in groundwater. Little research has been conducted on the toxicity of sulfate or sulfide on Dehalococcoides and its effect on dechlorination. This study evaluated the inhibitory effects of high sulfate/sulfide concentrations on pure Dehalococcoides mccartyi strain 195 (Dhc), pure Desulfovibrio vulgaris Hildenborough (DvH), and a syntrophic co-culture containing Dhc and DvH. Pure Dhc cultures containing 2mM sulfide showed a 40% decrease in the TCE reduction rate and a 38% decrease in cell growth. 5mM sulfide pure Dhc cultures showed a 57% decrease in the TCE reduction rate and a 65% decrease in cell growth. DvH was maintained using lactate as the energy and carbon source and sulfate as the electron acceptor. Pure DvH cultures containing 5mM sulfide showed no significant differences in cell growth compared to the control; whereas, 10mM and 20mM showed an 80% reduction in cell growth. In the syntrophic co-culture, DvH fermented lactate to H2 and acetate, and Dhc used H2 as the electron donor for dechlorination. The dechlorination rate in cultures containing 5mM sulfate decreased 2 fold and have a 6:1 DvH to Dhc ratio. These results indicate that sulfide has an inhibitory effect on Dhc’s dechlorination and cell growth rates. Sulfide inhibition on Dhc could negatively impact the efficiency and time frame in which a contaminated site is remediated</t>
  </si>
  <si>
    <t>chlorinated compounds, bioremediation, cell growth, TCE degradation rates, sulfide inhibition</t>
  </si>
  <si>
    <t>PolaskoA_2015-page1.pdf</t>
  </si>
  <si>
    <t>Pascal Polonik</t>
  </si>
  <si>
    <t>Partitioning Water and Vegetation CO2 and CH4 Fluxes from Eddy Covariance in a Restored California Wetland</t>
  </si>
  <si>
    <t>Wetland restoration can potentially reduce carbon emissions in California and worldwide. Carbon fluxes vary spatially in wetlands, so developing a mechanistic spatially dependent understanding of emissions can help model, manage, and scale up local measurements. To better understand the role of vegetation vs. open water in controlling wetland carbon fluxes, we measured CH4 and CO2 fluxes using the eddy covariance method at multiple locations within a restored wetland located in the Sacramento San-Joaquin delta. Using a flux footprint model and aircraft imagery, we modeled the variability in fluxes according to the vegetated fraction and other variables. For the CO2 model we found percent vegetation and air temperature are important (R2=0.28). For the CH4 model we found percent vegetation, soil temperature, latent heat flux, and conductivity are important (R2=0.69). We extrapolated the percent vegetation factor to zero to model fluxes from the water alone. The average modeled water CH4 flux was 53±1.0 nmol m2s-1 and the average CO2 flux was 0.13±0.11 µmol m2s-1, accounting for approximately 33% of CH4 and 7% of average nighttime CO2 fluxes between July 23, 2014 and September 30, 2014. Our findings suggest that vegetated areas account for a majority of carbon fluxes within a restored wetland. CO2 fluxes from the water were near zero and CH4 fluxes from the water were relatively small but not negligible for the wetland’s carbon budget. We also conclude that wind-speed based water carbon flux estimates should be used with caution in wetland systems due to flux dependence on many other environmental factors.</t>
  </si>
  <si>
    <t>Sacramento San-Joaquin Delta, Carbon Flux, Carbon Modeling, Open Water, Wetland Management</t>
  </si>
  <si>
    <t>PolonikP_2015-page1.pdf</t>
  </si>
  <si>
    <t>Kathryn M. Poniatowski</t>
  </si>
  <si>
    <t>A Step in the Right Direction: Restoration of Urban Streams and Benthic Macroinvertebrate Responses</t>
  </si>
  <si>
    <t>The installation of step pools is commonly used to restore valuable urban stream ecosystems. My study aims to understand how the installation of step pool restoration affects benthic macroinvertebrate communities within Strawberry Creek at the University of California, Berkeley. I collected samples for fourth months before and after restoration using a kick-net sampling regime with 2 control and 1 treatment site. Collections were sorted and identified by hand in the Resh Lab at UC Berkeley. I used a Before After Control Impact (BACI) study design to analyze control and treatment similarities, as well as understand shifts in percent abundance of sensitive Ephemeroptera, Plecoptera, and Trichoptera taxa both before and after restoration. I also used a non-metric multidimensional scaling (NMDS) statistical analysis to assess the relationship between control/treatment sample compositions and to identify benthic macroinvertebrate taxa driving change. Following restoration, stream water level and flow increased as macroinvertebrate assemblages decreased in richness and abundance. Control and treatment sites showed more similarity in post-restoration samples, perhaps due to seasonality and the recolonization of the treatment site by control site assemblages. Macroinvertebrate richness, abundance, and %EPT showed no statistically significant change at both treatment and control sites during the sampling period. While the installation of step pools did substantially improve the physical habitat of the main stem of Strawberry Creek, any significant improvement to the benthic macroinvertebrate communities remains to be determined. Further post-project monitoring would be required to identify seasonal fluctuations and determine the complete biological effects of step pool installation.</t>
  </si>
  <si>
    <t>Strawberry Creek, step pool restoration, bioassessment, high-gradient stream, BACI</t>
  </si>
  <si>
    <t>PoniatowskiK_2015-page1.pdf</t>
  </si>
  <si>
    <t>Rosanna Ren</t>
  </si>
  <si>
    <t>Adaptation Strategies in San Francisco Bay Area Local Climate Action Plans</t>
  </si>
  <si>
    <t>Local climate action plans (CAPs) organize a city’s efforts to mitigate greenhouse gas emissions, but they can also incorporate adaptation strategies to help cities develop resilience against impending climate change impacts. The benefits and prevalence of adaptive planning as a climate solution has yet to be fully explored. I created a scoring matrix based on eight components of adaptation to evaluate fifteen climate action plans in the San Francisco Bay Area. I found that mitigation currently takes precedence over adaptation in CAPs and cities’ adaptation strategies are often poorly suited to their local environments, but city governments are recognizing the benefits of adaptive planning through local partnerships and public outreach programs. However, most have not committed to adaptation efforts that require more intensive effort or funding. I also found correlation between adaptation and political attitudes of cities’ residents, which can influence the implementation and progress of climate change adaptation plans. Some CAPs are responding to larger regional or state legislation regarding climate change, while others are largely motivated by the desire for a more sustainable community. The presence of co-benefits between mitigation and adaptation in CAPs may provide an opportunity for local governments to pursue adaptive planning. I conclude by offering a comprehensive set of best practices for including adaptation in future revisions and adoptions of CAPs.</t>
  </si>
  <si>
    <t>climate resilience, co-benefits, mitigation, sustainable development, urban planning</t>
  </si>
  <si>
    <t>RenR_2015-page1.pdf</t>
  </si>
  <si>
    <t>Cody J Schaaf</t>
  </si>
  <si>
    <t>Environmental Factors in Trematode Parasite Dynamics: Water Temperature, Snail Density and Black Spot Disease Parasitism in California Steelhead (Oncorhynchus mykiss)</t>
  </si>
  <si>
    <t>Climate change will raise water temperatures in rivers and streams that provide critical habitat to sensitive salmonid species like steelhead trout (Oncorhynchus mykiss). Corresponding changes in environmental conditions may lead to increases in rates of trematode parasitism in the form of black spot disease, an under-studied parasitic condition in steelhead. To better understand the parasite dynamics of black spot disease in steelhead, I examined the relationship between water temperature, snail density and black spot disease infection rates in steelhead and two comparable fish species, stickleback and roach, over the course of one summer season. By continuously recording water temperature at seven sample sites and capturing fish in three sampling efforts spread over the course of a summer, I determined that a positive relationship between water temperature and black spot disease infection rates existed in steelhead, but not in stickleback or roach. Water temperature, more than spatial and temporal differences in watershed characteristics, was the most significant factor associated with black spot parasitism rates in steelhead. I also determined that snail density was positively related to both water temperature and black spot infection rates in steelhead. Both snail density and infection rates in steelhead increased rapidly at a threshold temperature of 23° C, suggesting that high water temperatures lead to the ideal environmental and biotic conditions necessary for high rates of black spot parasitism in steelhead.</t>
  </si>
  <si>
    <t>black spot disease, steelhead, trematode, parasite, Neascus, salmonid, climate change, Eel River</t>
  </si>
  <si>
    <t>SchaafC_2015-page1.pdf</t>
  </si>
  <si>
    <t>Erik M. Schmiett</t>
  </si>
  <si>
    <t>A Comparison of Co-Occurrence Species Distribution Models of Invasive Grasses in California</t>
  </si>
  <si>
    <t>Species distributions are changing faster than ever before, and these rapid changes have profound potential impacts on global ecosystems. Medusahead (Taeniatherum caput-medusae) is an invasive noxious weed that has caused significant economic and environmental damage to rangeland systems throughout the western United States. Due to medusahead’s aggressive colonization strategy, controlling its spread poses a serious challenge to rangeland managers. Medusahead is known to invade stands of cheatgrass (Bromus tectorum) and cohabitate; therefore cheatgrass’ distribution may help predict medusahead’s future spread. To investigate medusahead’s distribution and co-occurrence with cheatgrass, I compared three different species distribution models (SDMs): Generalized Linear Models (GLM), Generalized Boosted Models (GBM), and Maximum Entropy (MaxEnt). I evaluated these models based on two metrics: Area Under the Receiver Operating Characteristic Curve (AUC), and Cohen’s Kappa, to determine which modeling method produced the most accurate results. I then compared these SDMs of medusahead to co-occurrence models to determine if the inclusion of cheatgrass as an explanatory variable made the models more or less accurate. I also analyzed the importance of each environmental variable to determine which ecological constraint had the most impact on medusahead’s distribution model. Results showed that GBMs produced the most accurate results for medusahead distribution. Co-occurrence models increased accuracy in GLMs and GBMs, but had little effect on MaxEnt. Analysis of variable importance revealed that climate was the most important factor in medusahead distribution. The AUC values obtained from modeling indicate that these models are accurate enough to have real world management applications.</t>
  </si>
  <si>
    <t>Environmental niche modeling, Area Under the Curve (AUC), Kappa, medusahead, cheatgrass</t>
  </si>
  <si>
    <t>SchmiettE_2015-page1.pdf</t>
  </si>
  <si>
    <t>Lakpa Sherpa</t>
  </si>
  <si>
    <t>Effects of Household Air Pollution on Pulmonary Function and Respiratory Symptoms of Women in Bhaktapur, Nepal</t>
  </si>
  <si>
    <t>This project aims to quantify level of household air pollution (HAP) and its effects on pulmonary function of women in Nepal who do most of the cooking. I carried out a cross-sectional study of women in households that used biomass and non-biomass fuel types for cooking. To quantify the level of HAP, I measured the level Nitrogen Dioxide (NO2) across households that use various fuel types. To evaluate the respiratory health effects of HAP, I did pulmonary function testing (PFT) using EasyOne Spirometer. And, I used standard questionnaire to evaluate the respiratory symptoms. Of the 383 study participants, 170 (44.39%) used biomass solid fuel (wood and agricultural residues) and 209 (54.57%) used non-biomass fuel (electricity and liquefied petroleum gas), respectively. The mean 24-h indoor NO2 concentration was significantly higher in households that used biomass fuels for cooking compared to the non-biomass users (mean NO2 of 74.33 ug/m3 in biomass cooking households vs. mean NO2 of 53.38 ug/m3 in non-biomass users). Pulmonary Function indices (FEV1 (forced expiratory volume in one second) and FEV1/FVC ratio) were significantly lower among women that cooked with biomass fuels in comparison to women that cooked with non-biomass fuels. In this study, 9.6% of the total sample size in the randomly chosen sample represented had airflow obstruction and were diagnosed as COPD sufferers. This study found cooking using biomass fuel types as a single great risk factor for elevated concentration of NO2, reduced pulmonary function, and prevalence of increased respiratory health symptoms among women that do most of the cooking.</t>
  </si>
  <si>
    <t>Agricultural and residues, indoor air pollution, airflow obstruction, spirometry, cross-sectional study</t>
  </si>
  <si>
    <t>SherpaL_2015-page1.pdf</t>
  </si>
  <si>
    <t>Kaela M. Shiigi</t>
  </si>
  <si>
    <t>A Comparison of Survey Techniques for Measuring Western Burrowing Owl (Athene cunicularia hypugaea) Populations Throughout California</t>
  </si>
  <si>
    <t>Western burrowing owls (Athene cunicularia hypugaea) are designated as a Species of Special Concern in California as a result of being extirpated from much of its original range. The Breeding Bird Survey (BBS) and a survey by the Institute for Bird Populations (IBP) both measured the change in statewide owl population in 1991-1993 and 2006-2007 using different survey methods with help from citizen scientists. The BBS is conducted yearly and focuses on multiple bird species, while the IBP survey focused only on burrowing owls. No research has been done before on the effectiveness of these two surveys. To compare them, I first calculated owl distribution amongst regions and land classifications. I then used generalized linear models to determine change over time for the yearly BBS data. The Imperial Valley had the most owls in both surveys and both time periods, but many areas where owls were found in the IBP survey contained no owls in the BBS data. BBS routes where owls were found were limited to mainly lowland rangeland and agricultural land types. I found no significant trends for statewide population change in the BBS data, and regional population changes based on yearly data were very different from changes based on a single start and end point. My findings suggest that yearly, burrowing owl specific population surveys are needed to accurately predict change over time. This would be best accomplished by using citizen scientists to monitor historical breeding sites annually using uniform survey methods.</t>
  </si>
  <si>
    <t>Breeding Bird Survey, Institute for Bird Populations, Imperial Valley, citizen science, ecological monitoring</t>
  </si>
  <si>
    <t>ShiigiK_2015-page1.pdf</t>
  </si>
  <si>
    <t>Jenny Sholar</t>
  </si>
  <si>
    <t>Comparative Abilities of Vegetation and Ground Cover Methodologies to Predict the Locations of Two Chipmunk Species in the Sierra Nevada Mountains</t>
  </si>
  <si>
    <t>Climate change is a problem of global significance, but the severity of the threat varies spatially. Climate models predict higher than average temperature increases in most alpine areas. Biotic responses to climate change are still being researched, but one well-documented mechanism is an elevational range shift, where a plant or animal species migrates upslope to escape warming temperatures. The Grinnell Resurvey Project documents elevational range shifts in the California Sierra Nevadas. Two sympatric chipmunk species (Tamias alpinus and Tamias speciosus) have exhibited range shifts in Yosemite National Park and environs. Over the past 100 years, T. alpinus has undergone an upward contraction in its range. Tamias speciosus has expanded its range both upward and downward over the same time period. These disparate responses are of particular interest due to the two species’ similarity. To understand the role of habitat selection in this process, I compared methodologies of vegetation surveys. To assess the efficacy of data at various spatial scales, I built models predicting chipmunk presence using remote sensing (RS) and field survey data. Bedrock was the strongest predictor of T. alpinus presence (2013: p= p = 2.361 x 10⁸; 2014: p &lt; 2.2 x 10⁻¹⁶). Litter/duff was the strongest predictor of T. speciosus presence (p=6.14 x 10⁻¹⁰). Results show that field survey models are generally better than RS, though mixed models of both RS and field survey variables perform about as well. Future development of mixed models allows researchers to complete vegetation surveys more efficiently and devote more field research to their species of interest.</t>
  </si>
  <si>
    <t>range shift, remote sensing, vegetation survey, Tamias, climate change</t>
  </si>
  <si>
    <t>SholarJ_2015-page1.pdf</t>
  </si>
  <si>
    <t>Bridget Smith</t>
  </si>
  <si>
    <t>Medusahead and Barb Goatgrass Distribution by Wind and Cattle: A Remotely Sensed Perspective</t>
  </si>
  <si>
    <t>Medusahead (Taeniatherum caput-medusae) and barb goatgrass (Aegilops triuncialis), two invasive annual grasses in California grasslands, reduce biodiversity and forage value (Peters et al. 1996, Davies 2008, Davies 2011). Although grazing is often used to manage medusahead, dispersal of seeds by livestock may cause a greater spread of invasives. Using a classified aerial photo taken in 2013 at the Sierra Foothills Research and Extension Center in Browns Valley, California, I used geographic information systems to quantify the differences between invasive grass structure and landscape pattern in a grazed and ungrazed pasture. I found that the area of medusahead patches in grazed pastures is significantly larger than in ungrazed pastures, while a significant difference did not exist for barb goatgrass. Area to perimeter ratio increased in the grazed pasture, driven by the significant difference between medusahead patches, indicating that grazing creates a less complicated patch structure. Using Local Moran’s I to calculate spatial autocorrelation weighted by area, I found that grazing caused a greater variability and amount of clustering. Dispersal distance was larger for medusahead in the grazed pasture and barb goatgrass in the ungrazed pasture, suggesting that cattle may cause the colonization of new patches at large distances or create a more connected landscape through seed dispersal. As medusahead and barb goatgrass were not successfully managed by grazing at SFREC, it is necessary to make informed management decisions about cattle grazing on California rangelands infested with these species.</t>
  </si>
  <si>
    <t>California grasslands, invasive species, geographic information systems</t>
  </si>
  <si>
    <t>SmithB_2015-page1.pdf</t>
  </si>
  <si>
    <t>Erin E. Smith</t>
  </si>
  <si>
    <t>Life Cycle Paralysis: Managing Uncertainty in California and US Biofuel Policies</t>
  </si>
  <si>
    <t>California’s Low Carbon Fuel Standard (LCFS) and the United States’ Renewable Fuel Standard (RFS2) are policies that originally incentivized biofuel production under the premise that biofuels produce fewer greenhouse gas emissions than fossil fuels. However, recent studies have shown that when the indirect emissions of biofuels are taken into account, some biofuels are more carbon intensive than fossil fuels. This information led researchers to account for indirect environmental harms in new ways. One such method is through a consequential life cycle assessment (CLCA), which predicts environmental impacts outside of a production chain by linking life cycle assessment (LCA) methodology with economic processes. While some scientists praise CLCA as a superior way of accounting for the total environmental impacts of a policy, its results remain uncertain and scientists have yet to agree on a common analytical framework. Models that predict greenhouse gas emissions from biofuels and use this CLCA approach have been adopted in national and state biofuel policies in different ways. However, this has sparked controversy because model predictions have not converged as expected, and experts continue to debate how to apply LCA methodology to bioenergy. Moreover, biofuel producers resent being penalized for uncertain indirect emissions. I conduct a multi-case analysis of the role of LCA in quantifying indirect environmental impacts and how it has become contentious in California’s Low Carbon Fuel Standard (LCFS) and the United States’ Renewable Fuel Standard (RFS2).</t>
  </si>
  <si>
    <t>Low Carbon Fuel Standard (LCFS), Renewable Fuel Standard (RS2), indirect land use change (ILUC), life cycle assessment (LCA), regulatory science</t>
  </si>
  <si>
    <t>SmithE_2015-page1.pdf</t>
  </si>
  <si>
    <t>Rachel L. Taylor</t>
  </si>
  <si>
    <t>Battle of the Kenyan Herbivores: Resource Competition between Native and Domesticated Animals</t>
  </si>
  <si>
    <t>As humans continue to encroach on native wildlife’s habitats, ecologists must observe the effects humans have on native biodiversity. Numerous factors that affect native African herbivore behavior have been studied in the past; however, the interspecific competition between domesticated animals and native herbivore species still needs to be further studied. With the use of camera trap photographs taken on the Mpala Reserve in Kenya, Africa I observed the relationships between camel abundance and native herbivore diversity. For each camera trap, I recorded the maximum number of camels present at one time and the number of native species observed by each camera. I ran linear regression with R commander to test the relationships between camel presence and native herbivore diversity, native browser diversity, and native grazer diversity. I found a significant negative relationship (p&lt;0.05) between camel abundance and native browser diversity, which represents a decrease in native biodiversity due to competition with domesticated animals. I also found a weak positive relationship between camel abundance and native grazer diversity, which illustrates the potential for future facilitation between domesticated animals and native herbivores in Africa. I concluded that when domesticated animals compete with native herbivores for resources, native biodiversity drops; however, there is potential for co-existence up to a certain threshold. Further studies must be conducted using camera trap data to observe the relationship between domesticated animals and native African herbivores with low human involvement.</t>
  </si>
  <si>
    <t>Biodiversity, Conservation, Interspecific Competition, Camera Traps, Management</t>
  </si>
  <si>
    <t>TaylorR_2015-page1.pdf</t>
  </si>
  <si>
    <t>Manon von Kaenel</t>
  </si>
  <si>
    <t>Urban Stormwater Management at UC Berkeley: A Low Impact Development Solution</t>
  </si>
  <si>
    <t>Nonpoint source pollution and hydromodification in urban landscapes cause urban stream syndrome, symptoms of which include poor water quality, reduced biodiversity, and increased storm discharges. Conventional stormwater infrastructure often fails to address the impacts of urbanization on creek health. I model the behavior of urban runoff in ArcGIS on the Upper North Fork subcatchment of the UC Berkeley campus by estimating flow accumulation and the relative impact on runoff infiltration caused by changes in surface permeability. I supplement this model by estimating key hydrological parameters for predevelopment and current conditions and testing the water quality of runoff. I then propose a Low Impact Development installation to mitigate the most pertinent negative impacts of urban runoff on Strawberry Creek and evaluate its impacts. I found that runoff on the site is currently 40% faster-flowing and 6,000% more voluminous than under predevelopment conditions. In addition, this runoff exceeds acidity, zinc, and copper standards for aquatic life protection. To return at or below the effective imperviousness threshold for a healthy watershed, the campus needs to remove 14 acres of impervious surfaces from the site. Because the heaviest flow accumulates over University Drive along the northwestern edges of Memorial Glade and the creek suffers from a history of heavy metal pollution, I strongly recommend an installation of permeable pavement. An installation of 0.2 acres of permeable pavement on University Drive would decrease runoff volume by 1-1.4% and provide infiltration and filtration benefits. This approach is most appropriate when assessing a site with limited groundwater flow, few structures, and surfaces with varying permeability levels.</t>
  </si>
  <si>
    <t>urban runoff, permeable pavement, Strawberry Creek, GIS, LID best management practices</t>
  </si>
  <si>
    <t>vonKaenelM_2015-page1.pdf</t>
  </si>
  <si>
    <t>Luke Walcher</t>
  </si>
  <si>
    <t>Distribution of Urban Forest Benefits from Street Trees in San Francisco, California</t>
  </si>
  <si>
    <t>Valuation of environmental benefits from street trees allows urban forest managers to improve the immediate environment and maximize economic benefits for residents. However, due to inherent heterogeneity in the geographic distribution of urban trees communities experience varying levels of benefits derived from vegetation, with more affluent neighborhoods characterized by greater canopy cover and environmental benefits. Composed of over 700,000 trees located on private and public land, the distribution of San Francisco’s urban forest follows a similar pattern along socioeconomic condition. My research aimed to assess the extent of the spatial relationship between the annual environmental benefits (from energy cost reductions, carbon sequestration, and air quality improvements) and socioeconomic factors including median household income, median residential unit value, and race. To gauge heterogeneity and model the spatially varying relationships among these socioeconomic indicators of community welfare I used geographically weighted regression (GWR) at the neighborhood level. While ordinary least squares (OLS) regression delivered a global relationship, coefficients derived through GWR explain more variance in the relationship, demonstrating the increased modeling accuracy of spatially varying regressions. Furthermore, the significant predicted relationships determined from the regression equations did not support previous findings in the literature. My findings suggested resident affluence to be inversely correlated with street tree benefits, while Black &amp; African American population levels had a positive predicted effect. These unexpected relationships can be further explored with further research to characterize forest structure between metropolitan and suburban areas in the city.</t>
  </si>
  <si>
    <t>urban forestry, ecosystem services, amenity values, street trees, San Francisco</t>
  </si>
  <si>
    <t>WalcherL_2015-page1.pdf</t>
  </si>
  <si>
    <t>Clifford Wang</t>
  </si>
  <si>
    <t>Remote Sensing in Suisun Bay Marsh: Vegetation Classification and LAI Prediction</t>
  </si>
  <si>
    <t>Over the last two centuries, humans have transformed the San Francisco Estuary system. Marshes have been altered for agricultural, hunting, and development needs. One major concern is the spread of invasive species. Because wetland systems are fragile and difficult to survey, they have not been well studied. This study examines the distribution of two upland marsh plants, the native Sarcocornia pacifica (perennial pickleweed) and the invasive Salsola soda (oppositeleaf Russian thistle), in a Suisun Bay marsh using a combination of field and remote sensing methods. First, I used the object-based image analysis software eCognition Developer to classify an aerial photograph by vegetation type. I compared four supervised classification methods and found that the Bayes classifier algorithm produced the highest overall accuracy of 83%. Accuracies varied between classes, but the classifier was able to distinguish the invasive S. soda with 97% producer's accuracy. In the second part of the study, I created a multiple regression model that would predict measured LAI (leaf area index) values from object-level spectral data derived from the aerial photograph. I used twelve predictor variables and created models using original values, log-transformed values, and squared values. The best model used log-transformed values and yielded an adjusted R-squared value of 0.42, which indicates some correlation exists, but the predictability of the model is limited. Nevertheless, the fair classification accuracy suggests that S. soda can be distinguished from other marsh vegetation using spectral signatures. Therefore, future landscape change studies can monitor the spread and influence of S. soda.</t>
  </si>
  <si>
    <t>LAI, classification, pickleweed, Russian thistle, Sarcocornia pacifica, Salsola soda, eCognition, wetlands</t>
  </si>
  <si>
    <t>WangC_2015-page1.pdf</t>
  </si>
  <si>
    <t>Janice M. Wondolleck</t>
  </si>
  <si>
    <t>Using isotope analysis of historical zooplankton samples to detect long-term changes in low salinity zone food webs of the San Francisco estuary, 1976-2010</t>
  </si>
  <si>
    <t>The San Francisco estuary is the largest estuary on the North American Pacific coast. The estuary has undergone rapid and extensive ecological change in response to water diversion, changing nutrients, and invasive species. Two possible causes for the decline in phytoplankton population in the late 1980’s are (1) changes in nutrient concentrations from 1982-2012, or (2) the introduction of an invasive clam, Potamocorbula amurensis (P. amurensis), in 1986. The pelagic fish (i.e. delta smelt, striped bass, longfin smelt) population declined significantly in 2000 and potentially indicates a disruption in the food web. One approach to assessing the health of an ecosystem is investigating bottom-up effects on food webs, such as researching food and primary organic matter sources that support growth. Pelagic fish consume zooplankton during larval and juvenile life stages, and zooplankton can consume phytoplankton, other zooplankton, and detritus. Carbon and nitrogen isotopic signatures correspond to the organic matter the zooplankton ingest, and stable isotope analysis measures the ratios of different carbon and nitrogen tracers. For Eurytemora affinis (E. affinis) and Sinocalanus doerrii (S. doerrii), the δ13C and δ15N value significantly decreased after the invasion of the clam. The δ13C and δ15N value increased for Neomysis mercedis (N. mercedis) post-clam invasion, which could reflect a shift towards an allochthonous or carnivorous-dependent diet. Stable isotopes of zooplankton detected shifts in diet towards freshwater sources and from a different trophic level within the San Francisco estuary. This study provides evidence of a disruption in the San Francisco estuary where restoration and management practices should be implemented.</t>
  </si>
  <si>
    <t>Estuarine ecosystem, invasive species, stable isotopic composition, freshwater flow, feeding relationships</t>
  </si>
  <si>
    <t>WondolleckJ_2015-page1.pdf</t>
  </si>
  <si>
    <t>Andy J.Y. Wong</t>
  </si>
  <si>
    <t>Influence of Natural Fire Regime on a Watershed’s Annual Flow and Flood Responses</t>
  </si>
  <si>
    <t>Fires are becoming more frequent and severe as a result of climate change and forest mismanagement. In face of the growing fire risk, one potential mitigation strategy is to restore a long-standing natural fire program or Wildland Fire Use (WFU). Although the hydrological effects of infrequent, large, severe fires have been well studied, a better understanding on the hydrologic effects of frequent, mixed severity fires is needed. This research was designed to characterize the relationship between disturbances within a WFU area and Illilouette Creek Basin’s hydrological properties. I investigated the changes in annual flow and flood properties, the basin characteristics, and the relationship between the altered basin characteristics and hydrological properties Since the adoption of WFU, runoff ratio and base flow have increased by 28% and 69+%. Despite frequent disturbances from WFU, other annual flow and flood properties remained stable. Both univariate linear regression and principal component analysis indicate strong links (P-value&lt;=0.05) between vegetation and fire variables and annual runoff ratio. The vegetation and fire variables have non-significant correlations with the variation in flood and other annual flow variables. Most of these hydrological variables are correlated with meteorological variables. The results support the hypothesis that WFU has changed UMW’s runoff ratio through frequent fires and post-fire vegetation changes, but provide no evidence on whether WFU induced fires and vegetation changes has impacts on UMW’s base flow, or other annual flow and flood variables.</t>
  </si>
  <si>
    <t>Wildland Fire Use, streamflow, water yield, flood, Illilouette Creek Basin</t>
  </si>
  <si>
    <t>WongA_2015-page1.pdf</t>
  </si>
  <si>
    <t>Alyssa Zhang</t>
  </si>
  <si>
    <t>Terrestrial arthropod community responses to wildfire in Mediterranean forest ecosystems</t>
  </si>
  <si>
    <t>Ground beetles are used as bioindicators of fire disturbance due to their ease of sampling and identification, ecosystem functions, and sensitivity to environmental change. In this study, I explored the relationship between ground beetle population abundance and species composition, and presence of wildfire over a nine-month period in Mt. Diablo, a Mediterranean ecosystem located in Contra Costa Co., CA. Using 60 pitfall traps along six transects, 274 beetle specimens belonging to 54 species were collected. I used analysis of variance and non-metric multidimensional scaling to determine the responses of ground beetles to fire. In terms of population abundance, I did not observe a significant difference between abundance of beetles between burned and unburned locations, or between vegetation types. However, I observed significant differences between the abundance of beetles in the dry and wet periods, in both burned and unburned locations, with the highest level of abundance in the wet months. Neither burn status nor differences in habitat were strongly correlated with species composition, suggesting that the terrestrial arthropod community in my study area had already recovered from wildfire by the time of my sampling. 24 species were found only in burned sites, 13 only in unburned sites, and 17 in both; however, many species had only a single representative specimen. The results suggest that understanding the effects of fire is crucial to preserving biodiversity in Mediterranean ecosystems, and further research is needed to understand the interaction of fire with beetle life cycles.</t>
  </si>
  <si>
    <t>beetles, biodiversity, Carabidae, community response, forest fire, pitfall trapping</t>
  </si>
  <si>
    <t>ZhangA_2015-page1.pdf</t>
  </si>
  <si>
    <t>Jahon Amirebrahimi</t>
  </si>
  <si>
    <t>Grass-fed Meats: Peri-urban Rancher Strategies to Resist Dispossession in the San Francisco Bay Area</t>
  </si>
  <si>
    <t>During the contemporary agricultural revolution, large firms in the U.S livestock sector economy began to vertically integrate, dispossessing many small-scale, household ranchers. Peri-urban pasture-raised meat ranchers in California have developed alternative marketing strategies to persist. Global economic shifts and local development histories have led these producers to rely on a growing niche of informed, urban consumers. I interviewed these producers to understand their attitudes, market barriers, and strategies within the market. I found that ranchers prioritizing direct consumer relationships, ranching communities, and sustainable practices, overcame economic and epistemic barriers in the conventional livestock commodity chain. I apply contemporary theories regarding epidemics, localism, metabolic rift, social embeddedness, epistemic injustice, and natural capital to consider the strategies these ranchers employ. I advocate a general deconstruction of dominant neoliberal agricultural processing firms which would involve (1) increasing collaboration between global consumer and producer-based food movements, (2) reinstating forms of direct regulation over food processing and safety within U.S. marketplace, and (3) creating protections for traditional food culture and knowledge.</t>
  </si>
  <si>
    <t>Pasture-raised, direct-marketing, food sovereignty, globalization, food processing</t>
  </si>
  <si>
    <t>AmirebrahimiJ_2013-page1.pdf</t>
  </si>
  <si>
    <t>https://www.ocf.berkeley.edu/~pkmendez/envsci/projects/2013final/</t>
  </si>
  <si>
    <t>Mashail S. Arif</t>
  </si>
  <si>
    <t>Residential Solar Panels and Their Impact on the Reduction of Carbon Emissions</t>
  </si>
  <si>
    <t>Anthropogenic greenhouse gas emissions, especially carbon, have had a momentous impact on the onset of climate change. To address this issue, California has adopted Assembly Bill (AB) 32, which sets a goal for California to reduce its greenhouse gas emissions back to 1990 levels by the year 2020. One way to reduce carbon emissions is to mitigate fossil fuel electricity production by using renewable energy instead. A residential solar panel system, for example, has the capability of providing for the electricity needs of an entire home with about 80% lower carbon emissions than fossil fuels. I studied residential solar systems in California and their potential for helping California meet its AB 32 target. My objectives were to determine: the percentage of homes that have currently installed solar and the amount of carbon emissions this has reduced; the percentage of homes that should install solar for California to significantly mitigate carbon emissions when compared to baseline current emissions; and the groups of households that should be the main focus of government emissions mitigation policies. While currently 0.9% of California households have installed solar systems, I found that at least 60% of homes would need to install solar to significantly reduce carbon emissions by 2020. The largest barrier to solar implementation is cost; thus, in order to get 60% of homes to install solar, the government must implement and enhance subsidy and feed-in tariff policies. However, focusing on electricity generation is not the only solution for reaching the AB 32 target; other sources of emissions must also be considered.</t>
  </si>
  <si>
    <t>renewable energy, solar energy, AB 32, California, residential households</t>
  </si>
  <si>
    <t>ArifM_2013-page1.pdf</t>
  </si>
  <si>
    <t>Alan Cai</t>
  </si>
  <si>
    <t>Simulated Drought and Competition Exclusion in a California Grassland</t>
  </si>
  <si>
    <t>California’s Sierra Foothills grasslands are among the many ecosystems that may be impacted by a warming climate, changing precipitation regimes, and shifting species distributions. We subject an experimental site, located in the Sierra Foothills Research and Extension Center in Browns Valley, to simulated drought and competitive exclusion in order to observe how different types of plants, specifically grasses and forbs, react to these potentially future conditions. We collect all the biomass that remains following a 4-month exposure to these experimental conditions. After drying and weighing the samples, we compare biomass of both all of the plants, as well as specially tagged plants that have withstood the entire experimental period. We find no significant difference in biomass between either the specific plant types or the aggregate biomass, after they have been exposed to the experimental treatment. Future studies may ensure that the experimental plots have a balanced mixture of forbs and grasses, and avoid destructive interference to the experimental site from livestock.</t>
  </si>
  <si>
    <t>Grassland, California, grasses, forbs, drought, insurance hypothesis, functional groups, climate change</t>
  </si>
  <si>
    <t>CaiA_2013_complete-page1.pdf</t>
  </si>
  <si>
    <t>California’s Sierra Foothills grasslands are among the many ecosystems that may be impacted by a warming climate, changing precipitation regimes, and shifting species distributions. We subject an experimental site, located in the Sierra Foothill Research and Extension Center in Browns Valley, to simulated drought and competitive exclusion in order to observe how different types of plants, specifically grasses and forbs, react to these potentially future conditions. We collect all the biomass that remains following a 4-month exposure to these experimental conditions. After drying and weighing the samples, we compare biomass of both all of the plants, as well as specially tagged plants that have withstood the entire experimental period. We find no significant difference in biomass between either the specific plant types or the aggregate biomass, after they have been exposed to the experimental treatment. Future studies may ensure that the experimental plots have a balanced mixture of forbs and grasses, and avoid destructive interference to the experimental site from livestock.</t>
  </si>
  <si>
    <t>CaiA_2013-page1.pdf</t>
  </si>
  <si>
    <t>Austin Cappon</t>
  </si>
  <si>
    <t>Hybrid Electricity and Health: Effects of Renewable Energy Integration on Respiratory Illness</t>
  </si>
  <si>
    <t>1.6 billion individuals do not have access to electricity. An additional 1 billion do not have access to electricity in a dependable form, and are often reliant on diesel generators to provide intermittent energy. Combustion of diesel is inefficient, environmentally degradative, and expensive. More harmful yet is the particulate matter (PM) released in the process of diesel combustion, which contains a class of compounds with known adverse human health effects, including cancers and chronic respiratory illnesses. In this study I modeled PM exposure rates of individuals living in a rural village on the Galápagos Islands who rely on diesel for electricity provision. The results demonstrate the capabilities of renewable energy generation technologies as a means to offset the harmful effects of a diesel-only system. I modeled three “energy scenarios,” offering 20%, 50% and 80% renewables into the grid, and compared each to an all-diesel control. The model showed appreciable decreases in gross generator emissions of particulate matter for each of the scenarios (17% decrease, 45% decrease and 62% decrease from control), although the number of exposed individuals did not decrease proportionately as a result of the prevailing weather patterns at the study site (2%, 12% and 28% decrease from control). The results demonstrate that the exposure of individuals to harmful combustion toxicants is contingent not only upon the amount and type of energy generation assets in a system, but also meteorological climate and city plan.</t>
  </si>
  <si>
    <t>particulate matter (PM), pollution exposure modeling, microgrid, HOMER, ArcMap</t>
  </si>
  <si>
    <t>CapponA_2013-page1.pdf</t>
  </si>
  <si>
    <t>Robert N. Cash</t>
  </si>
  <si>
    <t>A Reference for Restoration: Applying the Reference Site Model to Riparian Restoration Sites in the California Coastal Sage Scrub, Chaparral, and Oak Woodlands Ecoregion</t>
  </si>
  <si>
    <t>Riparian ecosystems have been heavily affected by anthropogenic land use and urbanization, and as a result, they have become high priority restoration targets. One widely accepted model for restoring these degraded riparian systems is the use of reference ecosystems to establish restoration goals, but until recently, the comprehensive data necessary to accurately apply the model to the California Coastal Sage Scrub, Chaparral and Oak-Woodlands ecoregion has not existed. In this study, I compared restoration projects in the East San Francisco Bay area to reference sites within the California Coastal Sage Scrub, Chaparral, and Oak Woodlands ecoregion to assess how well restoration projects have been able to restore woody plant diversity and return degraded urban creeks to positive ecological trajectories. I measured woody plant diversity at five restored urban creek sites, and compared them to a database of reference site information using the metrics of species richness, relative abundance, Shannon Diversity Index, and tree size class. Restoration sites exhibited species richness and Shannon Diversity Index values that were similar to those at reference sites, whereas tree size class was significantly smaller at restoration sites. Relative abundance of species was also mismatched at restoration and reference sites, showing different patterns of dominance within each site type. I concluded that the levels of woody plant diversity present at restoration sites are indicative of positive ecological trajectories, but restoration sites may function at alternative stable states along the trajectory toward a mature reference state.</t>
  </si>
  <si>
    <t>Ecological restoration, restoration trajectory, woody plant diversity, urban creeks, species richness</t>
  </si>
  <si>
    <t>CashN_2013-page1.pdf</t>
  </si>
  <si>
    <t>Attrace Chang</t>
  </si>
  <si>
    <t>Efficacy of Climate Action Plan Development in Richmond, California</t>
  </si>
  <si>
    <t>One of the biggest problems countries face as they develop and grow in size is global climate change from increasing greenhouse gas (GHG) emissions. A climate action plan (CAP) is a document written to help local jurisdictions reduce greenhouse gas emissions and energy use. In this study, I made recommendations for Richmond, California regarding the efficacy of a CAP, given its environmental justice concerns, which includes a large point source emitter that is harming the surrounding community. By reviewing other cities’ CAP documents and Richmond’s current policies, I compiled methods for reducing point source emissions from industry. I also conducted interviews with CAP planners and Richmond affiliates to analyze the best practices, challenges, and successes from CAPs and translate these findings to Richmond’s situation. My document review revealed that 95 jurisdictions in California have adopted CAPs, and 108 more are planning. Point source GHG emissions have not been systematically addressed in any municipality studied. I found similarities across CAPs in challenges (staffing, funding and resources), and elements necessary for a CAP to hold power (mandatory wording and community support). Differences arose within departments responsible for implementing CAP measures, as well as with each city’s largest pollution sources. While Richmond currently has no CAP, organizations within Richmond are moving ahead with sustainability efforts. Richmond may be able to accomplish the same sustainability work typically addressed in a CAP without actually passing the document, thereby avoiding the challenges inherent in the process.</t>
  </si>
  <si>
    <t>environmental justice, greenhouse gas emissions, environmental policy, point source polluters, sustainability</t>
  </si>
  <si>
    <t>ChangA_2013-page1.pdf</t>
  </si>
  <si>
    <t>Michelle Chang</t>
  </si>
  <si>
    <t>Microplastics in Facial Exfoliating Cleansers</t>
  </si>
  <si>
    <t>Research regarding marine pollution has primarily emphasized macroplastics (&gt;5mm diameter), but is increasingly focusing on the impacts of microplastics (&lt;5mm) on the marine environment. In my study, I observed microplastic beads found in nine facial exfoliating cleansers that listed polyethylene as an ingredient. Three brands of nationally top-grossing facial cleansers available in American supermarkets (Clean &amp; Clear, L’Oreal, Neutrogena) were used to characterize size, color, and mass of the polyethylene beads. The beads ranged from 60-800 um in diameter, with a 264 um overall mean, 102 standard deviation and a (254-274) 95% confidence interval. To determine consumer use habits for these products, I surveyed a population of 175 individuals over a period of three months via an online survey. I discovered that, though 35% of my sample population used the microplastic-containing cleansers, 50% used alternatives that did not include microplastics. Of those that did use microplastic-containing products, I used their usage rates and frequencies to calculate annual microplastic contribution to the wastewater stream. I found that Clean &amp; Clear Daily Pore Cleanser contributed most microplastic to the waste stream per consumer per year (with 2.68g) while Neutrogena Oil-free Acne Wash Pink Grapefruit, contributed the least (0.539g/year). After modeling my survey results onto the UC Berkeley student residential hall population, I estimated that a total of 5000 g of microplastic was going into the waste stream annually. Knowing about microplastic pollution in the environment and choosing natural alternatives can divert microplastic from the waste stream and mitigate potential environmental risk.</t>
  </si>
  <si>
    <t>polyethylene, market reports, consumer usage, wastewater stream, marine pollution</t>
  </si>
  <si>
    <t>ChangM_2013-page1.pdf</t>
  </si>
  <si>
    <t>Felicia H. Chiang</t>
  </si>
  <si>
    <t>Vermitea Remediation of Hydrocarbon Contaminated Soil</t>
  </si>
  <si>
    <t>Due to the global need for oil production and distribution, surrounding ecosystems have been negatively affected by oil spill externalities in individual health and community diversity. Conventional land remediation techniques run the risk of leaving chemical residues, and interacting with metals in the soil. The objective of this study was to test worm compost tea, also known as vermitea, as a bioremediation method to replace current techniques used on oil contaminated soils. To test the conditions that contributed to the efficacy of the teas, I examined different teas that looked into the mode and length of pollutant exposure. I examined oil emulsification activity, presence of biosurfactant-producing bacteria colonies, microbial diversity and abundance, and applicability of the teas to artificially contaminated soils. Overall, I found that the long-term direct oil tea had a 7.42% significant increase in biosurfactant producing microbes in comparison to the control tea. However, the long-term crude soil vermitea was found to be the best type of pollutant degrading tea in terms of emulsifying activity and general applicability towards reducing oil concentrations in the soil. These results will help broaden the scientific understanding towards stimulated microbial degradation of pollution, and broaden the approaches that can be taken in restoring polluted ecosystems.</t>
  </si>
  <si>
    <t>bioremediation, microbial populations, biosurfactant, emulsification, soil pollution</t>
  </si>
  <si>
    <t>ChiangF_2013-page1.pdf</t>
  </si>
  <si>
    <t>Katherine M. Clabeaux</t>
  </si>
  <si>
    <t>Planting Seeds of Knowledge: Sustainability of San Francisco Bay Area School Garden Programs</t>
  </si>
  <si>
    <t>Historically, Untied States school garden programs have existed to augment classroom education. Previously conducted studies have proven the efficacy of using school garden programs as an educational tool, however these studies have not examined the sustainability of using garden programs long-term. To discover what factors, specifically focusing on program resources and program logistics, contribute to school garden program sustainability, I surveyed 60 schools and interviewed 5 schools located in the San Francisco Bay Area. I found that program resources, especially program support, have the largest impact on the sustainability of school garden programs as well as dictate the nature of program logistics. Therefore, efforts to increase school garden program sustainability should begin by improving program resources.</t>
  </si>
  <si>
    <t>outside education, experiential learning, active learning, interdisciplinary education, food movement</t>
  </si>
  <si>
    <t>ClabeauxK_2013-page1.pdf</t>
  </si>
  <si>
    <t>Brynn Cook</t>
  </si>
  <si>
    <t>Pre-release Efficacy Test of the Proposed Biological Control Agent Arrytinis hakani on the Invasive Weed Genista monspessulana</t>
  </si>
  <si>
    <t>In weed biological control, conducting a pre-release efficacy test can help ascertain if potential biological control agents will be capable of controlling the target plant. Currently, the United States Department of Agriculture (USDA) is investigating the phloem-feeding psyllid Arrytinis hakani as a potential agent for the exotic invasive weed, Genista monspessulana. In this experiment, I tested if A. hakani was capable of killing the target plants by putting insect densities, ranging from 4 to 16 A. hakani nymphs per test plant, on the plants for six weeks. At the end of this period, I removed the insects from the test plants and assessed the damage by comparing final and initial plant parameters for test plants with different insect densities. I determined that although increasing A. hakani densities had a significant negative impact on number of leaflets grown and percent change in height, the psyllid did not cause leaf senescence or destroy any of the plants even at its highest density. It is possible that this damage did not occur because insect mortality during the course of the experiment was high enough that densities of 12 and 16 insects were not maintained, even though insects were replaced weekly. Because A. hakani did not have enough impact to destroy the test plant, it cannot be endorsed as a strong candidate for biological control without further research.</t>
  </si>
  <si>
    <t>Herbivory, agent efficiency, French Broom, Candidatous liberibacter europarus, leaf senescence</t>
  </si>
  <si>
    <t>CookB_2013-page1.pdf</t>
  </si>
  <si>
    <t>Christina Edsall</t>
  </si>
  <si>
    <t>Comparing the development and fitness of navel orangeworm, Amyellois transitella, raised on agricultural and non-agricultural host plants</t>
  </si>
  <si>
    <t>Navel orangeworm (NOW), Amyellois transitella, is an invasive moth and agricultural pest in California. NOW is an herbivore generalist that uses a variety of foods as a strategy to increase their fitness. Recent work has shown that NOW appears to move in between different nut crops quite readily, implying that NOW might also be mobile enough to move from non-agricultural plants to agricultural crops. I collected non-agricultural plants from the Central Valley and reared moths on each plant independently to determine survivorship, development time, and adult weight. I used jars containing each plant type and NOW eggs. The jars were kept in a walk-in chamber and examined from eggs to adulthood. Black walnuts and acorns had the only non-agricultural survivorship and moths raised on acorns took the longest time to develop into adults. Pistachios and wheat bran showed significant changes in weight (p &lt; .001). Significant differences in adult weight suggested that diet type instead of sex had a larger effect on weight. It is possible that NOW is acting as a source population for native habitats. NOW could possibly be feeding on non-agricultural plants in nature and should be further examined. Having a broader understanding of the biology of NOW can help implement more efficient management systems.</t>
  </si>
  <si>
    <t>integrative pest management (IPM), landscape ecology, host range, generalist, dispersal</t>
  </si>
  <si>
    <t>EdsallC_2013-page1.pdf</t>
  </si>
  <si>
    <t>Sarah Christine Edwards</t>
  </si>
  <si>
    <t>Understanding the Bay Area's Food Movements through Maps</t>
  </si>
  <si>
    <t>Food movements in the San Francisco Bay Area advocate for sustainable food and food justice. The sustainable food movement focuses on local and organic high-quality food options, while the food justice movement addresses the systemic problems of reduced access to healthy affordable food associated with economic and geographic barriers. My study areas, San Francisco and Oakland, both began as hubs of industrialization where racially discriminatory housing policies created the conditions of limited food access in areas of both cities. However, the approaches surrounding the issue of limited food access, as well as the food systems in general, contrasts sharply between these cities. I examined maps of foodscapes in San Francisco and Oakland using the tools of critical cartography and discourse analysis. I analyzed 34 maps, focusing on representation of alternative food access systems. I found that these maps embody these two contrasting narratives of the food movement in each city: San Francisco for sustainable food and Oakland for food justice. Beyond these city-specific trends I found that farmer's markets and urban gardens were key tools represented in maps for both movements. Although the institutionalized racism of the food system is an often-discussed area of concern, most maps from both cities did not address the issues of race or of socioeconomic status. Comprehensive work in this arena by both movements can allow for cooperative efforts to solve these important issues of today's world.</t>
  </si>
  <si>
    <t>Critical cartography, food movement, food justice, sustainable food, discourse analysis</t>
  </si>
  <si>
    <t>EdwardsS_2013-page1.pdf</t>
  </si>
  <si>
    <t>Mayra Estrada</t>
  </si>
  <si>
    <t>Every Drop Counts: UC Berkeley Student Water Conservation Behavior</t>
  </si>
  <si>
    <t>One of the more serious consequences of climate change is the effect on availability and distribution of water resources. The likelihood of water reduction in California’s climate associated with climate change will require improved forms of water conservation, including decreased residential water consumption, which offers the largest potential avenue for conservation. There is limited research on pro-environmental behavior, which is the tendency to act in a way that poses the smallest impact on the environment and is influenced by knowledge, attitude, and intention. To examine Pro-environmental behavior I surveyed UC Berkeley undergraduates, assessing: knowledge of water usage, attitudes towards conservation, water use behavior and demographics. The study objective goals included: (1) Understanding student’s basic knowledge of water use/water conservation behavior , (2) attitudes towards conservation, (3) the water use and water conservation behavior of current students, and (4) providing a baseline for current knowledge and ways that UC Berkeley can increase students’ participation in pro-environmental behavior. I found that the majority of students sampled had some environmental knowledge background in education yet seemed lack the basic knowledge of their water source, the average consumption of a CA resident, and how water is distributed in California. I also found that the majority of the students had pro-environmental attitudes towards water conservation yet very few engaged in water conservation behavior. Understanding student knowledge, attitudes and intentions and how they affect water consumption can help the office of sustainability develop campaigns at UC Berkeley that can motivate students to begin implementing more pro-environmental behavior.</t>
  </si>
  <si>
    <t>water conservation, pro-environmental behavior, education campaigns, sustainability</t>
  </si>
  <si>
    <t>EstradaM_2013-page1.pdf</t>
  </si>
  <si>
    <t>Sage Farrell</t>
  </si>
  <si>
    <t>The Effect of Floral Nectar Feeding on the Parasitoid Anagrus spp. (Hymenoptera: Mymaridae)</t>
  </si>
  <si>
    <t>Conventional agricultural systems are characterized by a reduction in non-crop resources, which decreases natural enemy populations and increases pest abundance. Floral resource provisioning (FRP) is one method of increasing natural enemy populations in agricultural systems by providing a non-crop food source. Nectar feeding can increase the longevity, fecundity, and abundance of natural enemies, thus increasing their effectiveness in controlling pest populations. Many studies have examined the effect of FRP on parasitoid natural enemies in the field, but few determine whether the flowers used actually benefit the target wasp in a controlled setting. This study examined whether nectar feeding increases the longevity of Anagrus spp. wasps, which parasitize Western grape leafhoppers (Erythroneura elegantula) in California vineyards. Using wasps obtained from parasitized leafhopper eggs in Davis, CA, I isolated Anagrus spp. in vials with flowers from Ammi majus, Daucus carota, or Phacelia tanacetifolia, 50% honey solution, or just water. I found that wasps in the D. carota and honey treatments, which averaged 1.3 and 1.6 days, lived significantly longer than those in the P. tanacetifolia and control treatments, which all died within 24 hours. This confirms that nectar feeding can increase Anagrus spp. lifespan, and that certain flowers have a greater effect on lifespan than others, likely due to differences in morphology, nectar composition, and volatiles. This is important information in choosing flowers to implement and explaining the effectiveness or ineffectiveness of previous FRP designs.</t>
  </si>
  <si>
    <t>floral resource provisioning, conservation biological control, natural enemy, egg parasitoid, western grape leafhopper</t>
  </si>
  <si>
    <t>FarrellS_2013-page1.pdf</t>
  </si>
  <si>
    <t>Chad Fong</t>
  </si>
  <si>
    <t>Environmental Influences on Resource Collection Behavior on the UC Berkeley Sciurus niger Population</t>
  </si>
  <si>
    <t>Fox squirrels (Sciurus niger) are prevalent on the UC Berkeley campus. Optimal foraging theory states that these squirrels will maximize their net energy input per unit time. To explore what factors affect this decision I investigated how the local environment affects the behavior of these squirrels via focal sampling and Geographic Information Systems (GIS). I examined the effects of local human density, proximity to food sources, and ratio of land-types to how often squirrels sought anthropogenic food sources as opposed to food typically found in their natural diet. I found that my metrics did not predict when how often squirrels scavenged. The biggest factor in squirrel scavenging was having a person directly feed the squirrel. This factor accounted for 78% of squirrel scavenging, and 23% of squirrel food consumption in my observations. This data does support optimal foraging theory, however not in the way I had anticipated. Although my metrics were invalidated this study could inform management decisions to decrease wildlife scavenging in urban environments. It is more effective for management to campaign the public to not feed wildlife than to prevent or restrict wildlife access to garbage according to my data.</t>
  </si>
  <si>
    <t>optimal foraging theory, scavenging, foraging, fox squirrel, anthropogenic</t>
  </si>
  <si>
    <t>FongC_2013-page1.pdf</t>
  </si>
  <si>
    <t>Hoi Kuan Fong</t>
  </si>
  <si>
    <t>Residents’ Perception of Urban Forestry in Macao</t>
  </si>
  <si>
    <t>Macao’s infrastructure development has not yet caught up with its rapid economic growth, resulting in many environmental problems. Urban forestry concepts and practices can be used to make environmental improvements in Macao, and public participation can be useful in the planning processes. This project focused on understanding residents’ perceptions of urban greening practices in Macao. I surveyed Macao residents using surveys, focusing on the perception of current greening practices, plant choice preferences, and proposed strategies for existing and future greening methods. The results showed that respondents were slightly dissatisfied with the current greening practices, and requested more trees and green spaces. Most survey participants preferred additional vegetation in parks and streets, in which evergreen trees, flowering plants, and the round-headed tree shape were most preferred for both sites. The majority of respondents disliked flower pots on ground because they block sidewalks and collect rubbish. Respondents suggested eliminating flower pots and switching to other greening methods. Many respondents suggested planting wind-resistant trees and tree species that can absorb air pollutants in streets. Some respondents recommended using rooftop gardens and green corridors to connect discrete green patches in the Macao peninsula. Based on my survey results, I suggested planting more trees in parks and in wide streets, introducing vertical greening into densely populated areas of the Macao peninsula, and frequent maintenance and cleaning of all green spaces in Macao.</t>
  </si>
  <si>
    <t>Urban green space, greening methods, citizen participation, city planning, sustainable design</t>
  </si>
  <si>
    <t>FongH_2013-page1.pdf</t>
  </si>
  <si>
    <t>Shiyang Fu</t>
  </si>
  <si>
    <t>Effects of Global Change Factors on Sensitive Alpine Plant and Microbial Communities</t>
  </si>
  <si>
    <t>Global climate changes have greatly changed microbial-plant interactions within sensitive alpine ecosystems. Global climate changes such as temperature increase, elevated levels of snow deposition, and increased nitrogen deposition are being artificially imposed in the moist alpine ecosystem at Niwot Ridge, Colorado as part of a broader study. We used International Tundra Experiment (ITEX) warming chambers, snow fences, and direct nitrogen additions to impose the three global change factors (GCFs). I studied and measured the effects of these global change factors on plant and associated microbial communities by the (a) plant nitrogen exchange, (b) plant productivity, (c) species composition, (d) microbial biomass, (e) N-mineralization rate. Specifically, we addressed (1) if plants and microbes respond similarly to the same GCFs and (2) if GCFs act independently or in combination to affect the overall ecosystem. There was not a single treatment that was consistently significant across all measures. Implication of multiple global change factors resulted in a slight exponential effect regarding plant composition response. This experiment will give insight into the conditions of plant and microbial communities under stress, and will inform us of possible occurrences in other, less sensitive biomes that respond slower to environmental changes.</t>
  </si>
  <si>
    <t>Nutrient cycling, nitrogen cycling, warming snow deposition, alpine tundra, moist meadow, Colorado Rockies</t>
  </si>
  <si>
    <t>FuS_2013-page1.pdf</t>
  </si>
  <si>
    <t>Emily Rose Gilson</t>
  </si>
  <si>
    <t>Controls on Diffusive Fluxes of Methane and Carbon Dioxide in a Wetland in the California Delta</t>
  </si>
  <si>
    <t>Wetlands play an important role in global greenhouse gas cycles, producing or sequestering atmospheric gases including CH4 and CO2. The objective of this study was to determine how local and wetland-scale variables drive diffusion of CH4 and CO2 into the atmosphere from the water column in the Mayberry wetland in the California Delta. Between October 2011 and November 2012, I collected water samples from shallow, deep, and vegetated locations in the wetland and I measured concentrations of CH4 and CO2 in each sample. I combined concentration measurements with measurements of water temperature and wind speed in a model to calculate diffusive fluxes at each sampling location for each sampling day. CH4 diffusive fluxes from the wetland ranged from 0.26722 nmol m-2 s-1 to 40.070 nmol m-2 s-1 and CO2 diffusive fluxes ranged from 0.50437 umol m-2 s-1 to 3.7222 umol m-2 s-1. These fluxes follow large seasonal patterns. Although significant differences exist on some days between shallow and deep locations, the lack of trend in these differences suggests that water depth does not have a consistent influence on diffusive fluxes of CH4 and CO2. On the other hand, proximity to vegetation seems to be associated with high diffusive fluxes of CO2 and low diffusive fluxes of CH4. Wind speed is another important driver of CO2 and CH4 diffusive fluxes in this system. Diffusive fluxes of CH4 and CO2 are on the same order of magnitude as total fluxes, indicating that diffusive fluxes are a significant contributor to wetland emissions.</t>
  </si>
  <si>
    <t>greenhouse gases, carbon cycle, water-air interface, vegetative cover, headspace equilibration</t>
  </si>
  <si>
    <t>GilsonE_2013-page1.pdf</t>
  </si>
  <si>
    <t>Yeu Olivia Han</t>
  </si>
  <si>
    <t>Microblogging the Environment: How Generation Y Talks About Sustainability on Tumblr</t>
  </si>
  <si>
    <t>Environmental discourses represent how people understand complex environmental issues and create material consequences in policy, human behavior, and society. On microblogs, users exchange small amounts of content such as short sentences, individual images, or video links. Little research exists on the relationship between environmental discourse and microblogs, so I ask why environmental discourse takes the forms it does on the microblog Tumblr, by examining discursive content, form, and context. I coded 102 blog posts, conducted 3 interviews with bloggers, and performed discourse analysis on 8 posts. I identified environmental problem solving, which privileges human agency and seeks solutions within current political economic systems, as the most common form of environmental discourse on Tumblr. I found that Tumblr microblogs used little technical language, had many “shares” and “likes,” and communicated in a subjective tone. These features make environmental discourse accessible to a wide audience, allowing for broad diffusion of environmental information and encouraging collaboration. In the neoliberal context we lack the correct frames for understanding environmental issues. Instead of arguing about whether the science is right or wrong, policy makers should determine what to do about these issues and when to act. Though Tumblr is a part of and reflects aspects of neoliberalism, it represents more progressive values, focusing on what we should be doing. This suggests Tumblr and social media can avert one-way communications by elites and encourage discussion for actual change.</t>
  </si>
  <si>
    <t>critical discourse analysis, environmental discourse, neoliberalism, social media, weblog (blog)</t>
  </si>
  <si>
    <t>HanO_2013-page1.pdf</t>
  </si>
  <si>
    <t>Monica F. Harnoto</t>
  </si>
  <si>
    <t>A Comparative Life Cycle Assessment of Compostable and Reusable Takeout Clamshells at the University of California, Berkeley</t>
  </si>
  <si>
    <t>Compostable and reusable products create environmental footprints in different impact categories. While both products theoretically reduce waste, their disparate life cycles incur different trade-offs. Consequently, it is often difficult to directly evaluate these products and select the most sustainable option. One example of this situation is compostable and reusable takeout clamshells. My research question attempts to discover which type of container, compostable bagasse or reusable polypropylene, is more sustainable for Cal Dining at the University of California, Berkeley. To evaluate sustainability, I looked at four impact categories: greenhouse gas contribution, energy consumption, material waste, and water consumption. My results showed that reusable containers require 15 uses to equal the greenhouse gas contribution, energy consumption, and material waste impact of the equivalent number of compostable clamshells. However, the water consumption for reusable clamshells remained greater than the compostable clamshells in all situations. I concluded that Cal Dining should use reusable clamshells over compostable clamshells.</t>
  </si>
  <si>
    <t>Cal Dining, sustainability, bagasse containers, polypropylene containers, to-go</t>
  </si>
  <si>
    <t>HarnotoM_2013-page1.pdf</t>
  </si>
  <si>
    <t>Rosemary Havener</t>
  </si>
  <si>
    <t>Phytorestoration using Arbuscular Mycorrhizal Fungi in Association with Desert Plants in Boron-Contaminated Soils</t>
  </si>
  <si>
    <t>Borax mining at the Rio Tinto boron mine in Boron, California has caused pollution of soil, desertification of local habitats, and loss of biodiversity due to severe boron contamination. I conducted a phytoremediation study to test the effects arbuscular mycorrhizal fungi in association with native plant species. The goal of this study was to evaluate the effect of arbuscular mycorrhizal fungi on desert plants’ ability to tolerate the boron pollution from Rio Tinto soils. I evaluated bush peppergrass (Lepidium fremontii), quail bush (Atriplex lentiformis), desert dandelion (Malacothrix glabrata), white cheesebush (Hymenoclea salsola), and cattle spinach (Atriplex polycarpa) in Rio Tinto soils containing three different levels of boron. Eight replicates of each species grew in each soil type, with half inoculated with arbuscular mycorrhizal fungi. After four weeks of growth in the Rio Tinto soils, I harvested, cleaned, and dried the plants. I measured fresh weights immediately after harvesting and dry weights after forty-eight hours of oven drying to determine biomass accumulation. The results of the study indicate that in general arbuscular mycorrhizal fungi acts as a parasite on plants in order to obtain nutrients rather than a symbiont under high boron conditions, leading to significantly lower survival and biomass accumulation in plants inoculated with arbuscular mycorrhizal fungi compared to those that were not inoculated. The results indicate that the addition of arbuscular mycorrhizal fungi to native plants is not a viable addition for increasing plant survival or biomass accumulation for phytoremediation purposes at the Rio Tinto boron mine.</t>
  </si>
  <si>
    <t>Rio Tinto boron mine, Phytoremediation, boron pollution, desert soils, Brassicaceae</t>
  </si>
  <si>
    <t>HavenerR_2013-page1.pdf</t>
  </si>
  <si>
    <t>Jacqueline Howells</t>
  </si>
  <si>
    <t>Microhabitat use of the Eastern fence lizard (Sceloporus undulatus) on the White Sands ecotone.</t>
  </si>
  <si>
    <t>The role of ecology in evolution can be understood by determining how a species adapts to its surrounding environment. Novel environments offer an opportunity to examine how a species adaptively responds to new available resources. One example of a novel environment is White Sands, New Mexico, the largest gypsum dune field in the world. It differs from the surrounding dark soil Chihuahuan desert both biotically and abiotically. I conducted this study the ecotone, which is the ecological transition zone between White Sands and the dark soils. Species that moved to the ecotone are exposed to new ecological pressures and opportunities. I examined relationships between microhabitat use and morphology of the ecotone population of the Eastern fence lizard (Sceloporus undulatus). The population is adapting to the novel ecotone environment. I found no significant correlations between morphology (including body size and brightness) and microhabitat use, (distance from cover, percent foliage cover over perch, and perch height and width) which may indicate that lizards are not evolving morphological traits in response to changes in microhabitat use. However, my data did show evidence of a relationship between percent foliage cover over perch and sex over the mating and non-mating season. During the mating season, females were under more cover than during the non-mating season. Conversely, males were under less cover in the mating season than during the non-mating season. These results indicate how multiple factors including sex and time of season may affect behavioral variation in a population.</t>
  </si>
  <si>
    <t>niche ecology, morphology, mate selection, fundamental niche, realized niche</t>
  </si>
  <si>
    <t>HowellsJ_2013-page1.pdf</t>
  </si>
  <si>
    <t>Charlotte L Hryse</t>
  </si>
  <si>
    <t>Guerrilla Gardening in California’s East Bay</t>
  </si>
  <si>
    <t>The food movement has encompassed many efforts focused on sustainable agriculture, local food systems, and affordable access to healthy food. The highly urbanized San Francisco Bay Area is especially a hub of food activism. Guerrilla gardening is the illegal cultivation of land, and has been used to beautify blighted areas, proliferate green spaces, and grow food locally. The protest group ‘Occupy the Farm’ and their illegal occupation on the Gill Tract have prompted conflicts over urban land use and agriculture, raising questions over the role of guerrilla gardening in broader food movement efforts. I examined the practices, outcomes, and motivations of guerrilla gardeners in the East Bay through nine interviews with gardeners I identified by convenience sampling. Projects occurred on different scales involving individuals, neighborhoods, community-based organizations, and Occupy the Farm. Project contexts and landscapes influenced gardening practices and obstacles faced. I identified outcomes of youth empowerment, community building, and civic engagement from the neighborhood and organization projects. Occupy the Farm presented a model of resisting development pressures and promoting food justice in an urban context through a non-hierarchical and community-driven process. The community scale effects illustrated how guerrilla gardening can facilitate inclusive community organization, expand social capital, and build up local resiliency and assets. Gardeners came from a wide range of gardening backgrounds and demonstrated a breadth and depth of knowledge on food, social justice, environmental, and land related topics. Guerrilla gardeners can serve as informed, critical, and influential actors in the growing food movement.</t>
  </si>
  <si>
    <t>Community gardening, urban agriculture, food justice, green spaces, urban land use</t>
  </si>
  <si>
    <t>HryseC_2013-page1.pdf</t>
  </si>
  <si>
    <t>Janet Hsiao</t>
  </si>
  <si>
    <t>Renewing Urban Streams with Recycled Water: Evaluating the Effects of Tertiary Treated Water on Freshwater Biodiversity</t>
  </si>
  <si>
    <t>Urban water infrastructure should be redesigned to improve ecological conditions by counteracting the deleterious effects of anthropogenic influences on the natural flow regime of streams in Mediterranean climate regions. Calera Creek in Pacifica, California, was selected as a case study of an innovative, small-scale wastewater treatment plant that was designed with the intention to rehabilitate a highly degraded riparian ecosystem to provide both ecological and aesthetic benefits. The effluent released from this treatment plant is tertiary treated through a state-of-the-art process involving a sequencing batch reactor (SBR) and ultraviolet disinfection. This is a higher level of treatment than is often used for discharges to streams and rivers. Quarterly water quality measurements taken by the treatment facility reflected that the effluent is higher in temperature, lower in dissolved oxygen, and lower in ammonia nitrogen than upstream water, depending on the season. Physical habitat surveys showed more optimal habitat downstream of the recycled water output due primarily to increased bank vegetation and higher stream velocity, although the higher flows were provided in unnatural diurnal pulses because of the SBR. Initial assessments using benthic macroinvertebrates as biological indicators revealed a significant decrease in taxa richness in the summer in Calera Creek, a significant increase in % Amphipoda in the spring, and a significant reduction in Shannon diversity in both seasons. Compared to the downstream reach of the reference stream in spring, the downstream reach of Calera Creek was significantly lower in taxa richness, Shannon diversity, %EPT, and higher in %Amphipoda. In contrast, the Shannon diversity index in spring was significantly higher in the upstream reach of Calera Creek than in the upstream reach of the reference stream. In summer, the only significant difference between Calera Creek and the reference site was a lower Shannon diversity in Calera Creek downstream compared to the reference site downstream. This project illustrates that the ecological outcome of a habitat restoration project involving recycled water in a Mediterranean climate region is highly seasonal and such projects will require seasonal considerations. This study will guide future restoration efforts leading to better management of urban watersheds to meet ecosystem needs and protect freshwater biodiversity.</t>
  </si>
  <si>
    <t>flow augmentation, resource recovery, benthic macroinvertebrates, biological monitoring, stream restoration</t>
  </si>
  <si>
    <t>HsiaoJ_2013-page1.pdf</t>
  </si>
  <si>
    <t>Qi Huang</t>
  </si>
  <si>
    <t>Residents’ Perception of Low Impact Development in Berkeley</t>
  </si>
  <si>
    <t>Low Impact Development (LID) has gained credibility in recent decades as a new approach for sustainably managing stormwater in urban cities. Its benefits exceed those of traditional stormwater management by reducing impacts of stormwater runoff on the built environment and restoring natural hydrological processes. In this study, I investigated factors that influence Berkeley residents’ perception of LID using surveys with questions about people’s knowledge, interest, and concerns about LID and stormwater best management practices (BMPs). I also created a stormwater management conceptual design to locate potential sites for future BMP pilot projects and help facilitate LID and its implementation throughout the city. In general, the survey results showed that Berkeley residents supported LID concepts, but had concerns about costs and other factors. To change residents’ perception of LID, education and financial programs can be used to address their concerns and create incentives and opportunities for BMPs. The proposed street BMPs and Aquatic Park constructed wetland designs identified opportunities and choices of implementing BMPs to address impacts of urban stormwater runoff. LID can be adopted in a citywide scale implementation for planning and design of stormwater management and achieving sustainable urban development.</t>
  </si>
  <si>
    <t>urban development, stormwater management, best management practices (BMPs), pilot projects, conceptual design</t>
  </si>
  <si>
    <t>HuangQ_2013-page1.pdf</t>
  </si>
  <si>
    <t>Stephanie Indrieri</t>
  </si>
  <si>
    <t>Land Conservation Organization Strategies concerning Conservation Easements in California</t>
  </si>
  <si>
    <t>Land possesses agricultural, habitat, and production values, which are threatened by development in California and elsewhere. Land Conservation Organizations (LCOs) use conservation easements to protect land from development. LCOs and conservation easements have been increasing since the 1980s despite economic recessions, increased development, and environmental changes. I documented LCO land acquisition and management strategies in different areas of California. I interviewed LCO representatives and indentified the most common and important land conservation strategies. I found that maintaining good community relations played one of the most important roles in the creation of LCOs, and as a response to development and economic pressures. The wording of conservation easement contracts allowed for flexibility in response to both development pressures and environmental change. However, I found tax incentives to be a far less important strategy to attract landowners to donate land than suggested in the literature. Further research is needed to determine what strategies will emerge as changes in landownership and climate occur.</t>
  </si>
  <si>
    <t>development pressure, tax incentives, land-use change, economic pressure, landowner</t>
  </si>
  <si>
    <t>IndrieriS_2013-page1.pdf</t>
  </si>
  <si>
    <t>Kamini P. Iyer</t>
  </si>
  <si>
    <t>Food Security in Rural India: A Case Study of Vadamanappakkam, Tamil Nadu</t>
  </si>
  <si>
    <t>Growing food shortages coupled with rising global demand have created food security crises in many parts of the world. Food security is defined as the availability of food and one’s access to it. Access to food is determined by political and market forces acting on food systems, an individual’s wealth, and their share in food production. Making up 85% of India’s economy, the agricultural sector is crucial to India’s economic and political stability, and a common method for assessing food security in this region consists of scaling up regional models. To address misguided perceptions resulting from inaccuracies inherent in these models, I assessed local food security – specifically those factors that affect access – using Vadamanappakkam, Tamil Nadu as a case study in order to create a model for small-scale assessment. I identified key factors including income levels, role in the food system, education levels of the head of the household, and use of ration cards, in order to quantitatively and qualitatively evaluate access to food in Vadamanappakkam. Individuals with higher incomes spent less of their total income on food as a percentage. Those who lived in a household where the head of the household had completed some form of higher education spent the least percentage of their income on food. Consumers and those with ration cards spent the highest percentage of their income on food. Despite the limitations of this study, Vadamanappakkam serves as a clear example of the importance of localized assessments in understanding the larger agricultural system in India and its implications for global food markets.</t>
  </si>
  <si>
    <t>rural agriculture, food access, agro-industry, regional assessment, Public Distribution System (PDS)</t>
  </si>
  <si>
    <t>IyerK_2013-page1.pdf</t>
  </si>
  <si>
    <t>Austin T. Jones</t>
  </si>
  <si>
    <t>Engineering Subcellular Fluorescence for High-Throughput Microscopy Screening in Microbial Biofuels Production</t>
  </si>
  <si>
    <t>Engineering microbes for biofuels production demands precise control over subcellular localization, cell morphology, motility, and other such phenotypes that are only observable via microscopy. However, screening libraries of subcellular phenotypes using microscopy is currently inefficient and impractical. To bridge the phenotype of interest with the genetic identity of each microscopy-screened library member, we engineered microscopy barcodes (MiCodes) by targeting three fluorescent proteins (RFP, CFP, and GFP) to four organelles (nucleus, cell periphery, vacuolar membrane, and actin) in unique combinations within Saccharomyces cerevisiae. The MiCodes were optimized by selection of organelle shape and fluorescent protein expression creating visually distinct and identifiable cell signatures. The MiCode assembly was completed by iterative Golden Gate cloning, allowing for the engineering of large constructs with interchangeable parts. MiCodes were used to analyze interaction strength of a 36 member leucine zipper library using a bait and prey targeting assay to determine pairwise affinities and find orthogonal protein pairs. By coupling a unique fluorescent signature to each genotype present in a library, MiCodes enable high-throughput library screening using microscopy. MiCodes can be scaled to million member libraries with an automated screening method using script developed on two platforms: MatLab for image acquisition and CellProfiler for image analysis. Using photoactivatable fluorescent proteins and a confocal microscope increases the number of possible MiCodes and accuracy of MiCode identification, further propelling their application to large-scale libraries. MiCodes serve as a tool for synthetic biologists to increase the complexity and harness greater control of metabolic engineering for biofuels synthesis.</t>
  </si>
  <si>
    <t>synthetic biology, leucine zipper, protein interaction, subcellular localization, library screening</t>
  </si>
  <si>
    <t>JonesA_2013-page1.pdf</t>
  </si>
  <si>
    <t>Jennifer B Jong</t>
  </si>
  <si>
    <t>Identifying Xylan Synthesis Genes in Oryza sativa</t>
  </si>
  <si>
    <t>With today’s growing concern for the environment, alternative sources of fuels are being investigated. Current fossil fuels are creating a net positive output of greenhouse gas emissions. Cellulosic biofuels are an excellent source of fuels due to its ability to be a carbon neutral fuel. The most viable source of cellulosic biofuels currently is from perennial crops. Cellulose is currently difficult to extract from cell walls due to its intertwining structure with hemicellulose, lignin and other unfermentable components. In order to maximize efficiency of fermentation, the amount of cellulose needs to be maximized while other components such as hemicellulose minimized. This can be achieved through an understanding of hemicellulose biosynthesis and gene regulation. IRX8, a gene encoding a protein that is proposed to synthesize the reducing end of xylan, a hemicellulose, was found in Arabidopsis. Rice has never proven to have this reducing end of xylan. However, the rice genome has a homolog—here named OsIRX8—which we hypothesized to be a functional equivalent of Arabidopsis IRX8. This study will test function of IRX8 and question the actual function of IRX8. This was done through complementation experiments. OsIRX8 was complemented into Atirx8 and tests were done to examine how well it complemented. Results show that growth rate, amount of xylan in the cell walls, xylem vasculature, and monosaccharide composition between the transformed plants and wild type are similar. This suggests that IRX8 does not function in creating the reducing end because the reducing end is not found in rice. Furthermore, the results identify IRX8 homologs in grasses as potential targets for improving bioenergy crops.</t>
  </si>
  <si>
    <t>cellulosic biofuels, perennial feedstock, hemicellulose, rice, complementation experiment</t>
  </si>
  <si>
    <t>JongJ_2013 -page1.pdf</t>
  </si>
  <si>
    <t>Robin Jae Yun Kim</t>
  </si>
  <si>
    <t>Copper Catalyzed Oceanic Methyl Halide Production</t>
  </si>
  <si>
    <t>Methyl halides are catalysts for stratospheric ozone depletion and their production and uptake has been measured in many of Earth’s biomes. To assess the potential environmental impact of these compounds, it is important to understand their chemical cycling throughout these earth systems. Iron had previously been identified to contribute to methyl halide production in soils and oceans. Copper is able to undergo similar chemical oxidation reactions as iron, but remains to be examined. I conducted tests on seawater samples from the San Francisco Bay, comparing four different treatments that studied the impact of sunlight and copper sulfate addition. I tested samples using a gas chromatograph-mass spectrometer (GC/MS) machine and calculated flux rates for methyl chloride and methyl bromide. Samples with copper sulfate addition and sunlight exposure averaged higher positive flux rates for methyl chloride and methyl bromide than samples in other treatments. Sunlight was discovered to be essential to this reaction as measurements for samples with copper sulfate but without sunlight exposure showed less methyl halide production. Additionally, samples with copper sulfate showed increased production of carbon dioxide and acidification of the water. Three possible mechanisms may underlie the measured methyl halide production reaction: a photochemical reaction utilizing sunlight, a biological reaction, or a suppression of normal uptake processes resulting in overabundant concentrations in the water. Future studies can examine these possibilities to narrow down the cause of the reaction.</t>
  </si>
  <si>
    <t>San Francisco Bay, ocean-atmosphere exchange, photochemical reaction, oxidation reaction, metals</t>
  </si>
  <si>
    <t>KimJ_2013-page1.pdf</t>
  </si>
  <si>
    <t>Annasophie C. Lee</t>
  </si>
  <si>
    <t>Phylogenetic diversity and endemism: metrics for identifying critical regions of conifer conservation in Australia</t>
  </si>
  <si>
    <t>Accurately and sufficiently quantifying biodiversity is integral for conservation. Traditional metrics for measuring biodiversity, species richness (SR) and weighted endemism (WE), do not take into account the evolutionary history of organisms. Phylogenetic diversity (PD) addresses the shortcomings of SR by quantifying the evolutionary connections among the species present in an area. Phylogenetic endemism (PE) addresses the shortcomings of WE and represents the ranges of the branches of the evolutionary tree connecting the species in an area. Australia, with its advanced digitization of spatial reference data is the best model system for quantitative studies of biodiversity at present. I created a phylogeny for the 39 indigenous Australian conifer species using matK and rbcL sequences from GenBank and sequencing the 4 species for which there were no existing data. I used spatial data from Australia’s Virtual Herbarium and removed records of conifers that were not naturally-occurring. I then used Biodiverse v 0.17 to calculate PD, PE and two derived metrics, Relative Phylogenetic Diversity (RPD) and Relative Phylogenetic Endemism (RPE). These metrics identify regions with statistically significantly high or low levels of PD and PE based on randomization tests. The results show that conifer RPD is significantly low on the Northeast coast of Australia, although conifer PD is high in the same region. RPE is significantly high along the Northeast coast, in the same region that RPD is low. Most of these regions are currently encompassed by legally protected Australian Reserves. More precise estimates of biodiversity can be used by conservation policy-makers.</t>
  </si>
  <si>
    <t>Australian endemics, biodiversity conservation, phylogeny, Biodiverse, ArcMap</t>
  </si>
  <si>
    <t>LeeA_2013-page1.pdf</t>
  </si>
  <si>
    <t>Liling Lee</t>
  </si>
  <si>
    <t>The Influence of Edge Effects on Habitat Suitability of Western Meadowlarks in East Bay Regional Park District Grasslands</t>
  </si>
  <si>
    <t>Even though Western Meadowlark is one of the most abundant and widely distributed grassland birds in central and western North America, its population has been steadily declining throughout the U.S. since the 1960s. Despite the increased loss of this grassland bird species, edge effects on the species distribution are poorly understood and acknowledged. Edge effects are the various ecological conditions and interactions that occur when two or more contrasting ecosystems converge. To better understand the influence of edge effects on the habitat suitability of Western Meadowlarks in East Bay Regional Park District (EBRPD), I created an empirical habitat suitability model of Western Meadowlarks using species presence data collected by the EBRPD Grassland Monitoring Project from 2004 to 2011 and landscape variables. Using ArcGIS, I mapped the presence of Western Meadowlarks in relation to distances from woody vegetation and roads. I found a significant correlation between increased Western Meadowlark presence and increased distance to woody vegetation, but no relationship with distance to roads. The loss of Western Meadowlarks with closer woody vegetation suggested that their habitat suitability was negatively affected by woody vegetation encroachment on grassland habitat. Thus, edge environments need to be taken into consideration in Western Meadowlark conservation and management plans to improve habitat suitability.</t>
  </si>
  <si>
    <t>Edge environments, landscape variables, woody vegetation, road, grassland bird</t>
  </si>
  <si>
    <t>LeeL_2013-page1.pdf</t>
  </si>
  <si>
    <t>Paz Lozano</t>
  </si>
  <si>
    <t>Viability of Phytophthora ramorum on California Bay Laurel After Exposure to Temperature Extremes</t>
  </si>
  <si>
    <t>The California Bay Laurel (Umbellularia californica) is one of the primary hosts and vectors for Phytophthora ramorum, the pathogen responsible for sudden oak death (SOD) in California and Oregon’s coastal woodlands. This study focused on the effects of temperature and host-pathogen interactions on the viability and growth rates of P. ramorum. Laboratory infected Bay Laurel cuttings from trees with observed high and low susceptibility, were subjected to hot or cold temperature extremes for seven weeks and P. ramorum growth was determined. The highest P. ramorum growth rates occurred in the cold treatment and the lowest occurred in the hot treatment. Significant negative effects on growth were found to be associated with the hot and control treatments. Tree susceptibility and plot also were variables that had significant effects on growth. Highly susceptible, or “hotspot” trees and plots 8 and 10 all had significant positive effects on P. ramorum growth across all treatments. When the interaction between the variables “tree susceptibility” and “plot” were modeled, I found that “hotspot” trees within plots 8 and 10 had a significant negative effect on pathogen growth. These results suggest that temperature, tree susceptibility, and the local environment all play a role in pathogen growth. With the uncertain future of California’s climate, it is essential to understand how climatic variables affect the viability of such a destructive pathogen as Phytophthora ramorum. With a better understanding of these disease dynamics, we can more accurately predict the effects of climate change on the spread and distribution of sudden oak death.</t>
  </si>
  <si>
    <t>Sudden Oak Death (SOD), Umbellularia californica, forest pathology, climate change, plant diseases</t>
  </si>
  <si>
    <t>LozanoP_2013-page1.pdf</t>
  </si>
  <si>
    <t>Raven J. McGuane</t>
  </si>
  <si>
    <t>Public Perception of Carbon Capture and Sequestration</t>
  </si>
  <si>
    <t>While most Americans have heard of the idea of “clean coal,” very few are well-acquainted with the actual processes behind the concept. When polled about Carbon Capture Sequestration (CCS), the main “clean coal” technology, approval ratings are drastically lower than approval ratings for CCS. The causes of this difference in approval have not been thoroughly investigated previously. In order to determine why Americans tend to disapprove of CCS the more they know about it, I conducted an invention-based survey online via Amazon Mechanical Turk (n=156). Respondents answered a pre-test survey with likert-scale items registering their approval and a short answer section to measure their level of knowledge of CCS. Following the pre-test, the respondents read a 300-word explanation of the goals and methods involved in CCS. The respondents then answered the same survey questions in the pre-test again. This intervention revealed distinct increases in both self-rated knowledge of the technology and actual knowledge of CCS (p&lt;.01) and decreases in overall acceptance (p&lt;.05). Multi-way variance analysis showed that gender and political belief accounted for the majority of differences between respondents. Women tended to alter their acceptance of CCS based upon perceived affordability, conservatives tended to base their opinions mostly upon affordability, and men tended to focus on safety.</t>
  </si>
  <si>
    <t>climate change, public opinion, energy, intervention, de-biasing</t>
  </si>
  <si>
    <t>McGuaneR_2013-page1.pdf</t>
  </si>
  <si>
    <t>Peter J. Moniz</t>
  </si>
  <si>
    <t>The Ecological Benefits of using Recycled Water for Streamflow Augmentation during the Dry Season in Marsh Creek, Brentwood, California</t>
  </si>
  <si>
    <t>While many studies have been done to assess the ecological degradation of streams due to human impact, the potential ecological recovery of highly degraded urban streams through augmentation using recycled water during the dry season has not been thoroughly examined. This case study of Marsh Creek in Brentwood, California, was designed to determine if adding recycled water from the Brentwood Wastewater Treatment Plant (BWTP) to a low-flow, urban stream during the dry season is ecologically beneficial. Habitat assessments and replicated benthic macroinvertebrate samples were taken at five sites along Marsh Creek, upstream and downstream of the recycled water effluent in September, 2012. Upstream and downstream water-quality data for the 2011-2012 water-year was provided by the BWTP. Improvements in habitat and water-quality parameters were observed, particularly increased flow velocity, less sediment deposition, and increased dissolved oxygen downstream. These improvements were likely due to the increase in streamflow provided by the added recycled water. The percent of pollution-sensitive benthic macroinvertebrates also increased downstream of the effluent compared to upstream. A decrease in benthic macroinvertebrate community richness was evident below the effluent compared to above, which can be explained by a reduction in the number of pollution-tolerant taxa. Moreover, the richness increases as one moves further downstream from the outlet, indicating ecological recovery to a more healthy benthic community overall after the recycled water and streamwater is fully mixed. These improvements indicate that adding recycled water from the BWTP to Marsh Creek during the dry season appears to be ecologically beneficial.</t>
  </si>
  <si>
    <t>Benthic macroinvertebrates, water-quality, habitat assessment, urban stream, restoration</t>
  </si>
  <si>
    <t>MonizP_2013-page1.pdf</t>
  </si>
  <si>
    <t>William C. Mumby</t>
  </si>
  <si>
    <t>Getting Our Feet Wet: Water Management at Mt. Laguna in Cleveland National Forest</t>
  </si>
  <si>
    <t>Integrated regional water management (IRWM) helps us to comprehend the ecological, political, and economic complexities of broad watershed regions in California. In this case study, stakeholder theory served as the framework for an assessment of water management at Mt. Laguna, CA, a rural community on the outskirts of San Diego, CA. After identifying stakeholders, I conducted interviews and surveys to gauge perspectives on water management at Mt. Laguna and to develop categories speaking to the major concerns. In addition, I used a document review to help understand the policy framework surrounding water management in this community. I created four categories: water scarcity and access, fire protection, environmental protection and recreation, and costs of infrastructure and water quality testing. A complex, fractured aquifer system led to disagreements about water scarcity in the region, which combined with rule of capture water law to illustrate how unbridled water extraction could lead to stresses and conflict. I identified fire protection as a top priority, demanding extensive water resources in the wake of the Cedar Fire of 2003. The U.S. Forest Service continues to balance conservation and recreational goals through environmental impact assessments. Finally, costs of infrastructure and water quality testing produced great strain on rural communities, particularly those less affluent than Mt. Laguna. To mitigate these conflicts, it is important that stakeholders develop an understanding of each other’s priorities and the ecological realities of the surrounding region, and participate in collaborative management. Low Impact Development measures to conserve water could also help alleviate conflicts.</t>
  </si>
  <si>
    <t>Groundwater, stakeholder theory, Integrated Regional Water Management (IRWM), water scarcity, fire management</t>
  </si>
  <si>
    <t>MumbyW_2013-page1.pdf</t>
  </si>
  <si>
    <t>Hanh Ngoc Nguyen</t>
  </si>
  <si>
    <t>The Significance of Estrogen in Reproductive Copulatory Success in African-clawed Frog (Xenopus laevis)</t>
  </si>
  <si>
    <t>Hormones are a vital component of reproductive processes, intimately acting on both sexes through proteins of pituitary origin that affect the gonads, and steroids of gonadal origin that affect the accessory organs and secondary sexual characters. Reproductive behavioral success is the capability of an organism to outcompete other organisms for a mate and to achieve copulation. Aside from its crucial role in courtship dynamics, testosterone works with its counterpart estrogen to regulate these behaviors. Once released by the testes, testosterone is converted by the aromatase enzyme into estradiol, which then acts similarly in its effect on male behavior. Although the influences of testosterone and estrogen are known in male African clawed frogs (Xenopus laevis), little is known about the minimum amount of estrogen needed to inhibit testosterone and its effects on frog mating behavior. I performed breeding assays to determine how estrogen treatment of male frogs influenced reproductive behavior in both noncompetitive and competitive environments. I found that male frogs treated with estrogen were significantly less likely than non-treated frogs to copulate in a non-competitive setting. However, I found that treated and untreated male frogs achieved reproductive success at equal rates in a competitive setting. Thus, these unexpected results call into question the role of concentrating a specific amount of hormone in understanding how successful reproductive copulation can be achieved. Determining the threshold level of estrogen is necessary to understand the sensitivity of the amphibian endocrinology system and vital to addressing populations drastically affected by minute traces of endocrine disruption compounds.</t>
  </si>
  <si>
    <t>environmental health, endocrine disruption, amphibian reproduction, behavioral sciences, reproductive endocrinology, toxicology</t>
  </si>
  <si>
    <t>NguyenH_2013-page1.pdf</t>
  </si>
  <si>
    <t>Christopher Pavia</t>
  </si>
  <si>
    <t>Benthic Macroinvertebrate Water Quality Metrics and Landscape Variables in the San Francisco Bay Area</t>
  </si>
  <si>
    <t>National Land Cover Dataset (NLCD), geospatial information systems (GIS), benthic macroinvertebrate, landscape characteristic, urbanization, ArcGIS, zonal statistics, Modifiable Areal Unit Problem (MAUP)</t>
  </si>
  <si>
    <t>PaviaC_2013-page1.pdf</t>
  </si>
  <si>
    <t>Shehan Peiris</t>
  </si>
  <si>
    <t>Environmental Education Program Goals and Growth: The Role of Funding, Administrative Capacity, Target population and Program Structure</t>
  </si>
  <si>
    <t>Management of solid waste is a critical problem because current disposal techniques are harmful to the environment and contaminate community resources. Waste management education programs have factors such as funding, administrative capacity, target population and program structure that affect program goal accomplishment and growth. I analyzed program materials from StopWaste.org and Keep America Beautiful and conducted interviews with program officials. I found that program structure and target population did not have a direct affect on programs achieving their goals or growth. However, they both have unintended consequences such as excluding adults from their program and having different methods of teaching waste management education with StopWaste.org’s methods being more effective than Keep America Beautiful’s. Furthermore, I found that program structure can affect the three other factors, while those three can affect program structure as well. Administrative capacity was found to inhibit the goals and growth of Keep America Beautiful, but only growth of StopWaste.org. In addition, administrative capacity affected target population but was influenced by program structure and funding. Limited funding was found to be the most important issue with both waste management education programs and affected all other factors; it only limited growth for StopWaste.org but growth and goals for Keep America Beautiful. Nevertheless, no matter how effective a program can be by solving these specific factors, it will not be enough to overcome the lack of support many schools give to waste management education programs. It must become a core-requirement in schools to be effective.</t>
  </si>
  <si>
    <t>Keep America Beautiful, StopWaste.org, waste management education, K-12 schools</t>
  </si>
  <si>
    <t>PeirisS_2013-page1.pdf</t>
  </si>
  <si>
    <t>Matthew J. Perryman</t>
  </si>
  <si>
    <t>Evaluating the Invasive Potential of South American Spongeplant, Limnobium laevigatum (Humboldt and Bonpland ex Willdenow) Heine, in California’s Sacramento-San Joaquin Delta</t>
  </si>
  <si>
    <t>My project sought to rank the competitive ability of spongeplant among two resident floating plants, water hyacinth and pennywort. I harvested all three plants from Big Break in Oakley, California and then grew the plants in a greenhouse in Berkeley, California. I ranked each plant according to their ability to inhibit the growth of others and their ability to vegetatively reproduce. Additionally, I evaluated the importance of density on growth rates. To account for future conditions, arising from a change in water management or through natural processes, I then ran a similar experiment under elevated salinity. I hypothesized that the South American invaders, spongeplant and water hyacinth, would outperform the native pennywort; but that that pennywort would receive the biggest boost from a return to more natural conditions to which it has evolved. None of the plants were able to inhibit the growth of others (p &gt; 0.05) and density had no impact on growth rate (F (4, 44) =1.146, ns). Water hyacinth was the superior competitor in the first experiment followed by spongeplant, with pennywort in last (F (2, 44) = 3.48, p &lt; 0.05). I was surprised to find that the newest invasive, spongeplant, became the superior competitor under elevated salinity (F (2, 15) = 15.82, p &lt; 0.001). This project validates the state’s rush to eradicate spongeplant before it becomes established. Future conditions on the Delta will promote a successful invasion by spongeplant.</t>
  </si>
  <si>
    <t>Hydrocotyle umbellata, Eichhornia crassipes, salinity, competition, Relative Competitive Intensity Index (RCI)</t>
  </si>
  <si>
    <t>PerrymanM_2013-page1.pdf</t>
  </si>
  <si>
    <t>Kanesha Pompey</t>
  </si>
  <si>
    <t>The Use of Compost as an Inhibitor of Phytophthora ramorum in Soil</t>
  </si>
  <si>
    <t>Oak trees bring in more than $500 million to California alone from timber. Plaguing this million-dollar industry is Sudden Oak Death (SOD), caused by Phytophthora ramorum, an oomycete that can survive in leaf tissue and soil. There are currently chemical treatments in use to control SOD but non-chemical methods are being sought. Compost may be a viable solution that can control SOD by introducing microorganisms that compete with P. ramorum. Thus, I examined the effectiveness of compost treatment in real forest systems infected with P. ramorum. I conducted three rounds of soil collections around infected Bay laurel and Tan oak trees in a San Mateo County, CA watershed: pre-compost, one week after compost application, and one month after compost application. For each soil sample, I quantified P. ramorum growth. I conducted a Taqman real time PCR to determine if P. ramorum DNA was present in soil but unculturable. I also conducted a microorganism colony count to see if compost introduced new microorganisms into the soil. I found a 55% P. ramorum prevalence in round one; a 50% prevalence in round two, and 14% prevalence in round three; rounds one and two did not have a statistically significant difference from each other however, round three had significant difference of P. ramorum growth from rounds one and two. These results show that compost may be affective in reducing P. ramorum in soil, however length of compost application may be an important factor. More studies should be done on the effectiveness of compost.</t>
  </si>
  <si>
    <t>bioremediation, Taqman real time PCR, Biocontrol, Sudden Oak Death, organic solutions</t>
  </si>
  <si>
    <t>PompeyK_2013-page1.pdf</t>
  </si>
  <si>
    <t>Alana Reese</t>
  </si>
  <si>
    <t>Analyzing the efficacy of wetland mitigation using a Black-crowned Night Heron population in Long Beach, California</t>
  </si>
  <si>
    <t>The National Environmental Protection Act (NEPA) was enacted in the early days of the environmental movement to ensure that development projects would not destroy the planet’s resources for future generations. However, the requirements in the legislation are often vague and it is up to researchers to determine effective scales and time frames for projects, making it possible that NEPA is ineffective in selecting the best option of many alternatives for the environment. I used a case study of Black-Crowned Night Herons (Nycticorax nycticorax) that had been relocated in Long Beach, California, in the late 1990s to address this possibility. At the time, several sites were considered as potential relocation sites. I looked at these sites today and used GIS to create suitability maps of each site to determine whether they would be considered well-suited to the herons nesting, breeding, and feeding requirements in the present day. I found that the sites had changed in ranking since they were first ranked in 1996, and the site that I determined was the best choice for relocation today was not the site chosen in the 1990s. This indicates that longer monitoring periods should be required to gain as much information about future changes to sites as possible, and post-hoc monitoring should also be required under NEPA and similar legislation to ensure that projects continue to meet their desired goals while still conserving the environment.</t>
  </si>
  <si>
    <t>Geographic Imaging System (GIS), suitability analysis, opportunity, constraint, National Environmental Protection Act of 1969 (NEPA)</t>
  </si>
  <si>
    <t>ReeseA_2013-page1.pdf</t>
  </si>
  <si>
    <t>Lauren C. Reyes</t>
  </si>
  <si>
    <t>Ford and General Motors Corporate Sustainability Reports: A Critical Discourse Analysis</t>
  </si>
  <si>
    <t>The environmental discourse of corporate polluters affects the perceptions and practices of actors regarding human relationships with the environment, and suggest a vision of sustainability in accordance with a corporate agenda of sustaining economic growth through supply chain sustainability. Corporations disseminate their environmental discourse through Corporate Sustainability Reports to convey an image of progress towards environmentally conscious practices. This study investigates the reports of the two largest auto-manufacturers in the U.S., Ford and GM, to assess how each company frames their environmental performance and how they define sustainability. To do this, I performed a quantitative analysis through an indexing system and a qualitative critical discourse analysis. I determined that these companies constitute their practices through a discourse of Sustainable Development, which is founded upon modernist ideals, but incorporates post-modernist principles. Modernism refers to ideologies that are based upon capitalist institutions with centralized authoritative actors who rely on science, technology, and the accumulation of wealth as solutions to externalities such as environmental degradation. While, post-modernism acknowledges that science is flawed due to its decontextualized nature and thus promotes holistic measures of research and that prioritizing profits is counterproductive to realizing sustainability. Post-modernism also rationalizes a power regime that is democratic and incorporates diverse interests in decision-making, rather than leaving decisions to capitalists and politicians. In effect, Ford and GM promote a form of sustainability that solely caters to their financial bottom line, while convincing its stakeholders that this is the ‘true’ way to achieve sustainability.</t>
  </si>
  <si>
    <t>CDA, Sustainable Development, Post-Modernism, Modernist, Triple Bottom Line</t>
  </si>
  <si>
    <t>ReyesL_2013-page1.pdf</t>
  </si>
  <si>
    <t>Brian Rodriguez</t>
  </si>
  <si>
    <t>Ozone and Carbon Dioxide in Oakland: Assessing the Exposure within Census Tracts</t>
  </si>
  <si>
    <t>Various findings have established the relationship between socio-economic status and air pollution. However, some studies have brought up the need to collect more data because sparse data can lead to an unreliable use of spatial techniques and thus unreliable results. This study addresses this issue by using Project BEACON, a monitoring network designed to collect data on greenhouse gas emissions through the use of a denser distribution of monitors. Project BEACON has deployed 14 monitors throughout Oakland, California, and is set to establish more in the near future. Given the density in the monitoring sites' distance to each other, I expected that Project BEACON would provide more reliable results than using the Environmental Protection Agency's Air Quality System (AQS). In this study, I set out to supplement the existing air pollution dataset, by using spatial interpolation to create a spatial map of the distribution of carbon dioxide concentrations given Project BEACON. Moreover, I conducted a preliminary exposure assessment, and determined which areas in Oakland experienced the highest concentrations in carbon dioxide and ozone. I found that ozone distribution within Oakland was not high enough to be classified as detrimental to human health. I also found that carbon dioxide concentration was highest near freeway corridors, like the I-580 and I-880. Furthermore, I found that carbon dioxide concentrations were highest in six census tracts that reported 34.23%, 34.99%, 5.25%, 12.85%, 61.41%, and 45.47% of households living under the U.S. poverty line.</t>
  </si>
  <si>
    <t>ArcMap, socio-economic status, spatial analysis, environmental justice</t>
  </si>
  <si>
    <t>RodriguezB_2013-page1.pdf</t>
  </si>
  <si>
    <t>Eric P. Rubin</t>
  </si>
  <si>
    <t>How Personalized Normative Feedback Affects Home Thermostat Settings</t>
  </si>
  <si>
    <t>Personalized Normative Feedback (PNF), personalized comparison to the average behavior of peers, has been shown to reduce residential energy use, but the underlying psychological mechanism is not well understood. To evaluate the merits of the Theory of Changing Normative Beliefs relative to the Focus Theory of Normative Conduct, I used Amazon’s Mechanical Turk to administer PNF about home thermostat settings to Chicago residents. From November 2012 to March 2013, I surveyed subjects about settings, normative beliefs, demographics, habits, and motivations and administered PNF to my treatment group (n = 16) but not my control (n = 8). I then followed up with subjects over a month later to find their new settings and beliefs. Subjects’ change in setting was not significantly predicted by initial setting. Normative beliefs were positively correlated with initial settings (R² = 0.48, F(1,37) = 33.9, p &lt; 0.0001) and significantly improved a multivariate model of setting (ANOVA: F(1,11) = 5.49, p &lt; 0.05). For the treatment group but not the control group, change in beliefs was negatively correlated with initial beliefs (R² = -0.42, F(1,14) = 10.13, p &lt; 0.01) and change in behavior was positively correlated with change in beliefs (R² = 0.46, F(1,14) = 11.96, p &lt; 0.01). The greatest decrease in settings came from subjects in the treatment group (n = 2) who initially believed the average setting was high and whose beliefs moved toward the norm conveyed by PNF. Overall, this pilot study supports the validity of the normative belief concept and offers preliminary support that PNF can affect repeated, private conservation behaviors by changing normative beliefs.</t>
  </si>
  <si>
    <t>normative beliefs, misperception, Focus Theory of Normative Conduct, Social Norms Theory, Opower</t>
  </si>
  <si>
    <t>RubinE_2013-page1.pdf</t>
  </si>
  <si>
    <t>Ryan A. Salladay</t>
  </si>
  <si>
    <t>Herbivory Defense of Island Plants and their Mainland Relatives</t>
  </si>
  <si>
    <t>It is generally hypothesized that over evolutionary time island plant communities develop reduced herbivory defense traits in the absence of herbivores. However, few studies have actually measured differences in herbivory traits between island and mainland plant communities, and no studies have been done in the southern Channel Islands, California. I compared the herbivory defense traits (spinescence, leaf toughness, and cyanogenic glycosides) of plant communities on Santa Catalina Island with those in the Santa Ana Mountains. Additionally, I did a feeding preference test using goats to measure the palatability of plants from the two locations. I found that plants on Santa Catalina Island had lower levels of spinescence than the plants in the Santa Ana Mountains. Leaf puncture strength was also lower on Santa Catalina Island, while leaf mass per area was similar between the two sites. I observed no difference in cyanogenic glycoside concentrations between the two locations. During the feeding preference tests, goats preferred the plants from Santa Catalina Island over plants from the Santa Ana Mountains. Overall, the island plants had reduced herbivory defense traits, and were more preferred by goats. This phenomenon may be explained by a long historical absence of native mammalian herbivores, as well as several other factors associated with island climate.</t>
  </si>
  <si>
    <t>cyanogenesis, feeding preference, spinescence, leaf toughness, chaparral</t>
  </si>
  <si>
    <t>SalladayR_2013-page1.pdf</t>
  </si>
  <si>
    <t>Esther A. Santacruz Acuna</t>
  </si>
  <si>
    <t>Urban agriculture policies in the Bay Area cities of Berkeley, Hayward, Oakland, Richmond, San Francisco, and San Jose, California</t>
  </si>
  <si>
    <t>In recent decades, there has been a shift in the food system, moving from a conventional and commercial food system to a more sustainable one. Urban agriculture is a way of moving towards a sustainable food system that addresses food sovereignty and the issues that come along with it. With regulatory policies, cities can promote urban agriculture and eliminate any barriers to ensure public safety. Although there are existing documents that provide guidelines on how to adopt urban agriculture policies, it is unclear if and how different municipalities, in particular those in California’s Bay Area, have and will in the future develop urban agriculture policies. In this study, I document urban agriculture policies in six different Bay Area cities and compare each city’s urban agriculture policies to a document suggesting policy guidelines, as well as to each other, to see if and in what ways their policies are serving their communities by facilitating and/or establishing barriers to the development of urban agriculture. Results showed that San Francisco and Oakland appeared to be the most developed cities in terms of urban agriculture policies. The difference between these two being the overall goal each city is trying to accomplish through urban agriculture. Any city wishing to adopt urban agriculture policies can look to San Francisco or Oakland to see how existing policies aid in urban agriculture and facilitate the creation of such policies in their own cities.</t>
  </si>
  <si>
    <t>municipal code, ordinance code, home gardens, community gardens, urban farms</t>
  </si>
  <si>
    <t>SantacruzE_2013-page1.pdf</t>
  </si>
  <si>
    <t>Michael J. Scott</t>
  </si>
  <si>
    <t>Evaluation of Overwintering Habitat of the Western Grape Leafhopper (Erythroneura elegantula) in and around North Coast Vineyards</t>
  </si>
  <si>
    <t>The Western Grape Leafhopper (E. elegantula) can be a very destructive vineyard pest when in high enough concentrations. Though there is a lot known about how to manage them in vineyards during the growing season, not much is known about where they go during the overwintering phase of their life. I found out where these pests go during this period by sampling them with a D-Vac over a four month period to get rough estimates of what plants they are found on and in what numbers. E. elegantula was found on a number of plants such as California Buckeye and Ceanothus, they were found in very high densities on mint, which was the only statistically significant species after using a Two way Tukey HSD.</t>
  </si>
  <si>
    <t>overwintering, leafhoppers, Erythroneura elegantula, vineyard, grapes</t>
  </si>
  <si>
    <t>ScottM_2013-page1.pdf</t>
  </si>
  <si>
    <t>Thomas Siu</t>
  </si>
  <si>
    <t>Bed Bugs Infestations and College Student Social Behavior in Berkeley, California</t>
  </si>
  <si>
    <t>The common bed bug, Cimex lectularius, has made a resurgence in the past decade with rapidly increasing rates of infestation in urban housing units. Bed bugs are especially problematic in areas of high population densities, such as college campuses. This study examined the relationship between previously-identified risky behaviors for bed bug infestation and rates of infestation. I distributed a survey to current and past students of the University of California, Berkeley with the goal of assessing these behaviors and sampling the rates of bed bug infestation at UC Berkeley. I also looked at the relationship between the type of housing and their correlations with the likelihood of infestation. Out of 214 survey respondents, 29 had experienced bed bugs in the past. People who lived in cooperative housing and campus dormitories were significantly more likely to have had bed bug infestations than people who lived in apartments, houses, and Greek housing. The survey also established a connection between certain risky behaviors, including introducing second-hand furniture into the household and acquiring bed bug infestations. These findings show that communal and high-density residences should be a priority for researching bed bug infestations.</t>
  </si>
  <si>
    <t>Bed bugs, epidemiology, environmental health, UC Berkeley, infestation</t>
  </si>
  <si>
    <t>SiuT_2013-page1.pdf</t>
  </si>
  <si>
    <t>Natalie Solares</t>
  </si>
  <si>
    <t>The Influence of Vegetative Diversity on the Natural Control of Lygus hesperus by Geocoris spp. in Organic Strawberry Farms</t>
  </si>
  <si>
    <t>Diversified agricultural systems have shown promising benefits for increasing biodiversity and ecosystem services. Integrating knowledge about the effects of landscape and local vegetation on pest suppression can improve potentially costly and toxic pest management in agroecosystems. The western tarnished plant bug, Lygus hesperus, (Hemiptera: Miridae), is currently heavily studied in efforts to minimize the extensive damage it causes to strawberry fruit systems. This study will present the relationships between landscape and local vegetative diversity and L. hesperus pest suppression in organic strawberry farms in Central Coast California. Fifteen organic strawberry systems were evaluated. In the first sample round I compared monoculture strawberry farms in an agriculturally intensive landscape and polyculture strawberry farms surrounded by bountiful natural habitat. For the second sample round I included monoculture farms surrounded by bountiful natural habitat and polyculture farms in an agriculturally intensive landscape were compared to explore L. hesperus pest pressure and damage to strawberries. The abundance of a L. hesperus natural enemy, Geocoris spp. (big-eyed bug), were compared to abundance of L. hesperus and fruit damage in all four farm site types to examine the interaction between vegetative diversity and natural pest control. My results show that crop diversity is more important than landscape diversity for determining L. hesperus and Geocoris spp. abundance in organic strawberry farms. Furthermore, landscape complexity and crop diversity did not directly influence fruit damage. It can be concluded that vegetative diversity may indirectly affect fruit damage by influencing pest abundance, which is directly associated with fruit damage.</t>
  </si>
  <si>
    <t>Landscape ecology, crop diversity, agroecosystems, Lygus hesperus, edge effects</t>
  </si>
  <si>
    <t>SolaresN_2013-page1.pdf</t>
  </si>
  <si>
    <t>Crystal L. Sun</t>
  </si>
  <si>
    <t>Organic Waste Diversion and Greenhouse Gas Mitigation at UC Berkeley</t>
  </si>
  <si>
    <t>Each year, excessive amounts of trash are dumped into landfills that can harm the immediate environment and climate through the emission of greenhouse gases (GHG). Since landfilled waste is comprised largely of potentially compostable organic waste, alternative waste management systems can reduce the environmental impacts of landfills. By reducing the GHG impact of the waste sector at UC Berkeley, the campus can move forward in its emission and waste reduction goals. I assessed UC Berkeley’s campus composting potential and calculated the GHG reduction possible by maximum organic waste diversion. Using waste audits of a few representative buildings on the core campus, I calculated organic waste diversion potential for buildings based on their building use and occupancy levels. On a campus level, the compost diversion potential was 46.7% of the landfill waste, which could lead to a 45.8% decrease in GHG emissions from landfill waste. Comparing the amount of waste produced by different building types, I found that buildings categorized as “classroom/administration,” “classroom” or “administration” have the highest composting potentials. By creating a waste generation map in GIS, I proposed that these buildings be targeted as new sites for additional composting stations as a possible step the university can take to move toward its sustainability and zero waste goals that are as of yet out of reach.</t>
  </si>
  <si>
    <t>compost, landfill, emissions, Waste Reduction Model (WARM), geographic information systems</t>
  </si>
  <si>
    <t>SunC_2013-page1.pdf</t>
  </si>
  <si>
    <t>Jenny Tang</t>
  </si>
  <si>
    <t>Ambient and Soil-Gas Assessment of Geothermal Hydrogen Sulfide (H2S) and Methane (CH4) in Clearlake, CA</t>
  </si>
  <si>
    <t>Geothermal gases are present in ambient air around volcanoes because of increased nearby tectonic plate movements. At high levels many of these gases are toxic and become public health hazards. In Clearlake, CA, a city roughly 35 km away from an active volcano, citizens have expressed concern regarding geothermal hydrogen sulfide (H2S) and methane (CH4) venting. In response, I worked with the California Department of Public Health (CDPH) and Lake County Department of Public Health (LADPH) to conduct an ambient gas CH4 and H2S assessment of a residential neighborhood. I used soil-gas data in the same study site and examined the correlation between soil-gas and ground-level measurements. In ground-level open air, the average H2S concentration ranged around 1-3 parts per billion (ppb), and CH4 concentrations were under the instrument’s detection imit. Ground-level enclosed spaces had higher average gas concentrations and larger variability, with an H2S range of 0-100,000ppb, and a CH4 range of 0-500 % Lower Explosive Limit (%LEL). To compare ground level data with soil-gas data, I used ArcMap’s ordinary kriging tool to estimate the ambient air and soil concentrations at the same spatial points and used the “extract values to point from raster” tool to compare the measured values with the corresponding estimated value. Positive correlations between soil-gas H2S and CH4 measurements and non-zero ground-level enclosed-spaces H2S and CH4 measurements were found (H2S R-squared .618, P-value 5.23e-6, and CH4 R-squared .2462 and P-value .01515), meaning that non-zero enclosed space measurement could indicate high soil-gas concentrations.</t>
  </si>
  <si>
    <t>Geothermal gas, gas venting, volcanic gases, kriging, public health, Lake County</t>
  </si>
  <si>
    <t>TangJ_2013-page1.pdf</t>
  </si>
  <si>
    <t>Kathleen C. Tom</t>
  </si>
  <si>
    <t>Quantifying Hedgerow Effects on Native Bee Movement</t>
  </si>
  <si>
    <t>Pollination is an essential ecosystem service that can be met in a variety of ways. Though honey bees represent the most common agricultural pollinators, native bees offer an alternative pollination option that could address concerns about threats to commercially managed honey bee colonies and their pollination service. The presence of native bees in agriculture represents a type of biological insurance for honey bee pollination, in the event of population decline. The extent of this insurance is predicated on native bees’ pollination potential, which has not yet been quantified. The economic benefits of native bees are difficult to determine without greater knowledge of their movement patterns in agricultural fields. I found that in hybrid sunflower fields, native bees foraged further into fields bordered by hedgerows of native vegetation than in similar fields without these enhancements. Though both site types exhibited greater abundances of bees along the edge of the field than inside, native bees were observed moving greater distances at sites with nearby native habitat. Hedgerows seemed to buffer the natural declines in bee visitation that occurred with increasing distance into fields, resulting in a greater observed movement of bees in hedgerow fields. Native vegetation could be essential for promoting the presence of native pollinators in agriculture, a goal that could have dramatic effects on stabilizing pollination services and ensuring agricultural yields to feed a growing global population.</t>
  </si>
  <si>
    <t>pollination, hybrid sunflower, honey bee, biodiversity, generalized linear mixed model</t>
  </si>
  <si>
    <t>TomK_2013-page1.pdf</t>
  </si>
  <si>
    <t>Katrina C. Z. Velasco</t>
  </si>
  <si>
    <t>Self-Organizing Step-Pool System Restoration in Wildcat Creek in Tilden Park, Berkeley, California: Benthic Macroinvertebrate Community Response</t>
  </si>
  <si>
    <t>To stabilize stream bed channels and maximize its maximum biological community potential, stream restoration projects should closely heed to a stream’s natural geomorphology. The objectives of this study are to 1) study how in-stream habitats form in high-gradient stream systems and 2) examine how benthic macroinvertebrate (BMI) communities form along with these in-stream habitats. To collect BMIs, I used a hard-frame D-net at reference and experimental reaches. After calculating bioassessment metrics using the BMI data, I used an analysis of variance (ANOVA) to analyze reference and experimental reach similarities and to examine how in-stream habitats differed with pre- and post- restoration BMI data. The two-way ANOVA between pre-restoration experimental and reference bioassessment metrics were generally not significantly different (p &gt; 0.05), in contrast to post-restoration data. The three in-stream habitat types (e.g., pools, steps, and riffles) were significantly different (p &lt; 0.05) for most pre-restoration bioassessment metrics. Non-metric multidimensional scaling (NMS) was also used to compare all pre- and post- restoration BMI communities concurrently. Post-restoration in-stream habitat types were generally not significantly distinct among one another. The NMS community analysis suggests that post-restoration in-stream habitat communities were more similar than pre-restoration conditions due to seasonality and underdeveloped in-stream habitat structures caused by the restoration.</t>
  </si>
  <si>
    <t>high-gradient stream, urban system, geomorphological significance, stream engineering, bioassessment</t>
  </si>
  <si>
    <t>VelascoK_2013-page1.pdf</t>
  </si>
  <si>
    <t>Lara Veylit</t>
  </si>
  <si>
    <t>Testing the Toxicity of Organic and IPM Compatible Insecticides on Anagyrus pseudococci, a Parasitoid of the Vine Mealybug, Planococcus ficus, Over Multiple Generations</t>
  </si>
  <si>
    <t>This study seeks to understand the effects of three chemicals on the reproductive fitness of the parasitoid Anagyrus pseudococci used to control the vine mealybug, Planococcus ficus. JMS Styet Oil and PyGanic are chemicals compatible with an organic pest management system, while Movento is compatible with an Integrated Pest Management (IPM) management system. Fecundity was used as a measure of the effect of the chemicals over three generations to give a holistic view of the effects of the pesticides. This study system will mimic a sprayed vineyard in California where these chemicals are sprayed to control the vine mealybug and where A. pseudococci are introduced as biological control agents. Both organic pesticides-JMS Stylet Oil and PyGanic-had 100 percent mortality while the Movento treatment had no significant difference in offspring emergence from the control treatment. This indicates the need for further research into the effects of organic pesticides that have little data on their effects on specific species of biological control agents. These results are important for vineyard managers as incompatible pest management approaches have economic implications, making the labeling of pesticides very important and in need of improvement.</t>
  </si>
  <si>
    <t>Integrated Pest Management, alternative pest management, multigenerational study, biological control, fecundity, toxicity bioassay</t>
  </si>
  <si>
    <t>VeylitL_2013-page1.pdf</t>
  </si>
  <si>
    <t>Gabriella M. Vozza</t>
  </si>
  <si>
    <t>Riverbed Filtration Clogging at Wohler on the Russian River, Sonoma County, California</t>
  </si>
  <si>
    <t>Riverbed Filtration Systems (RBFs) are low cost and sustainable alternatives to traditional drinking water treatments. RBFs naturally provide water by inducing surface water to flow through riverbed soils to pumping wells in the adjacent aquifer. As water percolates through the riverbed, bed sediments and aquifer material act as natural filters to remove contaminants. Despite the advantages of RBFs, riverbed clogging is a challenge that prevents optimal filtration. The RBF on the Russian River in Sonoma County, California (operated by the Sonoma County Water Agency (SCWA)) provides a study site to examine this challenge. In this study part of Lawrence Berkeley National Laboratory’s RBF research, I determined if clogging of the Russian River RBF is due to sedimentation (an increase in the presence of smaller particles on the riverbed) during the dry season when SCWA erects an inflatable dam. Using cryogenic coring to retain undisturbed riverbed samples, I collected samples during May, September, and November to evaluate seasonal and spatial grain size distribution changes. I then performed sieve analysis to determine grain size distributions, used the Microsoft Excel plug-in GRADISTAT to calculate sample statistics, and calculated hydraulic conductivity. Overall, the grain size distribution plots did not show a fining over the study period except for the top sections of the riverbed. These results do not conclude that sedimentation of fines is the primary clogging mechanism of the Russian River RBF. Other clogging dynamics must play a role during the summer dry months.</t>
  </si>
  <si>
    <t>Hydraulic conductivity, water supply, cryogenic coring, seasonal sedimentation, grain size distribution</t>
  </si>
  <si>
    <t>VozzaG_2013-page1.pdf</t>
  </si>
  <si>
    <t>Toby Haass Walpert</t>
  </si>
  <si>
    <t>Measuring Residential Natural Gas Leakage and its Impact on CH4 Emission Inventories in California</t>
  </si>
  <si>
    <t>CH4 is a very potent greenhouse gas but its emissions are not well understood. Previous studies have shown that the current estimates of CH4 emissions vastly underestimate emissions throughout California, including in urban areas. Natural gas, comprised of &gt;90% CH4, is used in more than 10 million homes in the state. However emission inventories assume combustion of all this natural gas, resulting only in CO2 emissions. Thus residential natrural gas had not been measured for CH4 emissions. This study examines CH4 leakage in residences. To determine its impact, I measured leakage rates at 5 houses in the San Francisco Bay Area with a methane analyzer and a blower door. I found a rate of 4.24 ± 2.62 cc/min house-level leakage. This accounts for 1.1% of current California emissions inventories when scaled up to statewide emission levels. I also found during my tests that some natural gas appliances, especially on-demand water heaters, emit CH4 while in use at a far greater rate than the steady state leakage found in my tests. It is clear from this study that residences are emitting CH4 that has been previously ignored by emission inventories. Future research is needed on the residential natural gas system appliances to determine the total magnitude of residential CH4 emissions.</t>
  </si>
  <si>
    <t>methane, house, greenhouse gas, on-demand water heater, tankless water heater</t>
  </si>
  <si>
    <t>WalpertT_2013-page1.pdf</t>
  </si>
  <si>
    <t>Benjamin P. Weise</t>
  </si>
  <si>
    <t>A Train to Nowhere? California Editorial coverage of the California High-Speed Rail System</t>
  </si>
  <si>
    <t>The California High-Speed rail system has been a highly contentious issue, particularly in the context of sweeping political and economic changes since its initial proposal in 2002. Given the controversial nature, editorials represent an excellent measure of public opinion and concerns. Little has been done however to critically analyze these editorials. This thesis examines how newspapers editorial have used discursive techniques to represent and promote differing opinions and agendas. I performed a Critical Discourse Analysis focused on the discursive elements and argument frames of editorials. I also analyzed these editorials over time to detect changes in discourse and frames from the rails initial conception in 2002 to its first phase of construction in 2013. I found that the authors primarily framed their arguments by focusing on either fiscal costs or multiple benefits. I also found that the discourse tended to omit facts and figures when it would hurt their argument. Many editorials focused on the real dollar cost of the high-speed rail and frequently cited what the cost of construction at the time of the article would be. This is in direct contrast to the other dominant frame that championed the multiple benefits of the high-speed rail like job creation, environmental benefits, future benefits, etc. without citing any actual facts or numbers. This type of discourse analysis using editorials and letters to the editor offers a unique way to view the issues that newspaper readers feel is the most important and as such should be considered first and foremost.</t>
  </si>
  <si>
    <t>critical discourse analysis (CDA), newspapers, politics, editorials, Letters to the Editor</t>
  </si>
  <si>
    <t>WeiseB_2013-page1.pdf</t>
  </si>
  <si>
    <t>Sara Winsemius</t>
  </si>
  <si>
    <t>Plant-Soil Interactions and Implications for Restoration of Coastal Sand Dunes in Point Reyes National Seashore</t>
  </si>
  <si>
    <t>The invasion of exotic species is one of the most predominant threats to biodiversity worldwide. Carpobrotus edulis and Ammophila arenaria are two common invasives at Point Reyes National Seashore, where restoration projects are done to protect the sensitive dune habitat and rare species. Methods of restoration I studied are manual pulling of C. edulis and a mechanical flipping of sand to bury A. arenaria. I examined the effects of plant-soil feedbacks after types of restoration of C. edulis and A. arenaria, and how the changes may affect the re-growth of two rare plants, Layia carnosa and Monardella undulata. I ran three studies: 1) Soil nutrient analyses under native and C. edulis dune soil; 2) A greenhouse study of whole field sand to examine the growth of the two native species in three types of restored soil and in native soil; and 3) An inoculum greenhouse study to specifically test for microbial interactions. Significantly more seeds germinated in native soil than the flipped treatment, with minimal germination in the C. edulis treatments. The greenhouse studies show that removing C. edulis duff can help the growth of native plants, while plants grew significantly less in the flipped treatment than in the native soil. I found similar effects in the microbe study, which shows microbes ought to be considered as plant-soil feedback when performing and monitoring restoration projects. The results of this study will be used by Point Reyes National Seashore to guide restoration projects to benefit native dune plants.</t>
  </si>
  <si>
    <t>Carpobrotus edulis, Ammophila arenaria, habitat restoration, invasive species, soil parameters, alien plants, seedling establishment</t>
  </si>
  <si>
    <t>WinsemiusS_2013-page1.pdf</t>
  </si>
  <si>
    <t>Amanda M. Wolf</t>
  </si>
  <si>
    <t>Urban Form and Travel Behavior: Case Study of Avalon Walnut Creek Transit Village</t>
  </si>
  <si>
    <t>The coordination of land use and transportation can supplement climate change mitigation strategies by promoting policies that decrease sprawl and associated automobile use. Transit Oriented Developments (TODs) try to achieve this with high-density housing, lower parking requirements and mixed land uses close to transit. Convenient access to transit has been shown to significantly reduce vehicle-miles traveled (VMT) and increase transit ridership. While the benefits of TOD are well understood, more can be learned about existing TODs and progressive parking implementation. In this study, I explored whether 1) travel mode choice changed since residents moved to Avalon Transit Village and if 2) lower parking development standards adequately meet demand. I surveyed 418 households about their demographics, means of transportation, work and non-work travel relative to their previous residence, and obtained feedback on transit and Avalon. My results indicated that Avalon is successful in increasing BART ridership and decreasing car usage to work. Respondents with employer-provided free parking drove rather than using BART. Non-work trips shifted favorably for recreational trip purpose most likely due to the site infrastructure. Residents noted convenience to transit, work, and freeway as the primary reasons for moving there. While this demonstrates self-selection bias, it also shows a growing demand to live in accessible locations. Avalon provides a successful example of reducing work trips, however, further development, especially at vacant retail spaces, is needed to reduce vehicular non-work trips. Avalon additionally exemplifies a successful implementation of progressive parking requirements, which BART can reference as they implement more TODs.</t>
  </si>
  <si>
    <t>Transit oriented development (TOD), Contra Costa Center Transit Village, mode choice, parking development standards, greenhouse gas emissions</t>
  </si>
  <si>
    <t>WolfA_2013-page1.pdf</t>
  </si>
  <si>
    <t>Rebecca A. Wong</t>
  </si>
  <si>
    <t>The role of pollen identification in examining butterfly pollination networks</t>
  </si>
  <si>
    <t>Pollinator-plant mutualisms have resulted with developed plant characteristics designed to encourage pollinators to provide pollination services. These mutualisms are particularly noteworthy as 87% of all flowering plants and 75% of all crop plants are positively influenced by animal pollination. According to this pollination syndrome model, most pollinators would be considered specialized with respect to their entire floral community, as they most frequently visit flowers with particular characteristics. However, there is increasing evidence indicating that pollinators are more generalized than once believed. Understanding the structure of pollination networks is key to uncovering the true level of specialization within that network; thus I investigated whether the incorporation of pollen analysis can provide a more accurate representation of the total pollinator-plant interactions than visual surveys alone. I analyzed pollen on 75 butterfly specimens collected from five meadows in the Madrean Sky Islands and compared the pollinator-plant interactions recorded in the pollen to the interactions observed in the field. I found that the pollen data provided a record of more pollinator-plant interactions than the observation data. The pollen data revealed that most species were more generalized than they appeared in the observation data, because I was able to identify additional floral interaction partners that visual surveys missed. The incorporation of pollen data created a more complex network structure, and as a result should be taken into consideration when conducting network studies to allow for more clarity on the level of pollinator specialization within the network.</t>
  </si>
  <si>
    <t>Specialization, generalization, modularity, plant-pollinator interactions, pollen analysis, network</t>
  </si>
  <si>
    <t>WongR_2013-page1.pdf</t>
  </si>
  <si>
    <t>Dawning L. Wu</t>
  </si>
  <si>
    <t>Assessing Overwintering Habitat Preferences of Anagrus spp. in and around North Coast Vineyards</t>
  </si>
  <si>
    <t>The counties of Napa and Sonoma are home to many expansive vineyards, and thus also prime victims for the attacks of the pest Erythroneura elegantula, Western grape leafhoppers (WGLH). This leafhopper negatively impacts the vineyard by consumption of leaf cell contents, and fecal spotting on the fruits. Their leaf consumption directly affects the photosynthetic yield, as their damage causes a reduction in the chlorophyll surface area of the leaf. However, with the identification of Anagrus spp., a microscopic parasitoid wasp, as a natural enemy of the WGLH, growers need to know what plants will attract these natural enemy populations. I conducted a fine-tuned study, in order to more definitely confirm the overwintering preferences of Anagrus spp., using emergence chambers. Anagrus emergence was measured daily from the day after sampling up to 21 days. From sampling the same plants consistently from various vineyards over five separate sampling dates from November 2012-March 2013, I found that plants from genera Nepeta, Baccharis, Ceanothus, and Rubus significantly yielded more Anagrus spp.</t>
  </si>
  <si>
    <t>Anagrus, alternate host, landscape ecology, leafhopper, conservation biological control</t>
  </si>
  <si>
    <t>WuD_2013-page1.pdf</t>
  </si>
  <si>
    <t>Diana Y. Zheng</t>
  </si>
  <si>
    <t>Does LEED save energy? A case study of LEED at UC Berkeley</t>
  </si>
  <si>
    <t>The United States faces many environmental challenges associated with high levels of energy use in the country, much of which is used in buildings. Although there is no consensus on the definition of environmental sustainability, most certification schemes aim to reduce the environmental impact of buildings by providing guidelines to minimize resource and material use and pollution while also improving the indoor environment. Leadership in Energy and Environmental Design (LEED), an internationally recognized green building certification scheme, plays an important role in bringing sustainability to the forefront of building design; however, there is little academic research on the energy performance of LEED buildings after occupancy and the effectiveness of LEED in reducing energy use. To investigate whether LEED certification is associated with site and source energy savings and GHG emissions reductions, I compared post-occupancy energy use from three LEED-NC projects on the UC Berkeley campus to energy use in conventional buildings, LEED energy models, and pre-LEED building energy use. In this study, LEED buildings generally used less energy than conventional buildings, and they performed as expected or better than the energy models in two out of three cases. My analysis also demonstrates LEED’s inconsistency in producing predictable results. This case study suggests that the LEED energy models can be fairly accurate if the assumptions of the building post-occupancy situation in the model are true. Although LEED does not guarantee energy savings, it can be difficult to determine how a building will perform from design-phase models and assumptions, at UC Berkeley, LEED buildings have performed as well as or better than expected.</t>
  </si>
  <si>
    <t>sustainable design, post-occupancy evaluation, energy efficiency, energy conservation, green buildings</t>
  </si>
  <si>
    <t>ZhengD_2013-page1.pdf</t>
  </si>
  <si>
    <t>Qusai Bhaijeewala</t>
  </si>
  <si>
    <t>Estimating the Effectiveness of New Policy Legislation at Incentivizing Investment in Oil Recovery Technologies</t>
  </si>
  <si>
    <t>My study uses the Deepwater Horizon (DWH) incident as a case study to determine if this new policy will incentivize mechanical recovery technology. The new policy will allow the responsible party (RP) to discount recovered oil from their spill fines. My research question asks how much money the RP will save after the initial cost of the response, and what it will cost to recover a barrel of oil using mechanical recovery technology after the proposed fine reduction. Moreover, my sub question asks, is the decrease in total cost associated with the recovery effort of the DWH spill enough to incentivize investment in mechanical recovery technology?</t>
  </si>
  <si>
    <t>oil spill response, BP oil spill, Deepwater Horizon, Macondo Well blowout, mechanical recovery, skimming, policy proposal, oil recovery technology, incentivization</t>
  </si>
  <si>
    <t>BhaijeewalaQ_2014-page1.pdf</t>
  </si>
  <si>
    <t>https://www.ocf.berkeley.edu/~pkmendez/envsci/projects/2014final/</t>
  </si>
  <si>
    <t>Yan Cao</t>
  </si>
  <si>
    <t>Chinese College Student Choice Concerning Disposable and Reusable Chopsticks</t>
  </si>
  <si>
    <t>This study examines associations between demography, attitudes, knowledge level, and consumer choice concerning the use of disposable and reusable chopsticks in campus dining halls and off-campus restaurants by Chinese college students in Beijing, China. I conducted an online survey, the results of which showed no significant association between demography and consumer choice in both dining areas. However, there was a strong relationship between attitudes concerning environmental and health costs associated with chopsticks and consumer choice, which indicates that the Chinese government should focus on specific consumer preferences such as concern for safety and hygiene when seeking to reduce disposable chopstick use in both dining areas. The results also showed strong association between knowledge level and consumer choice, which indicates that education on the impacts associated with disposable chopstick use is also necessary. Disposable chopstick use may be reduced by strengthening education on the issue, by establishing policies restricting the use of disposable chopsticks, and developing new technologies for chopstick manufacturing and waste treatment processes.</t>
  </si>
  <si>
    <t>Beijing universities, restaurants, consumer behavior, attitudes, knowledge</t>
  </si>
  <si>
    <t>CaoY_2014-page1.pdf</t>
  </si>
  <si>
    <t>Kyle B. Carbajal</t>
  </si>
  <si>
    <t>Kinetics of Microbial Sulfate Reduction at Pescadero Marsh Natural Preserve, Pescadero, California</t>
  </si>
  <si>
    <t>Soils act as open biogeochemical reactors where water, air, minerals and organic matter interact with microorganisms to drive the rates of chemical changes. In submerged sediments and soils, dissimilatory sulfate (SO42-) reduction is an alternative respiration pathway utilized by microorganisms for growth and metabolism in the absence of oxygen. At Pescadero Marsh Natural Preserve, dissimilatory sulfate reduction in response to the hypoxic/anoxic conditions of the estuary results in seasonal fish kill events of endangered Coho salmon and Steelhead trout. A GIS pilot study of the site revealed that sulfate in the estuary is present in typical concentrations for an estuarine environment. Flow-through reactors and soil slurry incubation experiments determined the rates of sulfate reduction to hydrogen sulfide, which is bound to iron (Fe) as reduced iron sulfides. Sulfate reduction rates determined by soil slurry incubations tend to be an overestimate due to increased microbial accessibility to sedimentary substrates, while flow-through reactors are able to accurately mimic in situ rates of sulfate reduction, but are limited by sample isolation. This research suggests that future studies should focus on iron reduction and iron-sulfide re-oxidation to further assess the roles of iron and sulfur cycles at Pescadero Marsh Natural Preserve.</t>
  </si>
  <si>
    <t>Dissimilatory sulfate reduction, ArcGIS, flow-through reactor, soil slurry, HPLC</t>
  </si>
  <si>
    <t>CarbajalK_2014-page1.pdf</t>
  </si>
  <si>
    <t>Flora J. S. Champenois</t>
  </si>
  <si>
    <t>The Wolf's Comeback in France: A Content Analysis of National Press Coverage</t>
  </si>
  <si>
    <t>After having disappeared from France for over half a century following extensive extermination efforts, the wolf naturally recolonized the French Alps in 1992. Although efforts to conserve wolf populations in France have been successful, with a current estimated population of 250 individuals increasing at a yearly rate of around 20% (ONCFS 2012), social conflicts have increased as the predator gradually reclaims its former habitat. National media plays a role in informing, reflecting, and shaping the national debate on wolves, and was considered in this study to address questions of media fairness and as a way to gain an improved understanding of the human dimensions of wolf management. Content analysis was performed on 370 articles on the wolf's return from three national newspapers, Le Monde, Le Figaro, and Libération from 1992 to 2013. The conflicts that have historically been the main reason for wolf control, conflicts with human economies and livelihoods, dominate the media and outdo the rationale behind wolf protection presented in the media, primarily focused on the predator's legal protection status and vague existence value. The wolf was generally represented as a perpetrator, the population size was represented as abundant even when the wolf was extinct, and the population's impact was depicted as highly negative overall.</t>
  </si>
  <si>
    <t>Canis Lupus, Media, Wildlife, Co-adaptive Management, Pastoralism</t>
  </si>
  <si>
    <t>ChampenoisF_2014-page1.pdf</t>
  </si>
  <si>
    <t>Kristen Chen</t>
  </si>
  <si>
    <t>Simple Shape Learning of the Two Stomatopod species: Haptosquilla trispinosa and Pseudosquilla ciliata</t>
  </si>
  <si>
    <t>Current climate conditions and anthropogenic activities have resulted in coral cover homogenization, reef structural complexity simplifications, prey item decline. Recognizing changes in shape, especially in a visually-dominant organism, can assist in dealing with these reef structure changes and prey availability loss. I examined the ability of two stomatopod species: Haptosquilla trispinosa and Pseudosquilla ciliata to learn to distinguish between a circle and a square, using simple food conditioning techniques for 30 days and 15 days, respectively, including a priming period of 10 days per group. There were two H. trispinosa groups, one conditioned to the circle, one the square and one P. ciliata group conditioned to the circle. Each group had four individuals. H. trispinosa’s total number of responses decreased over time, with an increase in correct responses and decrease in incorrect responses. This trend indicates the presence of shape discrimination learning as well as test learning. H. trispinosa conditioned to the squares were extremely unresponsive leading to unusable data. P. ciliata had a higher percentage of correct responses across all time blocks in comparison to H. trispinosa explained by predator tactics. P. ciliata are spearers, ambush predators that rely on quick information intake to surprise prey, while H. trispinosa are smashers, foraging predators that depend on repetitive impacting motions to stun/ kill prey. More behavioral studies need to be conducted to assess the stomatopod’s ability to cope with current environmental conditions, but there is clear visual discriminatory learning capability in this organism that can assist in flexible adaptations.</t>
  </si>
  <si>
    <t>behavioral food conditioning, smasher, spearer, climate change adaptation, predator attack mechanism</t>
  </si>
  <si>
    <t>ChenK_2014-page1.pdf</t>
  </si>
  <si>
    <t>Michael J. Choi</t>
  </si>
  <si>
    <t>Are Ecological Factors Correlated with Genetic Variation in the Flying Lizards (Genus Draco) of Sulawesi Island</t>
  </si>
  <si>
    <t>Sulawesi, an island located in one of the biggest biological hotspots in the world, is a unique location to study endemism and species diversity. The island is comprised of four distinct peninsulas, joined at a central landmass that provides a means of geographical isolation due to its mountainous terrain. The species on the four peninsulas, as a result, are extremely varied. One of these species is the genus Draco, a species of flying lizard endemic to Southeast Asia. These lizards have evolved membranes that allow them to glide from tree to tree and live in an arboreal habitat. However, while the lizards have garnered interest, very few studies have been conducted on the genetic divergence of the lizard species on the island. This study examines the different ecological factors that may have had an influence in causing the Draco species to diverge genetically. By using ArcGIS and MaxEnt to display current/potential distributions of each of the nine Draco species, we were able to correlate which factors had the biggest impacts on the species in the context of phylogenetics. By visually correlating climate, soil type, forest type, and paleo-history layers of the island with maps of the lizard distributions, we were able to conclude that forest type and paleo-history had an impact on the divergence of the species. Forest type impacts the most suitable habitats for the lizard species because of their arboreal nature. Additional studies will help focus conservation of the forests on Sulawesi, since forest type appears to have a significant impact on how these lizards are diverging.</t>
  </si>
  <si>
    <t>Species distribution, biogeography, ArcGIS, MaxEnt, phylogenetics</t>
  </si>
  <si>
    <t>ChoiM_2014-page1.pdf</t>
  </si>
  <si>
    <t>Sejin Chung</t>
  </si>
  <si>
    <t>Dispersal Behavior of Vine Mealybug (Planococcus ficus) in California Grapevines</t>
  </si>
  <si>
    <t>The vine mealybug, Planococcus ficus (Homoptera: Pseudococcidae), has been a pest of the California grape vineyards since the early 1990s. Thus, many studies have contributed to understanding its life cycle, damage, chemical and biological controls, and its distribution within the vineyards. However, the dispersal rates and movement have not been studied. Pl. ficus can be detrimental to the vineyard because of many reasons including transmitting viruses within vineyards, lowering crop quality by releasing honeydew on parts of the vine, and decreasing the grape's aesthetic value. There are many control and monitoring methods to prevent the mealybug from damaging the vineyards, but insecticides and pheromone traps appear to be more efficient than counting and mating disruption methods. However, due to the complexity of Pl.ficus, effective control of the infestations has yet to be completely successful. Many studies have discussed the negative effects of various methods in the vineyard such as time- consuming labor for a counting method, killing natural enemies with insecticide sprays, and lack of adequate food resources for natural enemies in biological control methods. Although there are numerous amounts of management methods, this literature review shows that there is room for improvement. In particular, Pl. ficus dispersal behavior within the vineyard would increase efficiency by providing a specified target range for the grower.</t>
  </si>
  <si>
    <t>literature review, insecticides, pheromone traps, mating disruption, biological control</t>
  </si>
  <si>
    <t>ChungS_2014-page1.pdf</t>
  </si>
  <si>
    <t>Kanav Duggal</t>
  </si>
  <si>
    <t>Case Study of Solar Cooker use by Retirees in Chandigarh, India</t>
  </si>
  <si>
    <t>Global energy demands are expected to increase rapidly in the near future, particularly among Asian countries. For example, India’s energy needs are expected to grow at more than twice the global average rate. To meet the increased demand, India could improve its use of renewables. Solar energy, in particular, has large potential in India because the country receives 5000 trillion kW/h every year. I examined solar cooker use amongst retirees in Chandigarh, India to determine factors affecting cooker diffusion. I first compared cooking times and cost data of regular gas stoves and solar cookers. I then conducted a survey of the retired residents in Chandigarh. Finally, I interviewed local vendors who sold solar cookers in the area. My results show that, on average, solar cookers took 2-3 times longer to cook food than a regular gas stove and that solar cookers are a cheaper option when compared over a year. My survey results suggested that many people are unwilling to adopt cookers and are unfamiliar with the government subsidies in place. My interview data show that, although vendors made profits off their sales, solar cookers have become more expensive over time. Overall my results suggest that the government needs to improve its subsidy programs and increase cooker awareness if cookers are to be adopted in the future.</t>
  </si>
  <si>
    <t>renewable energy, subsidies, box-type cookers, interviews, surveys</t>
  </si>
  <si>
    <t>DuggalK_2014-page1.pdf</t>
  </si>
  <si>
    <t>Nikhil Gargeya</t>
  </si>
  <si>
    <t>Techno-Economic Analysis of Photovoltaic Microgrids Using the DER-CAM Optimization System in Rural Andhra Pradesh, India</t>
  </si>
  <si>
    <t>Rural communities in developing countries continue to lack reliable, universal energy access even as urban areas improve their energy access. Microgrids can help this issue, as flexible systems that efficiently govern onsite distributed power generation, while maintaining a connection with the central grid. In parts of the world that benefit from high year-round solar irradiance, like India, photovoltaic (PV) microgrids combine the environmental and systematic advantages of onsite clean renewable generation in providing reliable power. However, high upfront costs make microgrids an expensive investment. To test the viability of photovoltaic microgrid systems in rural Andhra Pradesh (AP), I used a modified version of the DER-CAM optimization model to compare simulations of energy generation of PV microgrids, and diesel generators. I incorporated local solar irradiation and, local load profiles, into the model. I also compared policies on a local and national level that could subsidize a PV microgrid project in the average rural AP village. Government subsidies and the rising cost of transporting diesel to the site played a significant role in determining that the PV microgrid system was more cost effective than a reliance on diesel generators. However, policy research suggested a need to incentivize standardized microgrid infrastructure development through subsidies that can be paid off over the course of the project. Finally, farmer’s willingness to pay more for reliable agricultural power in the state could increase revenue to support these projects in the future.</t>
  </si>
  <si>
    <t>Rural electrification, energy access, subsidies, solar power, diesel generators</t>
  </si>
  <si>
    <t>GargeyaN_2014-page1.pdf</t>
  </si>
  <si>
    <t>Brian J. Gong</t>
  </si>
  <si>
    <t>Applicability of Remote Sensing Data to Rapidly Assess River Restoration Sites in the Palo Verde Valley</t>
  </si>
  <si>
    <t>Identifying sites for river restoration is a complex process, drawing from many fields of science. Field data is often collected to assess if a site is suitable for restoration. Because field data collection can be time and resource intensive, using remote sensing data could potentially speed up the process. I used remote sensing data to assess restoration potential in 106 sites in the Palo Verde Valley on the Colorado River. I identified sites for restoration and determined how the remotely sensed data matched with field data. Each site was classified as LEV, STB or IRR. LEV sites consisted of small buffers of land surrounding the river channel. STB sites were large sites that were setback from the river. IRR sites contained irrigation channels inside them. In ArcGIS, I created layers for water features, the sites, elevation and land use, and assigned weights to each of these features. Using suitability analysis, I created a model to quantify the restorability of each site. Overall, 65 sites were very promising for restoration. I found that LEV sites had the best restoration potential, with a mean score of 0.5, while IRR sites had the least potential with a mean score of 2.3. In addition, I found that remote sensing data did not vary much from field data. However, the results were not statistically significant. Remote sensing can be used as a preliminary process in assessing restoration sites. Future studies may want to look into this relationship more closely.</t>
  </si>
  <si>
    <t>Suitability analysis, Colorado River, DEM analysis, Lower Colorado River Restoration Project, Restoration Type Comparison</t>
  </si>
  <si>
    <t>GongB_2014-page1.pdf</t>
  </si>
  <si>
    <t>Anna M. Gray</t>
  </si>
  <si>
    <t>An Imagined Constraint: Sense of Place and Living Walls at the Drew School, San Francisco, California</t>
  </si>
  <si>
    <t>Living architecture impacts the ways in which individuals interpret urban space and themselves by encouraging personal reflection. Both connection to nature and construction of comparison assist in identity formation enabling living architecture to offer an innovative way to understand living architecture metaphorically. Living walls, however, have yet to be examined for their impact in being an icon for a specific location. I examined a living wall at the Drew School in San Francisco, California to understand its impact on interpreting the school and surrounding community. I recorded a total of four surveys with 250 respondents and four interviews, as well as one two-hour observational period of the living wall. Surveys and interviews indicated that the living wall increased reflection about the Drew school as well as environmentalism, social inequity, living architecture and community. Individuals also used the wall as a marker to help physically distinguish Drew from other private high schools. Survey demographics underlined cultural differences in attitudes towards nature and the living wall’s function at Drew. Positive reflections about Drew through the lens of the living wall were primarily memory induced, underlying the profound effect memories have on people’s understanding of their environments. Comfortableness and educational attainment also impacted how community members viewed the living wall and Drew. A better understanding of how living walls function as metaphoric representations and encourage dialogue about environmental issues will assist in living architecture design and urban benefits.</t>
  </si>
  <si>
    <t>green architecture, urban gardening, identity construction, social influence, community</t>
  </si>
  <si>
    <t>GrayA_2014-page1.pdf</t>
  </si>
  <si>
    <t>Kareem C. Hammoud</t>
  </si>
  <si>
    <t>Low-flow Shower Valve and Environmental Education Effects on Gas and Water Use in University Village</t>
  </si>
  <si>
    <t>Because of growing concerns about water scarcity and high carbon emission levels, it is important that consumers modify certain behaviors to reduce natural resource consumption. Showering is a common household activity that accounts for a substantial part of a residence's total energy and water usage. Showering can be targeted through demand side management (DSM), which offers education or technical retrofit strategies to reduce overall demand for natural resources. Combining education with a technical retrofit could lead to higher rates of conservation than using either strategy alone. In this study, I compared residential gas and water use before and after two DSM strategy interventions: a low-flow shower valve and environmental education. I recruited 81 residents from the University Village housing complex in Albany, California to participate in the study. 46 of the residences remained as controls while 35 received the low-flow valve and an informational shower-hanger. 18 of the 35 valve-recipients were given additional email education. I distributed surveys to all participants. I found no statistically significant difference between the cubic feet of gas consumed per day of the valve and control residences, but I did notice trends that suggest the email education contributed to the educated valve sub-group consuming the least amount of gas. I also calculated that when used, the valve would produce 4-13% energy savings, a range that matches the 5% difference in gas use observed between the valve and control groups.</t>
  </si>
  <si>
    <t>demand side management, resource conservation, human behavior change, technical retrofits, educating environmentalism</t>
  </si>
  <si>
    <t>HammoudK_2014-page1.pdf</t>
  </si>
  <si>
    <t>Anna E. Hiller</t>
  </si>
  <si>
    <t>Mapping the Diversification of Hawaiian Swordtail Crickets using Ecological Niche Modeling</t>
  </si>
  <si>
    <t>The Hawaiian Islands offer a unique opportunity to study the diversification of species, particularly with the endemic Hawaiian swordtail crickets in the genera Laupala and Prolaupala (Orthoptera: Gryllidae), a radiation of species whose divergence in song promoted rapid diversification through sexual selection. This group’s abiotic niches have never been formally studied, so the contribution of niche shifts to their evolution is not well understood. In this study, I generated species distribution models for all 37 species of Laupala and 3 species of Prolaupala in Maxent. I created predicted niche occupancy models to quantify niche overlap between species and analyzed niche divergence for a phylogenetic signal. Results showed that soil type was the most important environmental factor and maximum precipitation of the driest month was the most important climate variable constraining cricket distributions. Niche overlap showed Laupala contains both allopatric and sympatric species. However, there was no phylogenetic signal to niche divergence, indicating that niches have not been evolutionarily conserved. This analysis adds a layer to the substantial information already known about the processes important to generating and maintaining Hawaiian biodiversity.</t>
  </si>
  <si>
    <t>Laupala, Hawaii, Maxent, niche overlap, phylogenetic signal</t>
  </si>
  <si>
    <t>HillerA_2014-page1.pdf</t>
  </si>
  <si>
    <t>Juan Hurtado</t>
  </si>
  <si>
    <t>Bay Area Youth Healthy Food Programs Assessment Practices</t>
  </si>
  <si>
    <t>Youth are particularly susceptible to obesity and other health conditions associated with unhealthy diet that are on the rise in the United States. In response, the San Francisco Bay Area has been the leader in youth healthy food programs. However, there is a lack of research on program assessment. To determine how programs were assessed, I conducted 19 surveys and 13 interviews with program leaders from around the Bay Area. I found that some program leaders were uncomfortable with assessment, as they associated formal evaluations with government bureaucracy. Others desired the ability to assess programs, but lacked the funding to do so. Because of this, leaders of newer programs expressed concerns about a lack of information on successful programs in the area. My findings suggest that resources on how to conduct formal assessment should be provided to program leaders.</t>
  </si>
  <si>
    <t>food movement, youth nutrition, outside education, food programs, food consumption</t>
  </si>
  <si>
    <t>HurtadoJ_2014-page1.pdf</t>
  </si>
  <si>
    <t>Scott M. Kaplan</t>
  </si>
  <si>
    <t>A Leaky Future for Natural Gas: Assessing its Substitution for Oil in the Transportation Sector through 2020 and the Effect on Greenhouse Gas Emissions</t>
  </si>
  <si>
    <t>Recent and expected natural gas discoveries in the United States combined with the ability to locate and access them with new technologies is predicted to lead to a large increase in natural gas supply, and as a result natural gas consumption. This research focused on its substitution for oil in the transportation sector. Econometric analysis was used to estimate the effect of different variables, including consumption, reserve size, number of fuel pumps, and retail pump prices on natural gas consumed as vehicle fuel, as well as the relative substitution of natural gas for oil in the transportation sector under no carbon policy and a carbon tax. By estimating the level of natural gas used as vehicle fuel through 2020, I found that the market share of natural gas consumed in the transportation sector increased from 0.29% to 2.72% between 1997-2020 under no carbon policy, and from 0.29% to 2.76% under a carbon tax. Under no carbon policy, total CO2 emissions from the transportation sector decreased by 50% from 1997-2020, and under a hypothetical carbon tax implemented beginning in 2012, decreased by 52% from 1997-2020. Different methane (CH4) leakage scenarios were introduced (0, 5, and 10%), and it was determined that under a leakage level of 5%, the change in CO2 equivalent emissions from 1997-2020 under no carbon policy was 50%, and under a carbon tax approximately 50% as well. With a leakage of 10%, the change in CO2 equivalent emissions from 1997-2020 under no carbon policy was 50%, and under a carbon tax approximately 48%. Thus, if leakage rates are not known within a 5% range, a carbon tax promoting natural gas substitution will lead to greater total greenhouse gas emissions from the transportation sector than no carbon policy.</t>
  </si>
  <si>
    <t>methane leakage, carbon tax, carbon dioxide, energy substitution, energy policy</t>
  </si>
  <si>
    <t>KaplanS_2014-page1.pdf</t>
  </si>
  <si>
    <t>Maia R. Kapur</t>
  </si>
  <si>
    <t>Modeling Climate Change Sensitivity of Californian Ephemeropteran Assemblages</t>
  </si>
  <si>
    <t>Mayflies (Ephemeroptera) are crucial taxa in freshwater ecosystems and are known for their high sensitivity to environmental disturbance. How these organisms will respond to climate change has been a topic of concern for researchers interested in the future health and resilience of streams, especially in highly variable Mediterranean climate regions (MCRs). Though temporal trends in community composition and size have been examined, a large-scale spatial model of Californian mayflies’ response to climate change was previously nonexistent. The aim of this study was to identify and model sensitivities and projected changes in the current distribution of selected families within Ephemeroptera, a climate-sensitive taxa in the state of California, from 1980 to 2050. Projections indicate universal range contractions for all species studied, contracting in the direction of higher elevations and northern latitudes. Those most threatened, as demonstrated by greatest range contractions, are coastal species unable to disperse through inland regions. For example, species in the family Ameletidae exhibited a 73.2% range contraction, with a distinct clustering towards the coast and foothills of the Sierra Nevadas. Species distributions within Ephemerellidae contracted only 21.4%, yet underwent significant fragmentation and a complete excursion from the central valley. In contrast, the family Baetidae is projected to persist in inland regions, which may be due to its decreased dependency on temperature as a model driver. The data presented has implications for improving biomonitoring efforts, and directs future efforts towards generating more detailed collection records in Mediterranean regions.</t>
  </si>
  <si>
    <t>species distribution modeling, climate change, Maxent, Mediterranean climate, benthic macroinvertebrates</t>
  </si>
  <si>
    <t>KapurM_2014-page1.pdf</t>
  </si>
  <si>
    <t>Carolyn Lam</t>
  </si>
  <si>
    <t>Larval Life History of the Small Minnow Mayfly (Baetis tricaudatus) in the Russian River Watershed</t>
  </si>
  <si>
    <t>Evaluating the life history of aquatic insects is fundamental because it leads to a greater understanding to the overall biology of these organisms, and their role in the ecosystem. Baetis tricaudatus, a small minnow mayfly, is one of the most common grazers in the lotic food web in western North America. I studied the larval life history of B. tricaudatus, in two northern California locations -- a tributary (Austin Creek) and a river (Russian River mainstem) -- in the Russian River watershed. By measuring body lengths and head widths, I calculated morphological differences to determine emergence and voltinism at each sampling site. In body length, the largest larva measured 7.4mm, and the smallest measured 1.5mm. Moreover, in head width, the largest larva measured 1.0mm, and the smallest measured 0.1mm. Final instars indicated emergence patterns. Austin Creek and the Russian River mainstem larvae were at least bivoltine. Austin Creek larvae emerged between (1) July and August; (2) and September and October. Russian River mainstem larvae emerged between (1) August and September; (2) October and November; and (3) December and January. In addition, the abundances of B. tricaudatus varied throughout the sampling period in the sites. Their emergence periods occurred in different months during the sampling period, suggesting habitat differences are likely influencing the life history of this species.</t>
  </si>
  <si>
    <t>growth patterns, emergence, voltinism, habitat differences, benthic macroinvertebrates</t>
  </si>
  <si>
    <t>LamC_2014-page1.pdf</t>
  </si>
  <si>
    <t>Derek Lau</t>
  </si>
  <si>
    <t>Selected Pesticides’ Effects on the Convergent Lady Beetle (Hippodamia convergens)</t>
  </si>
  <si>
    <t>A novel wave of pesticides has been introduced as “reduced risk” towards the human population. However, the application of pesticides will affect nontarget organisms and beneficial insects such as the Convergent Lady Beetle (Hippodamia convergens). This research examined how the direct application of seven of this new class of pesticides, Altacor, Cyazypyr, Manzate, Rimon, Delegate, Kumulus, and Warrior, will affect H. convergens pupae emergence rates in a laboratory setting. Seven different pesticides were applied topically onto first day pupae and emergence rates were recorded. The synthetic pyrethroid, Warrior, was found to decrease emergence rates the most. Rimon also caused a statistically significant amount of mortality, whereas Diamides, fungicides, and the fungal metabolite appeared to have little to no effect on pupae emergence rates. The knowledge of how these pesticides will affect H. convergens population will help provide an understanding for pesticide application in the field.</t>
  </si>
  <si>
    <t>Hippodamia convergens pupae, beneficial insects, reduced-risk, insecticides, bioassay</t>
  </si>
  <si>
    <t>LauD_2014-page1.pdf</t>
  </si>
  <si>
    <t>Judy J. Li</t>
  </si>
  <si>
    <t>Restoring Civic Engagement &amp; Stakeholder Participation: A Case Study of Wetland Restoration Management in Alviso, California</t>
  </si>
  <si>
    <t>Wetland restoration projects restore wetland habitat, and help with sea level rise adaptation for natural and urban environments. My thesis is a case study analysis of part of the South Bay Salt Pond Restoration Project’s current marshland restoration in Alviso, California (37°25'27.34"N, 121°58'33.72"W) to determine how opinions of the project vary among different project stakeholders. I triangulated results from document analysis of newspaper articles about Alviso from 1890-2014, and interviews of key stakeholder groups, and surveys of Alviso residents. The management structure of the Project is widely praised, with 79% of interview subjects very satisfied, 58% of interview subjects have major concerns being future funding and long timeline. Most Alviso residents have a stronger focus on flood risk protection and were neutral or satisfied with the Project overall, but slightly less satisfied with the community engagement efforts. Many Alviso residents expressed that they would also like for Alviso’s interests to be a higher priority. The Project’s robust community outreach engages community leaders, but most residents are less engaged. The Project is an example of large-scale wetland restoration management with multi-stakeholder interests, and can inform future projects that seek to restore habitat, coastal resiliency, and civic engagement.</t>
  </si>
  <si>
    <t>civic participation, adaptive management, coastal resiliency, sea level rise adaptation, coastal flooding</t>
  </si>
  <si>
    <t>LiJ_2014-page1.pdf</t>
  </si>
  <si>
    <t>Kathryn Elizabeth Liu</t>
  </si>
  <si>
    <t>Synthesis and Reactivity Studies of Catalysts for Efficient C–C and C–H Bond Activation</t>
  </si>
  <si>
    <t>Understanding why and how chemical bonds are formed and broken will inform the design of new chemical transformations that are more sustainable and environmentally-friendly. The objective of this study is to synthesize and characterize platinum (II) complexes that can activate C–C and C–H bonds and to understand how these complexes react. We have proposed that coordinative unsaturation at an electrophilic metal center enables C–H bond activation. We have tested this hypothesis by synthesizing a cationic platinum (II) complex bearing a 2,2'-bipyridine ligand, phenyl group, and non-coordinating anion. Additionally, we have synthesized and investigated novel cyclopropane-containing olefins for reactivity with platinum (II) complexes. These studies help distinguish between different C–H bond activation mechanisms.</t>
  </si>
  <si>
    <t>hydrocarbon functionalization, homogenous catalysis, platinum, rearrangement, organometallic chemistry</t>
  </si>
  <si>
    <t>LiuK_2014-page1.pdf</t>
  </si>
  <si>
    <t>Diana L. Lopez</t>
  </si>
  <si>
    <t>Climate Change and Public Perception of the Proposed Fire Risk Mitigation in Berkeley, California’s Strawberry Canyon</t>
  </si>
  <si>
    <t>The effects of global climate change are manifest in local and regional outcomes such as rising sea levels, extreme weather events and the melting glaciers in polar and alpine regions. However, the relationship between climate change and local environmental issues is often difficult to document or demonstrate scientifically, and the public is often uncertain and confused about the nature of such relationships. This study analyzes how perception of climate change influence perception of local management issues such as Strawberry Canyon. In a survey of over 300 students at the University of California, Berkeley, a strong majority of respondents were uncertain as to whether a local fire mitigation project on the university campus in Strawberry Canyon was directly related to climate change. Students widely supported localized policy as a means of effectively mitigating climate change, however they generally did not see the proposed fire mitigation plan as a means of mitigating environmental problems and risks associated with climate change. Although most students had well-developed risk perception of both the impacts of the Strawberry Canyon fire mitigation proposal and of climate change, most students demonstrated uncertainty when asked if the risks associated with the Strawberry Canyon fire mitigation proposal were directly related to climate change. This study addresses the largely unstudied dynamics of public perceptions regarding climate change and local environmental issues. This is critical in understanding the political viability of localized climate change policies as part of broader and much needed national and international climate change policy frameworks.</t>
  </si>
  <si>
    <t>risk perception, forest management, eucalyptus, wildfire, public opinion</t>
  </si>
  <si>
    <t>LopezD_2014-page1.pdf</t>
  </si>
  <si>
    <t>Annie Lu</t>
  </si>
  <si>
    <t>Low Level Contaminant Effects on Benthic Macroinvertebrates in Strawberry Creek, California</t>
  </si>
  <si>
    <t>Chemical spills negatively impact the surrounding ecosystem when they occur. Biomonitoring is a method of study to quantify these impacts. To investigate how a spill would affect an urban stream, I conducted a laboratory experiment to study the impacts of low level contaminants on benthic macroinvertebrates from Strawberry Creek, California. I collected sediment from the stream and mixed in vegetable oil as the contaminant to create four treatment groups (control, low, medium, high). Various invertebrates were collected using a kicknet along the banks of the stream and individuals were placed into 16 microcosms. Each microcosm was a stoppered funnel, containing 1-3 centimeters of sediment, 1 liter of stream water, and an airstone connected to an airpump. 2-5 invertebrates were added to each funnel. Funnels were loosely covered with mesh. The experiment ran for one week and was replicated three times. Odonates had the highest 7-day survival rate (53.85%) and survived the highest average number of days (8.54 ± 6.80) across all treatment levels. Caddisflies had the lowest 7-day survival rate (18.19%) while mayflies and stoneflies survived the lowest average number of days (4.34 ± 5.13) across all treatment levels. Emergence and escape from the funnels occurred for mayflies and odonates. Natural resilience of the odonates may have played a role in their high survival rates while the morphology of the mayflies, stoneflies, and caddisflies may explain their low survival rates. Toxicity studies should be conducted then to assess impacts of chemical spills and results can help shape remediation efforts.</t>
  </si>
  <si>
    <t>biomonitoring, vegetable oil, bioassay, toxicity study, microcosm</t>
  </si>
  <si>
    <t>LuA_2014-page1.pdf</t>
  </si>
  <si>
    <t>Kelsey P. Lyberger</t>
  </si>
  <si>
    <t>Restoring Whitebark Pine in the Sierra Nevada: Prescribed Burning Suitability Analysis</t>
  </si>
  <si>
    <t>Whitebark pine is a keystone species of the upper subalpine ecosystem of western North America. Unfortunately, it is in danger of extinction in as few as two generations. In the recent past, humans have played a major role in the decline of whitebark pine, not only by introducing an invasive pathogen and expanding the range of deadly bark beetles through climate change, but also by preventing periodic fires, which increases competition with other species of trees. Although vegetation management and prescribed burning restoration efforts in whitebark pine’s devastated northern ranges have had limited success, the less infected forests of the Sierra Nevada Mountain Range provide an excellent opportunity to implement prescribed burning. In this study, a suitability analysis was used to prioritize stands for prescribed burning that vary in terms of ecological parameters, such as the presence of the mutualistic bird, Clark’s nutcracker, and environmental parameters, which affect the practicality of setting a controlled fire. The addition of these weighted opportunities and constraints resulted in a map that highlights the high elevation, mid and central areas of the Sierra Nevadas as good regions for restoration. 1.6% of the land is suitable, covering over 87 thousand acres, according to the final suitability map. Given the availability of suitable restoration sites and their locations, federal land managers can begin the process of planning prescribed burns to protect this endangered species.</t>
  </si>
  <si>
    <t>Subalpine community, ArcGIS, site selection, Clark’s nutcracker, fire</t>
  </si>
  <si>
    <t>LybergerK_2014-page1.pdf</t>
  </si>
  <si>
    <t>Emilie Maddison</t>
  </si>
  <si>
    <t>Infection Potential of Sudden Oak Death Pathogen Phytophthora ramorum in Urban Spaces of San Mateo and Santa Clara counties</t>
  </si>
  <si>
    <t>Sudden Oak Death is a tree disease deadly to many oaks (Quercus spp.) and tanoaks
(Notholithocarpus densiflorus) in coastal California and Oregon. Mapping its spread has been a
key part of managing the disease as it infects new populations of trees, but the management focus
is on forest environments, where the disease thrives. Urban environments, though at lower risk,
still see infections of SOD, but little is understood about how the urban environment affects its
spread. Using orthologous parameters to those found in the forest-based literature, I modeled SOD
presence in urban environments, using GIS mapping techniques. I assessed (1) proximity to
wildlands, (2) proximity to known infection, (3) percent tree coverage, and (4) urban street density
for their predictive abilities and then used suitability analysis to predict urban spaces susceptible
to the disease. All known disease in my study site occurred within 4.1 km of a wildland, and 70%
fell within 1 km. Areas within 200m of a known infection are at very high risk of infection, and
within 1000m there is elevated risk. (3) Areas with more than 30% tree coverage are five times
more likely to support infection. (4) Urban street density below 33 intersections/km2 are twice as
likely to support infection.</t>
  </si>
  <si>
    <t>Tree pathology, epidemiology, microbiology, GIS mapping, suitability analysis</t>
  </si>
  <si>
    <t>MaddisonE_2014-page1.pdf</t>
  </si>
  <si>
    <t>W. Riley McDonald</t>
  </si>
  <si>
    <t>Snowpack in California’s Sierra Nevada: Modeling and Prediction of Water Supply</t>
  </si>
  <si>
    <t>Maritime snow climates like that of the California Sierra Nevada are especially susceptible to global warming and the threat of declining seasonal snowpack. California’s fresh water supply depends upon seasonal snowpack as a source of summertime water storage, and future water resource management necessitates the long-term prediction of snowpack. Current models are not accurate enough to confidently plan for possible future drought conditions. I collected snowpack and climate data from the past thirty years and created a model of seasonal snowpack for the Stanislaus River watershed. This allowed me to predict seasonal SWE for the Stanislaus River watershed and assess the feasibility of applying such a model to data-poor regions in more remote areas of the Sierra Nevada. Within the Stanislaus watershed the model had a total average error of 8.9%, and it predicted maximum seasonal SWE within 20% of measured values in 78% of all cases. It was most accurate for low to mid-elevation (&lt;9000ft) western slopes, and least accurate for high elevation eastern slopes. When tested as a range-wide predictive model, it predicted maximum seasonal SWE within 30% of measured values in 62% of all cases. It was most accurate for west-facing drainage basins in the central Sierra, and least accurate for the far southern and eastern Sierra. The model was highly correlated with runoff measurements in central Sierran drainages, proving its usability as a water resource management tool. The long-term scope and snowpack specificity of this model fills the previous gap in predictive capacity between short-term mass balance snow accumulation/ablation models and long-term climate models.</t>
  </si>
  <si>
    <t>El Nino Southern Oscillation (ENSO), Pacific Decadal Oscillation (PDO), Pacific-North American Pattern (PNA), Snow-Water Equivalence (SWE), Stanislaus</t>
  </si>
  <si>
    <t>McDonaldW_2014-page1.pdf</t>
  </si>
  <si>
    <t>Emily G. McKeon</t>
  </si>
  <si>
    <t>Testing the Effectiveness of Interventions on Waste Management Behavior in University Sorority Houses</t>
  </si>
  <si>
    <t>The concept of waste diversion has emerged in response to growing resource consumption and landfill usage. Waste diversion refers to redirecting waste from landfills to reuse programs, composting, or recycling. Changing consumer behavior to optimize waste diversion efforts has been difficult because the motivators and reasoning for waste management behavior are largely unknown. This study aimed to identify the waste management behavior of sorority women at UC Berkeley and whether two specific intervention types, educational programming and bin signage, could significantly increase their waste diversion. To quantify the sorority chapters’ waste management behavior, I conducted waste audits before and after an intervention trial period, which allowed me to derive a contamination rate. I also administered surveys before and after the intervention to understand the demographics of the study site, perceived waste management behavior, and feedback regarding the interventions. I found no significant difference between the effects of each intervention. I also found no significant difference between the pre-intervention and post-intervention contamination rates overall, in the signage intervention, and in the education intervention. I learned from surveys that demographics and environmental beliefs are related, signage is useful but customization would be helpful, and there is a difference in perceived and actual behavior. Based on these results, I concluded that my sample size was too limited, both in number of chapters studied and the amount of waste audited within each chapter. Further research on a larger sample with more varied interventions is necessary to adequately understand the waste management behavior of a given population.</t>
  </si>
  <si>
    <t>Environmental education, recycling, composting, waste audit, waste diversion</t>
  </si>
  <si>
    <t>McKeonE_2014-page1.pdf</t>
  </si>
  <si>
    <t>Abel P. Mouton</t>
  </si>
  <si>
    <t>The effect of ground cover and proximity to neighborhood parks on bird diversity in San Francisco’s Mission District</t>
  </si>
  <si>
    <t>Urban biodiversity improves city dwellers’ lives by providing ecosystem services. Urban bird diversity is valuable because birds help control insect populations and regulate seed dispersal, as well as make cities more beautiful places to live. I examined the relationship between bird diversity and the physical landscape in the Mission District of San Francisco. I chose a study area in the Mission, conducted point counts at random points within it, and used this data to calculate a Shannon diversity index for each point. I then measured the distance from each point to edge of the nearest park and used linear regression to test this distance’s relationship to the Shannon indices. I found that the distance to the nearest park had a significant positive correlation with the Shannon diversity index. I used data from the San Francisco Department of Public Works that categorized the ground cover to figure out the percentage of vegetation cover at each site and used linear regression to test the effect of the amount of vegetation cover on the Shannon indices. I found that there was a significant positive correlation between percentage vegetation cover and bird diversity. The most important implication of my results is that proximity to neighborhood parks is the dominant influence on bird diversity in my study area, except in instances where the percentage of bare soil exceeds 0.794%, bare soil is the most important influence on bird diversity. More study is needed to determine why bare soil has this effect.</t>
  </si>
  <si>
    <t>Urban biodiversity, landscape ecology, Google Earth, ArcGIS, conditional inference tree</t>
  </si>
  <si>
    <t>MoutonA_2014-page1.pdf</t>
  </si>
  <si>
    <t>Michelle J. Nacouzi</t>
  </si>
  <si>
    <t>Governance and operations obstacles faced by student-run cooperatives at UC Berkeley</t>
  </si>
  <si>
    <t>UC Berkeley is an incubator for student-run cooperatives, many of which are successful but struggle to overcome certain obstacles to governance and operations. This paper aims to understand these business hurdles and their extent of impact, potential tradeoffs if addressed, and possible solutions. I focus on three organizations: ReUSE, the Berkeley Student Food Collective, and the Berkeley Student Cooperative. I conducted surveys asking about demographics, project flow, Board effectiveness, manager work levels, and mission statement success, and held interviews of managers in the organizations. I found that these student-run cooperatives suffer from: (1) lack of long-term planning due to high turnover of student leaders; (2) hindered success of projects due to poor communications, momentum, and engagement; (3) limited member understanding of Board processes due to information not flowing effectively; (4) overworked managers due to lack of support and capacity; and (5) members’ unfamiliarity with the mission statements due to selective understanding. Many of these issues revolved around communication, accountability, and engagement. There are solutions that can help these organizations to work towards overcoming these barriers and to foster a successful future, and these proposed changes include empowering staff managers, implementing task forces, improving online resources, and re-envisioning performance reviews.</t>
  </si>
  <si>
    <t>democratic decision-making, institutional knowledge, non-profit businesses, Board of Directors, sustainable models</t>
  </si>
  <si>
    <t>NacouziM_2014-page1.pdf</t>
  </si>
  <si>
    <t>Danielle T. Ngo</t>
  </si>
  <si>
    <t>Influence of Windrow, Vermiculture, and Black Soldier Fly Larvae Composting on Tatsoi (Brassica narinosa) and Red Amaranth (Amaranthus cruentus) Plant Growth: Case Study of VEGGI Farmers Cooperative in New Orleans, Louisiana</t>
  </si>
  <si>
    <t>The field study was performed as a case study of Village de l’Est Green Growers Initiative (VEGGI) Farmers Cooperative in New Orleans, Louisiana. Three compost varieties were tested on tatsoi (Brassica narinosa) and red amaranth (Amaranthus cruentus): windrow, vermiculture, and black soldier fly (Hermetia illucens) larvae (BSFL) compost. This research project builds knowledge upon the relationship between these three compost varieties to plant growth. The three compost treatments were tested for potassium and phosphorus concentration and total nitrogen to determine whether these minerals had beneficial effects on the crops’ growth. Plant growth was measured through seasonal growth rate and end-of-season height, biomass, and nitrogen content. Patterns between treatments and growth metrics were analyzed using permutation and paired t-tests. Overall, tatsoi grows the best with vermicompost, and red amaranth grows the best with BSFL compost. These patterns may be attributable to the high nitrogen and potassium content of vermicompost and the high phosphorus content of BSFL compost. However, none of the observable patterns are statistically significant, which indicates the need for more intensive studies between compost varieties and plant growth. It also indicates that compost varieties may not be best suited to combat VEGGI’s poor soil conditions or agricultural methods. These results will inform VEGGI about the composts’ properties as a soil amendment and plant growth supplement, to increase their community’s food security and maintain sustainable agriculture practices.</t>
  </si>
  <si>
    <t>permutation tests, soil amendments, soil contamination, sustainable agriculture, urban agriculture</t>
  </si>
  <si>
    <t>NgoD_2014-page1.pdf</t>
  </si>
  <si>
    <t>Riley J. O’Brien</t>
  </si>
  <si>
    <t>Pollute-and-Ride: Emissions from Bay Area Rapid Transit Station Access</t>
  </si>
  <si>
    <t>Using a combination of surveys, GIS, and secondary data, I estimated the daily per-passenger emissions of greenhouse gases and criteria air pollutants attributed to passengers entering five San Francisco Bay Area Rapid Transit (BART) stations. I found that access emissions generally increase as station area density decreases and parking availability increases, and that access emissions differ significantly between most stations. Additionally, I found that access emissions contribute the majority of volatile organic compound (VOC), carbon monoxide (CO), and nitrogen oxide (NOx) emissions at each station, as well as the majority of greenhouse gas (GHG) emissions at two stations. Analyzing potential alternative travel scenarios, I found that GHG, VOC, CO, and NOx emissions would likely increase without park-and-ride facilities, while particulate matter (PM) and sulfur oxide (SOx) emissions would likely decrease without park-and-ride. These results suggest that removing station parking may increase emissions and that improving pedestrian and bicycle access to BART stations is a more sustainable choice. Further research on BART park-and-ride is warranted to ensure desirable policy outcomes.</t>
  </si>
  <si>
    <t>Park-and-ride, greenhouse gas emissions, air pollution, GREET, ArcMap</t>
  </si>
  <si>
    <t>OBrienR_2014-page1.pdf</t>
  </si>
  <si>
    <t>Carley L. O'Connell</t>
  </si>
  <si>
    <t>Phytoplankton Community Response to Commonly Limiting Nutrients in Lake Tahoe</t>
  </si>
  <si>
    <t>Declining water clarity is seen in freshwater lakes worldwide. The declining clarity is most commonly related to anthropogenic stresses, such as eutrophication, imposed on the lakes. Eutrophication in Lake Tahoe has caused increased levels of phytoplankton growth, which is the most prominent reason for its decline in water clarity. Although Lake Tahoe is considered a phosphorus-limited system, different species of phytoplankton in the lake may respond differently to the various nutrients causing the eutrophication, making it a difficult problem to solve with a simple management approach. I used a microcosm experiment to determine if the summer species of phytoplankton have different growth responses to inputs of varying levels and combinations of nitrogen and phosphorus. I analyzed the chlorophyll-a content and the community composition of each sample to determine that nitrogen and phosphorus each had quantifiable effects on phytoplankton growth. The responses of the unique phytoplankton morphospecies present in Lake Tahoe to the nitrogen and phosphorus suggest that Lake Tahoe should not be classified as a solely phosphorus limited lake for purposes of water clarity management. To best combat the growth of phytoplankton and thus maintain the water clarity of Lake Tahoe, management efforts should be focused on both nitrogen and phosphorus.</t>
  </si>
  <si>
    <t>chlorophyll-a, bioassay, limnology, Sierra Nevada, eutrophication</t>
  </si>
  <si>
    <t>OConnellC_2014-page1.pdf</t>
  </si>
  <si>
    <t>Rachel H. Phoa</t>
  </si>
  <si>
    <t>Improving the Management of Invasive Golden Apple Snails (Pomacea canaliculata) in the Singapore Quarry</t>
  </si>
  <si>
    <t>The invasion of the golden apple snail (Pomacea canaliculata) into Asia has the potential to cause serious ecological damage to healthy aquatic ecosystems. The two main current control methods used, molluscicides and manual removal, are ineffective and promising enhancements have not yet been widely tested. The snail’s impact on macrophytes in Singapore has also not been established. Thus, my study objectives were: (1) estimate the impact of the golden apple snail on the macrophytes in the Singapore Quarry; (2) investigate new control methods based on the snails’ habitat distribution and organic attractants (boiled and fresh papaya leaves, newsprint). I used a gut content analysis to evaluate the diet of the snails, quadrats and transects to characterize the snails’ distribution, and an experiment to test the effectiveness of the attractants. I found that the snails were indeed feeding preferentially on macrophytes, that there were significantly more snails in warmer areas of the Quarry (water temperature &gt; 33.34°C), and that boiled papaya leaves was the most effective attractant, especially in the short run (&lt; 2 hours). Thus, my study justifies urgent control of the golden apple snail in the Quarry and suggests that current manual removal efforts can be enhanced by placing boiled papaya leaves in warmer areas of the Quarry to concentrate the snails. As a case study of a tropical quarry lake, it also confirms that conclusions from the literature about the golden apple snail diet and susceptibility to attractants, but not their distribution, can be generalized to diverse habitats.</t>
  </si>
  <si>
    <t>invasion ecology, habitat distribution, organic attractants, gut content analysis, temperature</t>
  </si>
  <si>
    <t>PhoaR_2014-page1.pdf</t>
  </si>
  <si>
    <t>Noah T. Pitts</t>
  </si>
  <si>
    <t>The Impact of a Living Wall on the Thermal Performance of the Building Envelope in the San Francisco Bay Area, California, U.S.A.</t>
  </si>
  <si>
    <t>Living walls are an emerging building envelope technology that aims to address many
issues of sustainability within the built environment. They differ from other types of vegetative
wall coverings by incorporating the planting substrate into the assembly on the surface of the
façade which creates the potential for increased thermal performance of the building envelope. In
this study, I developed methods for constructing a south facing experimental living wall apparatus
and measured temperature differentials across the various material interfaces of the wall assembly
in order to construct diurnal thermal profile maps of a living wall under set parameters for internal
building loads and observed environmental conditions in the San Francisco Bay Area, California.
I collected data collected from March 22, 2014 to April 19, 2014 resulting in two similar days used
for comparing constant internal building heat flux outputs of 0 W/m2 and 30W/m2. The Analysis
shows that the vegetation layer of the living wall assembly can almost entirely mitigate the effects
of solar heat gain on the southern façade of a building. The living wall can also act as a thermal
insulator and under the conditions observed has an estimated rated insulation value (RSI) of 0.92
m2K/W, comparable to the performance of 1.5 inches of rigid expanded polystyrene sheeting
applied to the surface. These results point towards a significant potential for living walls to be used
as a means for reducing energy consumption of HVAC systems in buildings.</t>
  </si>
  <si>
    <t>Green Fa_x0007_ade, Vertical Vegetation, Moisture Retention Mat, Latent Heat, Thermal Insulation</t>
  </si>
  <si>
    <t>PittsJ_2014-page1.pdf</t>
  </si>
  <si>
    <t>Claire E. Porter</t>
  </si>
  <si>
    <t>Eco-tragedy or Business Opportunity: Discourses adopted by college students regarding environmental issues</t>
  </si>
  <si>
    <t>The need for a sustainable society is recognized by an increasing number of Americans, but the potential avenues for bringing this about are numerous and rooted in several different conceptualizations about the human-nature relationship. Technological and market solutions to environmental problems reflect a view of nature as commodity, whereas solutions that call for a reform of our industrial means of production suggest a new paradigm of the human-nature relationship. Current mainstream environmental discourse calls for lifestyle changes without altering the dominant paradigm: it is up to the individual to adopt environmentally-responsible behavior such as recycling, reducing water use, and limiting use of vehicles which burn fossil fuels. In my study, I administered an online survey to 344 students enrolled in Environmental Science and Policy Management 50 AC, Introduction to Culture and Natural Resource Management (ESPM 50AC) and conducted focus group interviews with 4 students engaged in the environmental community on the UC Berkeley campus to obtain data on undergraduate students’ understanding and conceptions of environmental issues. My results show that most students perceive environmental issues as caused by unsustainable individual lifestyles and environmentally irresponsible corporate activity, and the solution to environmental issues lies in the lap of these actors as well as the government with its ability to enact regulations and policy. The overwhelming majority of students recognize that unsustainable lifestyles are at the root of environmental problems, and for many students their experience at UC Berkeley has significantly changed their view of the human-nature relationship.</t>
  </si>
  <si>
    <t>consumption, environmentalism, perceptions, discourse analysis, interviews</t>
  </si>
  <si>
    <t>PorterC_2014-page1.pdf</t>
  </si>
  <si>
    <t>Zane W. Rankin</t>
  </si>
  <si>
    <t>Life History Diversity and Resiliency of Steelhead Trout (Oncorhynchus mykiss): A Case Study from the Pescadero Watershed</t>
  </si>
  <si>
    <t>Life history diversity provides population resilience to fish stocks via the portfolio effect. To investigate the potential evolutionary pressure of a recurrent fish kill of steelhead salmon (Oncorhynchus mykiss) in the seasonally closed Pescadero estuary in central California, I assessed juvenile life history using fyke net sampling and otolith samples. A fyke net continuously trapped downstream migrants above the estuary, and I measured otolith Strontium:Calcium (Sr:Ca) and Barium:Calcium (Ba:Ca) ratios of two incidental mortalities. I also analyzed otoliths from mortalities of fish kills in November 2011 and February 2014. Larger juveniles migrate downstream and exit the estuary in early spring (March median FL = 200 mm), and smaller individuals migrate downstream later in the spring (May median FL = 121 mm). The small fyke net mortality (FL = 86 mm) had no evidence of previous estuary entry but the larger mortality (FL = 213 mm) had Sr:Ca &gt;1.5 mmol/mol and Ba:Ca &lt;2 xmol/mol for several months of its ontology, indicating previous estuary residence. Thus at least some larger downstream migrants had previously lived in the estuary, exhibiting the rare smolting twice life history, however, none of the fish kill otoliths analyzed (n=7) indicated the smolting twice life history. Smaller downstream migrants remaining in the estuary after sandbar closure are vulnerable to fish kills occurring during bar breach. Due to the hereditability of life history strategies, the fish kill exerts selective pressure against the life history that overwinters in the estuary.</t>
  </si>
  <si>
    <t>portfolio effect, otolith microchemistry, smolting twice, phenotypic plasticity, seasonally closed estuary</t>
  </si>
  <si>
    <t>RankinZ_2014-page1.pdf</t>
  </si>
  <si>
    <t>Rebecca L. Samuel</t>
  </si>
  <si>
    <t>The Role of Soil Type, Nitrogen, and Mycorrhizae in Pea Aphid (Acyrthosiphon pisum) Reproduction</t>
  </si>
  <si>
    <t>To understand what leads to high pest densities in agricultural systems, experiments have compared conventional and organic conditions. Conventional management has been strongly linked to high pest densities, however less is known about reproduction rates under these conditions. Organic soils generally differ from conventional in their beneficial fungi. Experiments on the relationship between mycorrhizal fungi and pest reproduction have been inconclusive, which highlights a major gap in agricultural research. To fill these knowledge gaps, I conducted an experiment to examine soil type, nitrogen, and mycorrhizal fungi in aphid reproduction. In two rounds I planted fava beans in six different soil conditions. Round 1: organic, conventional, organic with ammonium nitrate (N), and conventional with N. Round 2: conventional with mycorrhizae and conventional with N and mycorrhizae. I added one adult aphid to each plant in individual cages. I counted offspring each day over five days to get an average reproduction rate. Plants in conventional soils hosted significantly higher reproduction rates than the other treatments in round 1, followed by organic, conventional + N, and lastly organic + N. These results were unexpected because it shows that increased nitrogen may decrease pest problems in either organic or conventional conditions. This may be due to the amount of nitrogen applied or possible plant defenses. These results also showed that organic soils best reduce reproduction. I found no significant difference between the treatments of round 2, which implies that the mycorrhizal fungi may be beneficial for aphid reproduction and detrimental for pest management.</t>
  </si>
  <si>
    <t>Pest control, soil content, belowground and aboveground interactions, organic, conventional</t>
  </si>
  <si>
    <t>SamuelR_2014-page1.pdf</t>
  </si>
  <si>
    <t>Grace A. Smith</t>
  </si>
  <si>
    <t>Spider Family Response to Changes in Habitat Diversity at the Field and Landscape Scales of Wine Grape Vineyards in Napa and Sonoma Counties</t>
  </si>
  <si>
    <t>Vineyards and their surrounding landscapes provide habitats for beneficial predators that play a crucial role in biological control. Spiders can be important beneficial predators in vineyards due to their abundance and feeding habits. No previous study has addressed the effects that changes in habitat diversity both within and surrounding vineyards have on spider family diversity in vineyards. The purpose of this study was to provide insight into biological control of vineyards by investigating family specific response of spiders to changes in habitat diversity at multiple spatial scales. Between 2010 and 2013 members of Altieri lab sampled spiders annually from monoculture vineyards, vineyards with flowering cover crops, and vineyards with surrounding riparian habitat. The percentage of natural habitat in the surrounding landscape was quantified at distances of 0.5 km to 6 km surrounding each vineyard. Spiders were collected from 32 different vineyards and 1092 spiders were identified, representing 13 families. Vineyards with flowering cover crops consistently had slightly higher spider diversity than vineyards without flowering cover crops, though the difference was not statistically significant. Additionally, findings suggest that dispersal corridors of non-crop habitat are needed for spiders to enter vineyards from surrounding landscapes. Findings also suggest that flowering cover crops can best enhance spider diversity within vineyards when landscape diversity is increased at 6 km (or possibly more) from vineyards. Finally, a relationship between the family Anyphaenidae and increased landscape diversity surrounding the vineyards highlights the need for further research into the role of Anyphaenidae in biological control of vineyards.</t>
  </si>
  <si>
    <t>floral resource provisioning (FRP), landscape diversity, biodiversity, biological control, flowering cover crops</t>
  </si>
  <si>
    <t>SmithG_2014-page1.pdf</t>
  </si>
  <si>
    <t>Clayton J. Sodergren</t>
  </si>
  <si>
    <t>Relative Effects of Fog, Competition and Tree Size on Coast Redwood Growth in Strawberry Canyon, Berkeley, California</t>
  </si>
  <si>
    <t>Climate change is reducing the amount of fog across the California coast, which encompasses all of the native habitat of Coast Redwood (Sequoia sempervirens). In order to explore the potential impacts of diminishing fog levels on redwood growth, I investigated the effects of fog, intraspecific competition, and tree size on redwood radial growth to quantify the relative importance of each factor. My study site was an even-aged, planted stand with a strong summer fog gradient in Berkeley’s Strawberry Canyon. I compared the relative effects of competition, the summer and winter fog hours in which each tree was inundated, and the size of each tree on relative growth rate. I investigated whether the intensity of intraspecific competition in redwoods differed over a gradient of water stress, as measured by differences in fog levels, in order to test the Stress Gradient Hypothesis, and investigated whether lower fog levels correlated with less radial growth. I found that fog hours and intraspecific competition accounted for very little of the variation in growth, but that tree size described a significant amount of the variation in growth. Size and summer fog were the only significant factors in the best-fitting regression model. Additionally, crown competition may play a role. I found no connection between fog amounts and intraspecific competition, which does not provide evidence for the Stress Gradient Hypothesis. These results show a lack of fog stress in this stand, which is a good sign for the species in the context of climate change.</t>
  </si>
  <si>
    <t>Stress Gradient Hypothesis, Inverse Distance Weight (IDW), Hegyi competition index, intraspecific competition, radial growth</t>
  </si>
  <si>
    <t>SodergrenC_2014-page1.pdf</t>
  </si>
  <si>
    <t>Erika N. So</t>
  </si>
  <si>
    <t>Conservation Biological Control of the Western Grape Leafhopper (Hemiptera: Cicadellidae): Plant Host Preference of the Parasitoid Anagrus erythroneurae (Hymenoptera: Mymaridae) in Napa and Sonoma, California</t>
  </si>
  <si>
    <t>Sustainable pest management is a major concern in large agricultural productions. In Northern California viticulture, the Western Grape Leafhopper often threatens plant health and crop quality. As an alternative to noxious chemicals, the surrounding habitat can be manipulated to favor beneficial insects that naturally control pest populations. These parasitoids, Anagrus erythroneurae, require an alternate host while the target pest is overwintering as an adult in the fallen leaf litter. After collecting monthly samples from plant genera common throughout the vineyards and surrounding landscapes, I reared parasitoids and examined their abundance to determine their relative plant preference. While previous studies have revealed blackberry (Rubus spp.) and rose (Rosa spp.) as suitable refuges, I found that mint (Mentha spp.), catnip (Nepeta spp.), and Ceanothus spp. also sustain significant parasitoid populations. Altering the surrounding plant community and increasing refuge availability within the vineyards supports a stable population that can more efficiently provide favorable ecosystem services. Future studies should explore which leafhopper species are prevalent on these host plants and how the pest populations are affected by increasing the abundance of these plants in the surrounding habitat.</t>
  </si>
  <si>
    <t>Erythroneura elegantula, viticulture, overwintering habitat, alternate host, pest management</t>
  </si>
  <si>
    <t>SoE_2014-page1.pdf</t>
  </si>
  <si>
    <t>Samuel A. Syde</t>
  </si>
  <si>
    <t>The Bias of Knowledge: the Role of Environmental Knowledge in Public Opinion Formation</t>
  </si>
  <si>
    <t>Studying public environmental opinion is fundamental to understanding the factors influencing the decisions potential voters make when formulating and expressing policy preferences on environmental issues. Environmental knowledge may represent an important precursor in the development of informed opinions on environmental issues. However, little research has been conducted relating these variables directly, rather most studies utilize demographic explanations for distinct manifestations of either variable in isolation. In this study, I investigated whether greater environmental knowledge leads to the development of distinct policy preferences. To address this question, I developed a survey of questions intended to generate two scores quantifying the environmental knowledge and opinions of survey respondents. I posed objective knowledge questions and parallel subjective opinion questions for three categories of environmental issues: climate change, energy, and sustainability. I distributed this online survey to Berkeley students in ESPM 50AC: ‐Introduction to Culture and Natural Resource Management‐ of which three-hundred students from a variety of majors and backgrounds responded. Higher environmental knowledge scores were shown to correlate with more ‐pro-environmental‐ opinions on various policies and reforms. Moreover, I found significant demographic trends in environmental knowledge, opinion, and the relationship between these variables. These findings have important implications for the field of environmental politics and the prospect of reform through educational campaigns or information advocacy. The relationship between knowledge and public opinion also has significant implications for our understanding of democratic accountability and informed political decision-making.</t>
  </si>
  <si>
    <t>political knowledge, specific knowledge, informed opinions, democratic accountability, online survey</t>
  </si>
  <si>
    <t>SydeS_2014-page1.pdf</t>
  </si>
  <si>
    <t>Jasmine Thai</t>
  </si>
  <si>
    <t>Association of Hearing Loss and Nutrient Deficiencies</t>
  </si>
  <si>
    <t>Presbycusis is the age-related gradual development of hearing loss in the elderly. Hearing loss is an important component that contributes to the quality of life, making its loss an important public health concern. Age-related hearing loss is unavoidable, but early presbycusis may be reduced by further investigating factors that may contribute to the loss of sensorineural hearing. This paper investigates the association of presbycusis and antioxidant vitamins C, D, E, magnesium and folic acid. Diet warrants consideration because there is a strong correlation between hearing loss and type II diabetes or obesity. I used cross-sectional data from NHANES that were collected for 6612 participants between the years 2005-2010 to examine the relationship between hearing loss and nutrient deficiencies as defined by recommended daily allowance values dictated by the National Institute of Health. The data was compared using Pearson's Chi-squared tests, Fisher's exact tests, and adjusted for covariates using logistic regression. I found that participants categorized as deficient on RDA values had statistically significant higher odds of having hearing loss. My findings associating hearing loss to nutrient deficiencies suggest further implications of being aware of dietary intakes.</t>
  </si>
  <si>
    <t>Presbycusis, age-related hearing loss, antioxidant vitamins, nutrition, NHANES</t>
  </si>
  <si>
    <t>ThaiJ_2014-page1.pdf</t>
  </si>
  <si>
    <t>Luke S. Tillmann</t>
  </si>
  <si>
    <t>Climate Change in the Rockies: Topographic Influence Over Vegetation Shifts</t>
  </si>
  <si>
    <t>Rising global temperatures have resulted in changes in plant phenology and range distributions, with the impacts being especially noticeable in mountain regions. In response to warming, vegetation often shifts to higher elevations, with treeline sometimes shifting upward tens of meters. To determine how trends in vegetation change in the Colorado Rocky Mountains relate to those observed at other mountainous sites throughout the world, I surveyed plant populations over nearly four decades at the Niwot Ridge Long-Term Ecological Research site using high-resolution aerial imagery. Overlaying land cover data from 1972 and 2008 for 2000 initial sample points onto a 10-meter Digital Surface Model (DSM) of the site, I conferred elevation, slope, and aspect variables to each point to determine how topographic factors limit or enhance vegetation shifts. While yearly temperatures at a weather station on site have shown a progressive decline in temperature since the early 1950’s, Niwot Ridge has been warming during summer months over this same interval. This summer warming may contribute to vegetation shifts. Overall, tundra vegetation declined while shrubs and forests increased in cover. Tundra and shrub vegetation both experienced noticeable upward shifts in elevation, while forests seemed to infill with little upward expansion, possibly as a result of high wind speeds limiting establishment above treeline. Aspect and slope both had limited impacts on vegetation shifts, with forest expansion not being significantly affected by either factor.</t>
  </si>
  <si>
    <t>climate change, vegetation shifts, tundra, shrub expansion, digital surface model</t>
  </si>
  <si>
    <t>TillmannL_2014-page1.pdf</t>
  </si>
  <si>
    <t>Gerardo Tinoco, Jr.</t>
  </si>
  <si>
    <t>Growing season and summer habitat preference of Western Grape Leafhopper, Erythroneura elegantula, in California North Coast vineyards</t>
  </si>
  <si>
    <t>The increased demand for holistic, integrated pest management techniques has intensified the need to better understand key pest ecology. This experiment sought to fill gaps in Western Grape Leafhopper, Erythroneura elegantula, life history and ecology. The focus of this study was to uncover potential overwintering host plants that aid WGLH during their winter diapause period. A custom built D-Vac machine was used to sample various plant species surrounding Northern California wine vineyards. Sampling was conducted for an entire year, thus allowing for a better understanding of the key transition periods and filling of gaps in leafhopper ecology outside of the vineyard. Experiment results showed that leafhoppers occupy the vineyard floor and weedy vegetation when not occupying the vine canopy, but also showed a significant preference for various species of mint plants during non-growing season periods. These results were obtained by comparing seasonal average leafhopper densities amongst several plant species using non-parametric analysis of variance tests. The results of this study and its implications on comprehensively understanding leafhopper ecology could potentially lead to better farm management recommendations for farmers that want to steer away from conventional, industrial agriculture methods.</t>
  </si>
  <si>
    <t>Habitat assessment, biological control, integrated pest management, farm landscape management, diapause</t>
  </si>
  <si>
    <t>TinocoG_2014-page1.pdf</t>
  </si>
  <si>
    <t>Tiffany Tran</t>
  </si>
  <si>
    <t>How Sustainability Initiatives Influence Consumer Perceptions: Case Study on Levi Strauss &amp; Co.’s Waste&lt;Less Jeans Collection</t>
  </si>
  <si>
    <t>Corporate social responsibility initiatives have been integrated into many business models and practices across various industries. One company engaged in sustainability initiatives is Levi Strauss &amp; Co. (Levi’s), an American clothing company known for its iconic brand of denim jeans. Levi’s has grown its brand portfolio with its sustainability initiatives, which include the newly launched product line called the Waste&lt;Less Jeans Collection, a line of denim that incorporates post-consumer waste as materials in the jeans. This step towards sustainable product innovation is a pioneering approach in the industry, however there is no research on how consumers react to and perceive the Collection. To determine how Levi’s Waste&lt;Less Jeans Collection impacts consumer perceptions, I surveyed consumers with questions in the following categories: 1) Level of environmental consciousness; 2) Consumer attitudes; 3) Consumer purchasing behavior; 4) Knowledge of Levi’s Waste&lt;Less Jeans Collection; 5) Perception of the initiative and the company; 6) Demographics. Results indicate that consumers react positively to the Waste&lt;Less Jeans Collection, however the study also shows that Levi’s does not effectively communicate or market the initiative to consumers. This study suggests that forward thinking and environmentally conscious companies like Levi’s, need to gain a clear understanding of their potential consumer base, their expectations, and how to effectively communicate and market their sustainability initiatives.</t>
  </si>
  <si>
    <t>corporate social responsibility, consumer behavior, eco-friendly products, green marketing, environmental consciousness, branding</t>
  </si>
  <si>
    <t>TranT_2014-page1.pdf</t>
  </si>
  <si>
    <t>Tara R. Yavorsky</t>
  </si>
  <si>
    <t>A Sustainable Alternative within the Dry Cleaning Industry: Consumer Knowledge, Perception, Demography and Behavior</t>
  </si>
  <si>
    <t>The dry cleaning industry has been criticized for its widespread use of Perchloroethylene (PCE) due to its adverse effects. Public concern for these effects created impetus for the development of GreenEarth Cleaning, which utilizes D5-based solvents. While more sustainable D5-based solvents help to mitigate environmental and health effects commonly associated with conventional cleaning methods, a limited range of consumer knowledge on its characteristics can lead to altered perception and purchasing behavior within the industry. In this study, I surveyed customers of a GreenEarth cleaner, relaxx Dry Cleaning, in San Diego, California to identify statistically significant relationships between knowledge, demography, perception, and purchasing behavior. My results show that customers have a limited knowledge of the GreenEarth process. My analysis also shows a significant relationship between gender and customer perception in five categories (sustainability, cost, customer health, worker health, cleaning effectiveness) with p-values of 9.58e-05, 1.73e-05, 5.21e-05, 6.19e-06, and 0.000794 respectively, which may indicate that green cleaners need to aim different marketing strategies at male and female customers. Overall, my study highlights the potential for green companies to both expand their customer base and be better promoters of environmental responsibility by improving corporate sustainability initiatives.</t>
  </si>
  <si>
    <t>Percholoethylene (PCE), decamethylcyclopentasiloxane (D5), consumer education, corporate sustainability, environmental responsibility</t>
  </si>
  <si>
    <t>YavorskyT_2014-page1.pdf</t>
  </si>
  <si>
    <t>Angela Zhang</t>
  </si>
  <si>
    <t>Influences of Vegetation and Seed Densities on Seed Predation of Centaurea solstitialis and Carduus pynocephalus in California</t>
  </si>
  <si>
    <t>Invasive plants are a ubiquitous problem in many ecosystems. Conservation of small populations of native plants is heavily dependent on efforts to control the spread of invasive species, which are costly to control and can lead to rangeland degradation. Two invasive species that are particularly rampant in California annual grasslands are yellow starthistle (Centaurea solstitialis) and Italian thistle (Carduus pynocephalus). For management strategies for combating the spread of these invasive thistles, studies have shown that seed predation limits new plant recruitment and abundance. Weevils, small mammals, and birds are active in seed predation in the two thistles. However, the specific effects of vegetation and seed densities on seed predation have not been widely explored. In my study, I tested for the possible effects of varying vegetation and seed densities on seed predation levels in C. pycnocephalus and C. solstitialis. I also ran an exclusion experiment to discern which type of seed predator had the highest seed predation levels on the thistle seeds. As a result of my experiment, I found that only varied seed level yielded significant results in affecting seed predation levels. For the exclosures, I found that birds had the highest levels of seed predation. Compared to the weevils that exhibited 60-100% seed removal, birds were not as effective and only removed 20-40%. Further study into native seed predators would not be unwarranted, and may help management strategies incorporate more comprehensive approaches towards controlling the spread of invasive species.</t>
  </si>
  <si>
    <t>Carduus pycnocephalus, Centaurea solstitialis, rangeland ecology, seed predation, density dependence, California annual grasslands</t>
  </si>
  <si>
    <t>ZhangA_2014-page1.pdf</t>
  </si>
  <si>
    <t>My research aims to answer the question whether certain characteristics affect a park or schools
risk of exposure to vehicle emissions. My research focuses on parks and schools because I am
specifically interested in analyzing how children are affected by toxic air pollution. To measure
exposure to vehicle emissions I measured the distance (m) between schools and parks and
highways or highly trafficked roads. I analyzed ethnicity/race data, education level, and median
household income for parks. For schools I analyzed title 1 eligibility, ethnicity/race data, and
academic performance. I found that as academic performance decreased the distance between
schools and highways decreased. Title-1 eligible schools were 1.79 times more likely to be located
within 250m of a highway or highly-trafficked road. The odds of a school that serves
predominantly minority students being near a highway are 2.5 times the odds of a predominantly
white school. There was no correlation between education level and the distance between parks
and schools. Parks in a predominantly white area were less likely to be near a highway or highly-
trafficked road. Lastly, there was a low positive correlation between income level and the
proximity between parks and highways.</t>
  </si>
  <si>
    <t>Expanding geospatial databases offer new opportunities for correlating landscape characteristics
(LCs) with water quality metrics, thereby improving stream management. CEDEN (California
Environmental Data Exchange Network) is an online data portal with many public databases,
including benthic macroinvertebrate (BMI) data. This study used four years of SWAMP BMI data
(Surface Water Ambient Monitoring Program) alongside National Land Cover Data to examine
correlations between BMI metrics and LCs within the San Francisco Bay Area. LCs were sampled
in ArcGIS using 100m, 500m, and 1000m point buffers, and catchment areas around BMI
sampling locations. Catchment-scale landscape data were more normally distributed, but 500m
and 1000m buffers returned the strongest correlations. Linear regression revealed land cover type,
% canopy cover, and slope as most predictive of BMI metrics, while road-based metrics, %
impervious surface coverage, and population data were not correlated for this dataset, likely due
to selection biases during BMI site selection.</t>
  </si>
  <si>
    <t>Andre J. Adao</t>
  </si>
  <si>
    <t>An Evaluation of Environmental Content in the University of California, Berkeley’s Undergraduate Curriculum</t>
  </si>
  <si>
    <t>Environmental education (EE) addresses human relationships with natural and built environments, awareness of environmental problems, and skills to combat threats to human health and environmental quality. Because environmental consciousness is important to the future of ecological sustainability, EE must be broadly included in higher education, but the degree of EE in the curricula of different academic fields is unknown. I evaluated the degree of environmental content and topics covered in courses across different academic fields at the University of California, Berkeley. I sampled undergraduate course syllabi and professors across academic disciplines in the natural sciences, social sciences, humanities, formal sciences, and professional and applied sciences. Using content analysis and surveys, I found that most courses do not emphasize environmental topics in the syllabi, yet more than half of the professors said they include environmental content within their courses. And those courses that did include environmental content did so in less than 20% of the lectures. The natural sciences and professional and applied sciences included the most environmental content in their coursework, while the formal sciences and humanities have the least. The most frequently occurring environmental themes are climate change, food, the built environment, sustainability, and the natural environment. Furthermore, most professors do not believe that it is a good idea to formally introduce EE into their courses; however, a greater percentage of professors in the social sciences (39%) and professional and applied sciences (34%) would incorporate EE into their course. From my findings I inferred that most academic departments are in one of the first four stages of innovation: (1) lacking awareness, (2) awareness, (3) interest, or (4) evaluation.</t>
  </si>
  <si>
    <t>environmental education, sustainability, syllabi, content analysis, innovation theory</t>
  </si>
  <si>
    <t>AdaoA_2012-page1.pdf</t>
  </si>
  <si>
    <t>https://www.ocf.berkeley.edu/~pkmendez/envsci/projects/2012final/</t>
  </si>
  <si>
    <t>Sophia E. Ashton</t>
  </si>
  <si>
    <t>Residential Occupant Characteristics and Tree Mortality</t>
  </si>
  <si>
    <t>Urban forests are integral components in maintaining urban ecosystem health and provide many ecosystem services. This study investigates the survival of urban trees in Sacramento, CA planted by the Sacramento Tree Foundation’s Shade Tree Program (STP). STP distributes approximately 10,000 trees annually to properties in Sacramento County to shade buildings and reduce summer cooling needs. However, the program faces challenges with tree survival. In this study, I investigated the connection between home occupant characteristics and urban tree mortality within STP. I collected data from the Multiple Listing Service (MLS) realtor’s database and Sacramento County Assessor’s Office to track home foreclosure, new home ownership and owner occupancy. I analyzed 429 properties within Sacramento that received trees from STP in 2007. Renter occupancy was the only variable that had a significant effect on tree planting (p=.007) and tree survival (p&lt;0.001). Trees on properties that experienced foreclosure and new home ownership had a higher rate of tree mortality, but this difference was not statistically significant. The results from this study will aid in tailoring outreach and tree care protocol from the Sacramento Tree Foundation. This study highlights the need for more research on the connection between occupant characteristics and urban ecology.</t>
  </si>
  <si>
    <t>foreclosure, renter, Multiple Listing Service, urban ecology, urban forestry, tree mortality</t>
  </si>
  <si>
    <t>AshtonS_2012-page1.pdf</t>
  </si>
  <si>
    <t>Stephanie Baker</t>
  </si>
  <si>
    <t>Evaluating the Feasibility of Urban Agriculture on Oakland's Private Land</t>
  </si>
  <si>
    <t>I explored the opportunity to diminish the food desert in the city of Oakland, CA through augmentation of the current inventory of known vacant land parcels for urban agricultural use. Through the creation of a land inventory and subsequent suitability analysis using a Geographic Information System (GIS), I was able to identify the most suitable vacant parcels of land for urban agriculture in Oakland. Overall, I identified 2,961 individual private tax parcels of interest, constituting 1,076 acres of land. Through the weighted evaluation of physical characteristics such as slope, aspect, ground cover type, and access to water, I was able to map the opportunities and constraints to urban agriculture on land in Oakland. In addition, I conducted interviews with leaders from local organizations currently practicing urban agriculture on private land in order to amalgamate the tested methodologies for locating private land for farming. The interviews I conducted illuminated the local networks in which these three urban agriculture organizations operate that assisted them in connecting with landowners in order to gain access to the privately owned land on which they farm. If made available to the public, this information on land suitability and location of vacant privately owned parcels could be useful in aiding those who wish to locate vacant land suitable to urban agriculture in order to grow food.</t>
  </si>
  <si>
    <t>Food desert, community garden, farming, environmental justice, suitability analysis</t>
  </si>
  <si>
    <t>BakerS_2012-page1.pdf</t>
  </si>
  <si>
    <t>Anna E. Bischoff</t>
  </si>
  <si>
    <t>Effects of Three Climate Regimes on the Mechanisms of Carbon Stabilization in a Sierra Nevada Mixed Conifer Forest Soil</t>
  </si>
  <si>
    <t>A change in carbon residence times in soil has huge potential to alter global carbon cycling and atmospheric composition. Therefore, an understanding of how mechanisms of carbon stabilization respond to ecosystem changes is essential for accurately modeling global climate change. Soils as whole ecosystems and specific soil biotic conditions are known to respond to changes in climate. However, the response of specific mechanisms of carbon stabilization to a change in climate has not been tested. In this study, I identify how the specific stabilization mechanisms of relative recalcitrance, occlusion in aggregates, and mineral binding are affected by incubation in a seasonally fluctuating climate, consistently warm/wet climate, and consistently cool/dry climate. I incubated soil from Blodgett forest in the Sierra Nevada Mountains with 13C labeled dead microbial cells under the three climates for one year and compared the amounts of 13C stabilized in the three functional humic fractions: free light fraction (fLF), occluded fraction (oLF), and heavy fraction (HF). I found that the soil under the consistently warm/wet climate stabilized on average 20.7 mg 13C, 9 mg less than the fluctuating climate and 18 mg less than the cool/dry climate. The warm/wet climate did, however, stabilize the most 13C in the HF (12.6 mg) compared to the soils under the other two climates. I also found that the consistently cool/dry climate stabilized the most 13C in the fLF (15.6 mg), 6 mg more than the warm/wet climate. There was no significant difference in the amount of 13C stabilized in the oLFs under the three climates.</t>
  </si>
  <si>
    <t>Functional humic fractions, density fractionation, relative recalcitrance, occlusion in aggregates, mineral binding</t>
  </si>
  <si>
    <t>BischoffA_2012-page1.pdf</t>
  </si>
  <si>
    <t>Lian M. Boos</t>
  </si>
  <si>
    <t>A Farmers’ Market in a Food Desert: Evaluating Farmers’ Market Effects on Food Accessibility in Richmond, CA</t>
  </si>
  <si>
    <t>Food deserts, areas where residents find it difficult to find healthy, affordable foods, contribute to rising levels of obesity and diet related diseases in many urban areas. Farmers’ markets have emerged as an approach to improving food accessibility in food deserts, but little research has been done on their effectiveness in addressing food insecurity in food deserts. I used GIS to identify a farmers’ market in Richmond, CA that was located in a food desert, and surveyed its customers to determine whether it was an effective means of providing healthy foods to a local population that would otherwise lack food accessibility. Customers who lacked access to healthy food without the farmers’ market purchased a greater percentage of their food at the farmers’ market than those who had access (p&lt;.05). Customers who lived closer to the market used the market more, and tended to have income levels relatively lower than other customers. This market was so accessible to its customers because of its proximity to many customers’ places of work, the diversity of its customer base, and most importantly, the affordable price of its produce. Most of the vendors at the market sell a product that is chemical free, but not organic certified, allowing them to maintain an affordable product for their customers. The findings of this study have implications not only for the effectiveness of farmers’ markets in addressing issues of food accessibility, but for how to make future markets the most accessible.</t>
  </si>
  <si>
    <t>Food environment, food desert solutions, food insecurity, survey, urban environments</t>
  </si>
  <si>
    <t>BoosL_2012-page1.pdf</t>
  </si>
  <si>
    <t>Diana Castro</t>
  </si>
  <si>
    <t>Sudden Oak Death Symptoms in Quercus agrifolia and its Host Associations in Redwood Regional Park, California</t>
  </si>
  <si>
    <t>Phytophthora ramorum causes sudden oak death, a disease which has infected and killed several oak species in coastal California forests. Understanding of the disease's distribution is necessary for management. In this study, I examined data on more than one thousand coast live oak trees, to determine the relationship between infected oaks and two hosts. Within each of 107 randomly distributed plots in Redwood Regional Park, CA, I assessed coast live oak, madrone, and bay laurel for disease symptoms. I hypothesized that basal area of bay laurel trees had a significant effect on the presence of sudden oak death in coast live oak. I also hypothesized that basal area of madrone trees had a significant effect on the presence of sudden oak death in coast live oak. I found that bay laurel basal area or madrone basal area did not have a significant relationship with diseased coast live oaks in an abundance model (p=0.332, p=0.478). An association was only found between symptomatic coast live oaks and unhealthy bay laurel in the abundance model (p=0.0225). With proportion of symptomatic coast live oak on a plot, both bay and madrone basal areas had an association (p=0.00369, p=0.0198). Bay laurel has been considered to be the primary host of concern for propagation of P. ramorum in California forests. This study suggests that madrone could also be a significant host. Findings from my study can inform future research to minimize the spread of sudden oak death by assessing the potential of madrone as a threat to coast live oak.</t>
  </si>
  <si>
    <t>bay laurel, madrone, abundance model (count model), weighted model (proportion model)</t>
  </si>
  <si>
    <t>CastroD_2012-page1.pdf</t>
  </si>
  <si>
    <t>Amy Chan</t>
  </si>
  <si>
    <t>Mapping the Cumulative Impacts of Point-Source Air Pollution in West Oakland</t>
  </si>
  <si>
    <t>High levels of ambient air pollution in dense urban communities are associated with negative health outcomes to exposed populations. Environmental justice studies have focused on the disproportionate siting of air pollution sources in low income and communities of color. Beyond justice concerns, potential cumulative impacts from multiple sources create additive toxicity and compounding effects from multiple chemicals. This is a concern for mixed-use communities such as West Oakland, a residential neighborhood and industrial zone. This study focuses on the children at schools and childcares of West Oakland, whose health may be particularly negatively affected by air pollution. I used GIS to analyze the proximity of schools and childcare to point-source air pollution emission sites in West Oakland compared to the city of Oakland. From a buffer analysis of a radius of 0.5 miles, I found schools in West Oakland had an average of 5.3 point-sources emitting 62 lbs/year of toxic air pollutants within 0.5 miles compared to Oakland with an average of 4.7 sources emitting 509 lbs/year. For criteria air pollutants, I found schools in West Oakland had an average of 10.5 point-sources emitting 10.37 tons/year of criteria air pollutants compared to Oakland with an average of 7.8 sources emitting 33.3 tons/year. I found a similar comparison for childcares. This suggests that during the time at schools and childcare centers, children of West Oakland are less burdened by stationary point-source air pollution relative to Oakland. However, this does not translate to a lack of adverse human health effects.</t>
  </si>
  <si>
    <t>air pollution emissions, children’s health, schools and childcare centers, geographic information systems, buffer analysis</t>
  </si>
  <si>
    <t>ChanA_2012-page1.pdf</t>
  </si>
  <si>
    <t>Tiffany Chang</t>
  </si>
  <si>
    <t>Potential Substrates for Low-Cost Flexible Supercapacitors</t>
  </si>
  <si>
    <t>Over the past several years, there has been a growing interest in the application of supercapacitors as replacements for conventional batteries, which are significant contributors of heavy metals into the environment. Flexible supercapacitors, unlike the traditional rigid supercapacitor, can be constructed with more accessible and cheaper flexible substrates. I constructed carbon nanotube (CNT) test samples using three low-cost substrates—polydimethylsiloxane (PDMS), polycarbonate (PC), and Scotch-brand matte adhesive tape—and looked at whether or not stress on the horizontally-aligned CNT affected the supercapacitor’s performance with respect to capacitance, resistance, and cost. Using a Teflon tube to achieve horizontally-aligned carbon nanotubes (HA-CNT) prior to delamination in deionized water, the CNT were subjected to bending tests of varying degrees on all three substrates as well as cycling tests to measure specific capacitance in both a concave and convex orientation. There was no significant increase in resistance in any of the substrates to indicate a damaged CNT forest. Specific capacitances for the densified CNT samples were at least twice that of an undensified CNT sample. As for which material is best, because the PDMS, PC, and tape samples all performed well in the resistance tests, the choice depends on the application and which characteristics are required of the substrate. With its already remarkably high power density and long lifetime, flexible supercapacitor can now be manufactured at a lower cost and applied to a wider range of technologies than traditional rigid supercapacitors, providing the necessary foothold for future supercapacitors in the competitive energy storage market.</t>
  </si>
  <si>
    <t>carbon nanotube, energy storage device, bending test, polydimethylsiloxane, polycarbonate</t>
  </si>
  <si>
    <t>ChangT_2012-page1.pdf</t>
  </si>
  <si>
    <t>Katya Cherukumilli</t>
  </si>
  <si>
    <t>Testing the Maximum Entropy Theory of Ecology for predicting Species Abundance Distributions and Species Area Relationships in Control and Warmed Plots at the Rocky Mountain Biological Laboratory</t>
  </si>
  <si>
    <t>The purpose of this study was to test how accurately the Maximum Entropy Theory of Ecology (METE) will predict the Species Area Relationships (SAR) and Species Abundance Distributions (SAD) of plants and SAD of insects in disturbed (warmed) and undisturbed (control) sites in the ‐Warming Meadow‐ at the Rocky Mountain Biological Laboratory (RMBL). Based on METE’s prediction that empirical SAR data should fall along a curve known as the ‐universal scale collapse‐ curve, I hypothesized that METE would be valid for undisturbed sites and invalid for disturbed sites, an inference supported by past experiments conducted at RMBL. I also expected the empirical plant and insect data for control plots to fit METE’s prediction. Contrary to my hypotheses, statistical analysis indicated that empirical SAR curves for warmed plots (mean distance x= .044) lay closer to the theoretical curve than the control plots’ curves (mean distance x= .106). Similarly, Chi-squared goodness-of-fit test statistics for SAD indicated that for both plants and insects, only one warmed and one control plot showed a significant fit to the theory. Ultimately, the study’s conclusion either indicates a failure of theory or a failure of experimental setup. Possible explanations for why METE appears to predict the SAR and SAD accurately for disturbed and undisturbed plots include the relatively moderate level of warming (2.0°C), a short time period of warming (21 years), or a new species composition equilibrium reached by the ecosystem.</t>
  </si>
  <si>
    <t>disturbance, ecosystem, macroecology, biodiversity, climate change</t>
  </si>
  <si>
    <t>CherukumilliK_2012-page1.pdf</t>
  </si>
  <si>
    <t>Emily Chow</t>
  </si>
  <si>
    <t>Investigating Methane Flux from Sacramento-San Joaquin Delta Soils</t>
  </si>
  <si>
    <t>Peat soils are estimated to contribute approximately 10% of global emissions of methane, a powerful greenhouse gas. Previous research on soil methane emissions has focused on discrete sampling of methane at single points in time. In this study, I investigate how methane flux from soils varies over time and by depth at two sites in the Sacramento-San Joaquin Delta: Sherman Island, a drained peatland, and the Mayberry Slough restored wetland. Methane emissions from soil samples collected from both sites were measured in the laboratory over the course of seven weeks. Methane fluxes from soils collected above the water table at Sherman Island ranged from -4.8 to 2.2 nmol/m²/s with a mean flux of -0.61 nmol/m²/s, while fluxes from soils below the water table ranged from -6.1 to 38.5 nmol/m²/s, with a mean flux of -0.54 nmol/m²/s. Methane flux from Mayberry Slough soils ranged from -1.8 to 2089.9 nmol/m²/s with a mean flux of 144.6 nmol/m²/s. Methane flux does not vary with depth at Sherman Island, but does vary with site; methane fluxes from Mayberry Slough were significantly larger than Sherman Island fluxes. Over the course of seven weeks, methane flux from soil samples decreased up to four orders of magnitude. This rapid and dramatic drop suggests changing microbial communities and low rates of methanogen survival in laboratory samples.</t>
  </si>
  <si>
    <t>Carbon flux, peat soils, methanogenesis, land use, time series analysis</t>
  </si>
  <si>
    <t>ChowE_2012-page1.pdf</t>
  </si>
  <si>
    <t>Evelyn D. Christina</t>
  </si>
  <si>
    <t>Hunting in Indonesian Oil Palm Landscapes: A Case Study in Jambi Province, Sumatra</t>
  </si>
  <si>
    <t>With the on-going expansion of oil palm plantations replacing biodiverse tropical rainforests, it is necessary to understand impacts of these practices on conservation. Increased densities of wild boar, Sus scrofa, and altered hunting practices are a few of the secondary effects from oil palm that threaten remaining wildlife communities in plantation landscapes. Increased wild boar will negatively affect remaining forests and agriculture. also suggest that demography can potentially be used as a proxy for hunting activity. To better understand the social factors that influence wild meat hunting and consumption, I carried out a study on hunting practices present in Jambi Province of Sumatra, Indonesia. Through interviews with hunters, hunter-follows, and visiting wild meat markets, I explore how hunting is changing with the rise of oil palm. My results suggest that hunting with nets exerts removes the most animals, but almost exclusively capture wild boar. Overall, hunting provided food and income to local people, but was rarely a primary livelihood strategy. Wild boars have been shown to negatively impact forests when their densities are above normal. I suggest that hunting wild boar may be beneficial to both the local ecology and communities. I'm advocating the regulated use of nets as the hunting method that most selectively targets wild boars, minimizing the by catch of more threatened forest wildlife and removing pest boars from plantations. In addition, my results also suggest that demography can potentially be used as a proxy for hunting activity</t>
  </si>
  <si>
    <t>wild boar, wildlife hunting, pest management, ethnicity, wildlife demand</t>
  </si>
  <si>
    <t>ChristinaE_2012-page1.pdf</t>
  </si>
  <si>
    <t>Sarah R. Cohen</t>
  </si>
  <si>
    <t>San Diego’s IPCCC: The Implications and Politics of Climate Change Confusion</t>
  </si>
  <si>
    <t>With climate change poised to play a pivotal role in our lives, understanding how to foster support for climate policy is crucial. In recent years, however, it has become increasingly clear that creating successful climate legislation is a difficult task. One particularly notable obstacle is the public’s general misunderstanding of the science of climate change, and many people lack a strong grasp of how climate change works. This study primarily aims to address the question: does increased knowledge about the mechanism of climate change correlate with more desire to enact climate policies? To clarify this link, I conducted a survey in San Diego in which participants provided both qualitative accounts of climate change’s mechanism and quantitative Likert scale ratings for their attitudes about specific climate policy choices. I found that (1) participants knew very little about how climate change works and (2) participants’ knowledge about climate change is, in fact, related to many of their beliefs about its existence, their willingness to sacrifice in response to legislation about it, and their desire for federal policy to mitigate it, but there are also many other factors (e.g., political party) that can predict attitudes and knowledge about climate change. At the same time, an overwhelming majority of people want more federal effort on climate policy. Ultimately, examining the connection between knowledge and attitudes will help us understand how to increase the support for, and therefore, the effectiveness of, climate policy.</t>
  </si>
  <si>
    <t>Global warming, policy, public understanding of science, ordinal modeling, the greenhouse effect</t>
  </si>
  <si>
    <t>CohenS_2012-page1.pdf</t>
  </si>
  <si>
    <t>Alex Daniel</t>
  </si>
  <si>
    <t>Escaping the Grasp of Foreign Oil: Potential Greenhouse Gas Emissions from Domestic, Nonrenewable Alternatives</t>
  </si>
  <si>
    <t>The United States’ reliance on petroleum imports for transportation fuel is no longer sustainable. Whether energy independence via alternative nonrenewable feedstocks is ultimately more environmentally sustainable than conventional oil depends on the impacts associated with each domestic alternative. Replacing petroleum-based fuels with those derived from U.S. reserves of oil shale or coal could bring increased global warming. The purpose of this study is to investigate what a transition to the two aforementioned sources of fuel would mean to future climate change. To assess the quantity of fuel necessary to replace all transportation fuels derived from oil imports, I calculated the future U.S. fuel gap. Using geological survey data, I then determined whether the U.S. possesses ample reserves of either coal or oil shale to meet this gap. To quantify whether it would be environmentally beneficial to pursue these alternatives, I projected the potential greenhouse gas emissions that would result following a transition to each. Using life cycle assessment data, I projected emissions for five scenarios: coal with and without carbon capture and storage (CCS), oil shale with and without CCS and a petroleum baseline scenario. From these projections, I found that oil shale-based transportation fuels coupled with carbon sequestration technology could mean comparable greenhouse gas emissions to conventional oil. Nonetheless, before any conclusions are made regarding the environmental sustainability of each fuel feedstock, all other ecological implications including those on a regional scale must be taken into account.</t>
  </si>
  <si>
    <t>coal, oil shale, transportation fuels, energy independence, climate change</t>
  </si>
  <si>
    <t>DanielA_2012-page1.pdf</t>
  </si>
  <si>
    <t>Danika L. Desai</t>
  </si>
  <si>
    <t>Discursive Narratives about Nuclear Power in the Aftermath of Fukushima: A Media Analysis on the New York Times and the Wall Street Journal</t>
  </si>
  <si>
    <t>On March 11th, 2011 a 9.0 earthquake struck of the coast of Japan followed by a 14 meter tsunami, resulting in the meltdown of three nuclear reactors at the Fukushima Daiichi nuclear power plant. The nuclear disaster garnered an abundance of media attention in the US. This study examines coverage of the Fukushima disaster in the New York Times and Wall Street Journal, focusing on how discourse about nuclear power has changed over the last 60 years, and how the discourse is related to the sources newspapers use for the content of their articles. After randomly selecting 57 articles from the NYT and 50 articles from the WSJ, I counted all the direct and indirect quotes within both newspapers to assess the sources from which the newspapers were drawing. I then coded the articles based on Gamson and Modigliani’s definitions of discursive packages, and performed a chi square test to see if there was a relationship between sources used and packages portrayed. I found that both newspapers used primarily authoritative sources: regulatory, governmental, and industry officials. In addition, I found that rather than giving rise to new debates about nuclear power, the disaster served as a focusing event, and old arguments and packages about nuclear power resurfaced. Packages were modified to incorporate this latest event in the history of nuclear power. In general, all packages have become more similar, and certain assumptions have been adopted by both pro and anti-nuclear packages.</t>
  </si>
  <si>
    <t>Disasters, packages, media sources, nuclear discourse</t>
  </si>
  <si>
    <t>DesaiD_2012-page1.pdf</t>
  </si>
  <si>
    <t>Tara L. DiRocco</t>
  </si>
  <si>
    <t>A Thorough Quantification of Tropical Forest Carbon Stocks in Malaysia</t>
  </si>
  <si>
    <t>Estimates of carbon stocks in tropical rainforests are critical for informing the development of carbon credit programs. This study sought to determine the level of specificity necessary for accurate carbon quantification in tropical dipterocarp forest in northern Peninsular Malaysia. Past studies have used LiDAR data and regional estimates in order to estimate the carbon stock, but no study has performed in-depth field surveys in an upper hill dipterocarp forest. I quantify the carbon pools in aboveground biomass (ABG), belowground biomass (BGB), soil, and coarse woody debris (CWD). I found a total forest carbon stock of 208.8 Mg(C)/ha (149 Mg(C)/ha AGB, 27 Mg(C)/ha BGB, 22 Mg(C)/ha soil, 10.8 Mg(c)/ha CWD). This value is greater than Southeast Asian regional estimates and greater than carbon estimates in Malaysian lowland dipterocarp forests. I conclude that site-specific in-depth field surveys are necessary for locally accurate carbon quantification.</t>
  </si>
  <si>
    <t>Reducing Emissions from Deforestation and Degradation, upper hill dipterocarp forest, Peninsular Malaysia, logging, aboveground biomass</t>
  </si>
  <si>
    <t>DiRoccoT_2012-page1.pdf</t>
  </si>
  <si>
    <t>Kelley L. Doyle</t>
  </si>
  <si>
    <t>Converting University Spending to Greenhouse Gas Emissions: A Supply Chain Carbon Footprint Analysis of UC Berkeley</t>
  </si>
  <si>
    <t>This study calculates a supply chain carbon footprint for UC Berkeley based on procurement expenses in fiscal year (FY) 2009. I present recommendations to reduce supply chain greenhouse gas (GHG) emissions, identify opportunities for future study, and develop a reproducible tool for UC Berkeley to facilitate annual GHG emissions reporting. I conducted a hybrid top-down life cycle assessment (LCA) to determine the total magnitude and composition of UC Berkeley’s supply chain carbon footprint by reviewing over $500 million of procurement expenses. I calculated that 128,590 metric ton CO2e of GHG emissions were released as a result of UC Berkeley’s procurement in FY 2009, representing 39% of the university’s total carbon footprint. The top five emitting categories of procured goods and services were construction, scientific equipment, office products, IT &amp; telecommunications, and food; all together contributing to 80% of procurement emissions. In order to reduce these emissions, I recommend that UC Berkeley expand reuse initiatives to reduce consumption of goods, investigate food procurement and continue seeking alternatives for carbon intense food products, develop a “green” supplier score card, and survey campus buyers to understand current barriers and opportunities for reducing emissions from procurement. This analysis can be repeated in future years by the Cal Climate Action Partnership (Cal CAP) and/or student researchers.</t>
  </si>
  <si>
    <t>Climate change mitigation, emission factors, hybrid methodology, life cycle assessment, procurement, scope 3 emissions</t>
  </si>
  <si>
    <t>DoyleK_2012-page1.pdf</t>
  </si>
  <si>
    <t>Jacob A. Finkle</t>
  </si>
  <si>
    <t>Effects of the North American Bullfrog on Native California Amphibians: A study at Blue Oak Ranch Reserve and Joseph D. Grant County Park</t>
  </si>
  <si>
    <t>The North American Bullfrog, Rana catesbeiana, is an invasive species in California. However, the effects of its presence on populations of native amphibians in the central Diablo Range (located east of San Jose, California) are not known. I collected data from 18 ponds in two protected areas in the Diablo Range to see how R. catesbeiana affected local amphibian populations over a one-year period. I identified and counted larvae in each pond, recorded pond area, depth, turbidity, and vegetation cover, and made subsequent observations for the rest of the year of the interactions between adults. I found that R. catesbeiana larvae are confined to perennial ponds and these ponds had fewer individuals of other species, but that not every perennial pond contained R. catesbeiana larvae. Pacific tree frog larval populations were negatively related to R. catesbeiana populations. All other larval species populations were either significantly related to other measured factors or not related to any measured factors. As adults, R. catesbeiana migrated between ponds and likely displaced native species to occupy the best territory surrounding the pond: the pond’s edge. Species such as the Pacific tree frog and California toad coexisted as adults. The California red-legged frog occupied the same area as an adult as R. catesbeiana, but the two species were not found in the same pond. As larvae, California toads were significantly affected by area and turbidity, California tiger salamanders were observed almost exclusively in ephemeral ponds, and California newts were not affected by any measured factors.</t>
  </si>
  <si>
    <t>Rana catesbeiana, Pseudacris regilla, Diablo Range, invasive species, ephemeral pond</t>
  </si>
  <si>
    <t>FinkleJ_2012-page1.pdf</t>
  </si>
  <si>
    <t>Zhongxiang Gao</t>
  </si>
  <si>
    <t>Decomposition of Compost Addition on California Rangeland Soil</t>
  </si>
  <si>
    <t>Grasslands, which occupy over 40% of California land area, provide excellent opportunities for land management to sequester carbon. Compost addition is a technique explored by the Marin Carbon Project to measure carbon uptake. Studies have observed increased soil respiration contributed by root respiration, microbial respiration, or compost decomposition. My main objective is to measure the compost decomposition rate and the greenhouse gas respiration accompanying it. We acquired samples from the Sierra Foothills grasslands and incubated them at constant temperature and moisture. I employed 25 replicates for each treatment, including control (soil only) and two treatments (compost, soil plus compost). I measured each replicate for gas flux weekly and then biweekly and I destructively sampled to determine mass loss from 5 jars of each treatment every 4 to 8 weeks. The main greenhouse gases observed were methane, carbon dioxide, and nitrous oxide. Carbon dioxide was initially high then declined for soil only and compost plus soil, but soil control consistently displayed higher fluxes than the treatments. Nitrous oxide showed an initial pulse in soil plus compost which was not observed in the control and the other treatment. Cumulative gas emissions showed significant impact of nitrous oxide with the scaling of Global Warming Potential. Compost mass loss was slow at only 4% and 7% in 6 months for compost only and soil plus compost respectively. This data are consistent with model predictions of slow compost decomposition and use of compost as slow release nutrient for carbon sequestration.</t>
  </si>
  <si>
    <t>Carbon dioxide, nitrous oxide, land management, greenhouse gas emission, carbon sequestration</t>
  </si>
  <si>
    <t>GaoZ_2012-page1.pdf</t>
  </si>
  <si>
    <t>Uriel Osvaldo García</t>
  </si>
  <si>
    <t>Sea Otter Foraging in Elkhorn Slough</t>
  </si>
  <si>
    <t>Elkhorn Slough has changed in sea otter population density since 1995 and as a result, may have altered benthic macro-invertebrate populations due to increased predation pressure. The goal for this observational study was to document sea otter foraging behavior and prey choice. One otter was observed at a time until it was lost from sight or left the research area. As the otter foraged, I documented the time the sea otter dove and surfaced. I also recorded if the otter was successful or unsuccessful in acquiring prey. If the sea otter was successful in the dive, I approximated the size of the prey item in relation to the paw and tried to identify the organism to the species. The observed diet of the otters consisted mostly of clams, followed by crabs, p-value= 2.43e-12. Sea otters in the region were observed to have a 53% success rates in foraging and successful dives by male otters were significantly longer than female successful dives, p-value=0.31. The observed sea otters spent about 67% of the time foraging, 13% grooming dives, 6.8% traveling, and approximately 5.6% of the time nervously grooming. This is interesting because sea otters may have developed a strategy that maximizes the ratio of caloric intake and energy expenditure while decreasing intraspecific competition or that bivalve have become more abundant in Elkhorn Slough.</t>
  </si>
  <si>
    <t>Enhydra lutris, Optimal Foraging theory, specialization, theory of profitable location, Density Dependence</t>
  </si>
  <si>
    <t>GarciaU_2012-page1.pdf</t>
  </si>
  <si>
    <t>Cynthia Gaw</t>
  </si>
  <si>
    <t>Sleeping on Toxins? A Study of Flame Retardants in Sleep Products</t>
  </si>
  <si>
    <t>Fires and fire damage result in thousands of lives lost or injured each year. The need to protect our homes and furniture from accidental fires has resulted in flammability laws that require the addition of flame retardants into everyday products. However, the very properties of the chemicals that make them so effective also make them toxic. Recently, studies show that these flame retardants have carcinogenic properties and result reproductive and neurological toxicity as well as. Studies have evaluated furniture foam and the foam of baby products but no investigations have focused on foam mattress pads and nursery school sleeping mats for their chemical content. I studied foam samples of over 50 mattress pads and 30 nursery school using particle induced X-ray emissions and gas chromatography/mass spectroscopy provided by Hope College. All of the nursery school sleeping mats and 50% of mattress pads tested positive for halogens regardless of the year of purchase and the lack of a flammability standards; but there were no significant trends by the store of purchase. An interview was also conducted with a federal official from the Consumer Product Safety Commission to better understand the reasoning for the addition of toxic flame retardants. The presence of chemicals in the products shows disconnect between the flammability standards, manufacturer practices and consumer knowledge and choice on flame-retardants. The flammability standards need to be re-evaluated and flame-retardants need further research before they are deemed safe.</t>
  </si>
  <si>
    <t>Polyurethane foam, TB 117, Mattress Pads, Flammability standards, Chlorinated Tris</t>
  </si>
  <si>
    <t>GawC_2012-page1.pdf</t>
  </si>
  <si>
    <t>Shalika Gupta</t>
  </si>
  <si>
    <t>Relatedness and Ecological Niche Similarity in the Genus Heliconia</t>
  </si>
  <si>
    <t>This study explored the ideas of phylogenetic signal and niche conservatism in the genus Heliconia. The ecological niches of species within two clades in the genus Heliconia were modeled using the Maxent modeling algorithm and were compared using mantel tests and age-range correlations. There was no evidence of phylogenetic signal as evidenced by age range correlations in either of the two clades of Heliconia. However, in the clade of Central American origin it appeared that distantly related species tended to have more similar niches than expected by random chance, indicating that distantly related species’ ecological niches may have converged over time. These results support the notion that ecological niche conservatism may not be a fundamental guiding process in speciation of these tropical flowering plants and support other recent studies that suggest that phylogenetic signal of ecological traits and niche conservatism are not as widespread as previously assumed.</t>
  </si>
  <si>
    <t>phylogenetic signal, niche conservatism, Maxent, age range correlation, mantel test</t>
  </si>
  <si>
    <t>GuptaS_2012-page1.pdf</t>
  </si>
  <si>
    <t>Katherine He</t>
  </si>
  <si>
    <t>A Calculation of the Environmental Footprint of a Granular Activated Carbon Regeneration Facility</t>
  </si>
  <si>
    <t>The U.S. Environmental Protection Agency (EPA) Superfund Division is responsible for maintaining a high standard of environmental quality, and thus must deal with the environment impacts of its own remedial activities. The regeneration of granular activated carbon (GAC), a substance used to purify contaminated water, is one example of a remediation activity with substantial environmental impacts. The objective of my project is to calculate the environmental footprint of GAC regeneration at the Siemens Reactivation facility in Parker, Arizona. I calculated the electricity usage, natural gas usage, potable water usage, employee gasoline usage, and wastewater production using information from site diagrams, facility process maps, and literature searches. I converted these values into units of CO2e, NOx, SOx, PM10, and HAP using conversion values from the EPA Methodology for Understanding and Reducing a Project's Environmental Footprint. I found that the largest environmental impact resulted from natural gas consumption and electricity usage in the carbon regeneration building. The selection of context-dependent conversion factors greatly impacted the accuracy of my results. Using the results from my GAC environmental impact assessment, remedial project managers can more effectively apply green remediation principles to their projects.</t>
  </si>
  <si>
    <t>remediation, carbon footprint, climate change, Environmental Protection Agency (EPA), Superfund</t>
  </si>
  <si>
    <t>HeK_2012-page1.pdf</t>
  </si>
  <si>
    <t>Patrick R. Hennessy</t>
  </si>
  <si>
    <t>The History of Social Perceptions of Eucalyptus Globulus in the East San Francisco Bay Area</t>
  </si>
  <si>
    <t>The presence of Eucalyptus gobulus in the East San Francisco Bay Area has adversely affected the East Bay’s native environment and has increased the region’s fire hazard potential. Though residents’ perceptions of eucalyptus trees differ based on what type of stakeholder that person is, these perceptions have been the driving force of action and policy in the history of the trees in this region. In this study, I identified and analyzed historical and contemporary perceptions of East Bay residents of eucalyptus trees. While eucalyptus’ earliest days in the East Bay were met by nearly unchallenged positivity and excitement, residents grew more anxious about the trees’ presence in the 20th century. Most current residents sampled felt that eucalyptus trees are a fire hazard to the East Bay, and that they played a large role in the 1991 Oakland-Berkeley fire. Respondents had varying opinions on the tree’s aesthetic value and potential use as a resource, but there was a general consensus that eucalyptus trees will be a part of the East Bay landscape indefinitely. Land management policy that is understood and shaped by the people it is affecting enhances its effectiveness and level of embracement from that community. Thus, East Bay residents and land managers must continue to be aware of the species’ presence in the region, and adopt land management policies that are cognizant of the trees’ continued existence.</t>
  </si>
  <si>
    <t>1991 Oakland-Berkeley Fire, social construction of nature, invasive species, land management policy, urban fire hazards</t>
  </si>
  <si>
    <t>HennessyP_2012-page1.pdf</t>
  </si>
  <si>
    <t>Jaclyn Iaquinta</t>
  </si>
  <si>
    <t>Changes in the Hemolymph Metabolites of Epiphyas postvittana parasitized by Meteorus ictericus</t>
  </si>
  <si>
    <t>When the endoparasitoid, Meteorus ictericus, parasitizes the light brown apple moth (LBAM), it induces changes in the concentrations of its host’s metabolites. It is believed that the changes caused over time correspond to the changing needs of the developing parasitoid; making a more stable internal environment for he developing parasitoid egg. To determine what metabolic changes occur over time, the concentrations of proteins, lipids, and carbohydrates were measured in the hemolymph of the parasitized LBAM at three time points: one-day, four-days, and seven- days after parasitization. There was an initial increase in the hemolymph proteins of the parasitized larvae compared to the controls, but at the latter two time points the parasitized larvae had significantly less protein than the controls. The hemolymph carbohydrates did not appear to differ significantly until the seventh day when the parasitized larvae had a lower concentration. The control larvae had a higher concentration in the hemolymph lipids in both the one- and seven-day groups, but no change was observed in the four-day larvae. In conclusion, the parasitoid female injects proteins and lipids into the host which are then utilized by the developing parasitoid.</t>
  </si>
  <si>
    <t>host regulation, biological control, nutritional ecology, parasitization, parasitoid nutrition</t>
  </si>
  <si>
    <t>IaquintaJ_2012-page1.pdf</t>
  </si>
  <si>
    <t>Jack(Jin U) Jeong</t>
  </si>
  <si>
    <t>Higher temperature effects of impervious surface due to urbanization in South Berkeley, California</t>
  </si>
  <si>
    <t>City developments have caused an increase in the overall area of impervious surface and decreases in the area of vegetative cover. Higher temperatures of impervious surfaces can be considered one of the most important urban pollution issues that result in economic and biological losses. Understanding the precise impacts of impervious surface after land conversion of vegetation cover to urbanization will provide benefits for urban society. I used multispectral data from Geospatial Innovation Facility (GIF) in College of Natural Resources, University of California – Berkeley and thematic data from U. S. Geological Survey (USGS) to collect the data for surface temperatures and land type. I used eCognition software to classify vegetation and impervious surfaces, and compared the temperatures over each land type. I found the average impervious surface temperature of 307.67 ± 1.83°K compared to the average vegetation surface temperature of 306.86 ± 2.08°K resulting in a temperature difference of the two land surface classes is 0.8° Kelvin. The impervious surface adds to the urban environment by adding more heat. This research will provide a possibility for improved urban environment with regard to impervious surface in the field of both energy and public health.</t>
  </si>
  <si>
    <t>vegetation cover, solar energy, heat stress, land conversion, urban heat island</t>
  </si>
  <si>
    <t>JeongJ_2012-page1.pdf</t>
  </si>
  <si>
    <t>Mandy Jones</t>
  </si>
  <si>
    <t>Emerging City Planning Trends in Richmond, CA: Learning to Integrate the Community’s Public Health Goals</t>
  </si>
  <si>
    <t>Environmental and public health issues led to the development of city planning, yet the present lack of interdisciplinary communication limits the attainment of shared goals. Under California state law, local governments are required to create a General Plan that includes land use, circulation, housing, conservation, open-space, noise, and safety elements. The City of Richmond, California has recently solicited coordination between the City Planning Commission and Contra Costa Health Services to create an additional Community Health and Wellness element (HWE). This innovative element, the first of its kind in California, establishes citywide goals for improving public health, transportation, food security, health education, community design, sustainability and environmental quality to make Richmond a healthier and more equitable city. Richmond’s process of developing and implementing this element can serve as a model for other communities striving towards similar goals. Therefore, to assess the process of creating this document, I ask the following questions: 1) How did Richmond develop its Community Health and Wellness element? 2) What was the city’s public outreach strategy? Who participated and why? 3) What lessons can be learned from Richmond? I completed a literature review, analyzed data from the Richmond Community Survey, attended City meetings, and conducted interviews with leaders involved in developing the HWE. Richmond’s successes in part can be attributed to its strong community organizations, engaged community, and ability to fund community participation meetings. Other cities can learn from Richmond that improving community health while engaging the community is not a simple task. To become more inclusive of community voice, communities can invest in translation services and streaming public meetings on the Internet. Once a health element is completed, city leaders must be prepared for a subsequent process in order to prioritize projects, allocate funding, and adopt policy. Maintaining democratic decision-making and inclusiveness during this time will require cities to invest additional effort and resources.</t>
  </si>
  <si>
    <t>General plan, urban land use, public participation, policy, procedural justice</t>
  </si>
  <si>
    <t>JonesM_2012-page1.pdf</t>
  </si>
  <si>
    <t>Jennifer Kahng</t>
  </si>
  <si>
    <t>Inhaler, Anyone? A Study of the Association Between Pollen Levels and Asthma in the Bay Area</t>
  </si>
  <si>
    <t>Asthma is a chronic respiratory condition that affects people globally. Certain environmental factors called asthma triggers cause irritation in the airways and lungs. Commonly identified triggers include particulate matter and other air pollutants. However, asthma is less strongly associated in academic literature with outdoor aeroallergens such as pollen and fungal spore concentrations. Atmospheric concentrations of pollen and fungal spores increase steadily as higher temperatures hasten the beginning of spring, indicating potential future problems with asthma exacerbation. I have compiled studies that look at the relationship between pollen and fungal spores and asthma exacerbations. Asthma exacerbations include people already diagnosed with asthma who experience asthma attacks or other symptoms due to exposure to an asthma trigger. In particular, many studies chose to focus on children (~14 years old). Children represent a vulnerable population to asthma among others examined in various studies. Many of the studies that I included in this literature review have found inconsistent results that are not statistically significant. The lack of strong associations may be due to several factors in the study designs and measurements found in these studies. By examining the weaknesses of these studies, future studies can be designed to more effectively measure the association between aeroallergens and asthma exacerbation.</t>
  </si>
  <si>
    <t>air pollution, literature review, children, particulate matter, asthsma trigger</t>
  </si>
  <si>
    <t>KahngJ_2012-page1.pdf</t>
  </si>
  <si>
    <t>Vicheth L. Kaing</t>
  </si>
  <si>
    <t>Ecological Responses of Benthic Macroinvertebrate Communities to Streamflow Augmentation in Strawberry Creek, Berkeley, California</t>
  </si>
  <si>
    <t>Benthic macroinvertebrates in Mediterranean-climate streams undergo substantial stresses from seasonal and annual variation in streamflow, and these stresses can be magnified by urbanization. These organisms are especially susceptible to anthropogenic stresses during the low-flow period of the year. Streamflow augmentation is one potential solution to combat this water-stress problem; however, few studies have examined streamflow augmentation or collected ecological information on augmented flow. This study examines the responses of the benthic macroinvertebrate community to augmented streamflow at 3 sites in Strawberry Creek, an urban Mediterranean stream in Berkeley, California. I hypothesized that (1) benthic community diversity would increase, (2) water quality would improve, and (3) filterers and gatherers would benefit from the augmented flow. I installed control and augmented-flow treatments in the stream using plywood boards and used a variety of bioassessment metrics to evaluate the responses, including total abundance, taxa richness, EPT richness, and percent filterers and gatherers. I used a t-test and ANOVA to test for differences in streamflow and bioassessment metrics between control and augmented-flow treatments, and did non-metric multidimensional scaling (NMS) and linear regression analyses to examine the relationship between flow and bioassessment metrics. I found no significant difference in streamflow and metric values between control and augmented-flow treatments. However, I observed a trend that suggests an improvement in water quality and increase in filterer-collector population at augmented-flow treatments. As effective water management is critical to maintain aquatic ecosystem integrity, this study informs future studies to conduct flow augmentation on more urbanized and disturbed streams.</t>
  </si>
  <si>
    <t>water stress, urbanization, habitat quality, Mediterranean climate, bioassessment</t>
  </si>
  <si>
    <t>KaingS_2012-page1.pdf</t>
  </si>
  <si>
    <t>Christina R. Kastely</t>
  </si>
  <si>
    <t>Belding’s Ground Squirrels (Urocitellus beldingi) are more acoustically similar to Relatives than to Unrelated Individuals</t>
  </si>
  <si>
    <t>Belding’s ground squirrel (Urocitellus beldingi) alarm calls encode information about the age, sex and identity of the caller, but little is known about whether alarm calls encode information about relatedness. I investigated the potential correlation between acoustic and genetic similarity in U beldingi from four populations. I extracted DNA from tissue samples and performed PCR for 12 microsatellites. I analyzed this data in MLRelate to find coefficients of relatedness for each pair. I also calculated the genetic distances between populations in GenePop. I analyzed the acoustic samples in Praat, an acoustic analysis program, which measured fifteen variables. I performed a discriminant function analysis (DFA) with the variables, which calculated the acoustic dissimilarity (Mahalanobis distance) between each sample pair. I used a Mantel test to compare the acoustic and genetic data and found that there is a negative correlation between genetic similarity and acoustic dissimilarity (Mantel’s r= -0.172, p&lt;0.001). This relationship indicates that related individuals sound more similar than unrelated individuals, and U. beldingi could use alarm calls for kin recognition. The DFA also sorted calls to population. Calls from three of the four populations were correctly classified significantly more than expected by chance. This suggests that populations have a distinct acoustic structure. Using acoustic information as a proxy for genetic information could have conservation implications: acoustic sampling is quicker, cheaper and less invasive, so the acoustic structure of a population could be used as an efficient tool to diagnose the genetic health of a population and the species at large.</t>
  </si>
  <si>
    <t>Alarm call, acoustic variability, kin recognition, microsatellite analysis, population call structure</t>
  </si>
  <si>
    <t>KastelyC_2012-page1.pdf</t>
  </si>
  <si>
    <t>Sean Kodani</t>
  </si>
  <si>
    <t>Biochemical Toxicology of Fluorosulfate, an Intermediary Metabolite of the Fumigant Sulfuryl Fluoride</t>
  </si>
  <si>
    <t>Sulfuryl fluoride is a fumigant used for extermination of wood-borne insects. Current hypotheses involving sulfuryl fluoride's toxicity implicate hydrolysis of fluoride ions, which are innately toxic to living organisms. However, in this thesis I hypothesize that novel secondary biochemical pathways may contribute to sulfuryl fluoride’s toxicity. To investigate this, I performed enzymatic inhibition assays and a thin layer chromatography screen using fluorosulfate – a relevant metabolic intermediate - to identify novel reactivity involved with conjugation to endogenous molecules or derivatization of essential enzymes. I found that both fluorosulfate and hydrolyzed fluoride ion inhibited multiple enzymes (acetylcholinesterase, butyrylcholinesterase and sulfatase) but only fluorosulfate inhibited glutathione S-transferase (GST). To identify intermediate steps by which this occurred, I performed nuclear magnetic resonance (NMR) spectroscopy on incubated fluorosulfate and glutathione mixtures and compared it to glutathione and synthesized glutathione S-sulfonate (a known inhibitor), with inconclusive results. Nonetheless, the inhibition of glutathione S-transferase by fluorosulfate remains relevant for understanding potential secondary toxicity of the fumigant sulfuryl fluoride and for future evaluations of its safety.</t>
  </si>
  <si>
    <t>Glutathione S-transferase (GST), glutathione (GSH), cholinesterase, nuclear magnetic resonance (NMR)</t>
  </si>
  <si>
    <t>KodaniS_2012-page1.pdf</t>
  </si>
  <si>
    <t>Kimberly Lam</t>
  </si>
  <si>
    <t>Alaska Crude Oil and Diesel Effects on California Spartina foliosa and Spartina foliosa x alterniflora Hybrid Cordgrass</t>
  </si>
  <si>
    <t>As industrial processes with oil continue to take place in sensitive ecosystems such as the San Francisco Bay Area, it is important to understand how potential petroleum accidents and spills would affect the local vegetation. In northern California, the exotic Spartina alterniflora cordgrass have been hybridizing with the native Spartina foliosa coastal marsh communities. The objectives of this ten-week greenhouse study were to determine (1) how Alaska crude oil and diesel affects survival and new plant growth, and (2) whether Spartina cordgrass accumulate polycyclic aromatic hydrocarbons and other oil constituents in their tissues. The control group yielded the highest survival rate of 75%, followed by 60% survival in the crude oil group, and only 15% survival for the diesel treatment, possibly because its refined nature and low-molecular weight make it more bioavailable to the plant. Of the plants that survived, those in the control and crude-oil group grew significantly more than those in the diesel group. I also found that the cordgrass uptake more petroleum constituents from the diesel than from the crude oil. The results, within the confines of this experiment, suggest that while both crude oil and diesel negatively affect survival and growth, diesel has a more detrimental effect, and the native S.foliosa cordgrass are more severely affected by the treatments than the hybrid genotype. Further studies on how Spartina deals with hydrocarbons will elucidate this cordgrass' potential use as a phytoremediation tool in oil-contaminated soils and marshes.</t>
  </si>
  <si>
    <t>Phytoremediation, polycyclic aromatic hydrocarbons, greenhouse study, petroleum uptake, marsh restoration</t>
  </si>
  <si>
    <t>LamK_2012-page1.pdf</t>
  </si>
  <si>
    <t>Vickie Wild Ly</t>
  </si>
  <si>
    <t>The Space Between: Characterizing the Microhabitats and Ranges of Tamias alpinus and Tamias speciosus in Yosemite National Park</t>
  </si>
  <si>
    <t>Range contraction and expansion are of particular concern for mountaintop species such as Tamias alpinus (Alpine Chipmunk) and Tamias speciosus (Lodgepole Chipmunk). Over the past century, T. alpinus has shown an upward range contraction and is now absent from lower elevation sites. In contrast, the T. speciosus expanded its range at both its upper and lower elevational limits. To understand the mechanisms and processes underlying this shift, this study is the first to quantify and pair microhabitat variables with range maps created from radio-telemetry point data. T. alpinus and T. speciosus habitat use points were significantly different in elevation, height and branching pattern of dominant tree species (ANOVA, p=0.0142, p=0.0003959, p=0.002616). Elevation and slope, height, and canopy cover of dominant tree species explained the most variation between the habitats of T. alpinus and T. speciosus (MFA). The alignment of vegetation and physical characteristics of Tamias microhabitats to telemetry range maps provides fine-scale details to a broader picture of range shifts for focal species and a foundation for future research and conservation efforts for other range-restricted species.</t>
  </si>
  <si>
    <t>Range shift, niche partitioning, interspecific competition, tree structure, elevation</t>
  </si>
  <si>
    <t>LyV_2012-page1.pdf</t>
  </si>
  <si>
    <t>April S. McGrath</t>
  </si>
  <si>
    <t>Fashioning Sustainability: How the Clothes we wear can support Environmental and Human Well-being</t>
  </si>
  <si>
    <t>Attempts to promote sustainability in the clothing industry have focused on using eco-materials and more resource efficient production, however the scale of production and consumption has increased to levels where the benefits of technical improvements are reduced. Creating true sustainability in the fashion industry requires reducing the material flow of clothing, addressing both sustainable production and consumption. Clothing producers must shift the focus of their operations from exchange value to use value, which offers opportunities to increase garment quality and reduce quantity demanded through encouraging consumers to engage in fashion through wearing, not purchasing, clothes. Because the success of this approach depends on designing clothes able to satisfy both the functional and emotional values of consumers, I surveyed 18-25 year old individuals to evaluate what needs they perceive to be satisfying through shopping for and purchasing clothing, what psychological mechanisms induce increasing consumption, and what effects clothing qualities have on their clothing consumption. Respondents shopped for and purchased clothing to satisfy the needs for leisure, identity, affection, and participation, frequently went shopping out of impulse, and made purchases to experience stimulation through new clothing. They would later be dissatisfied with their clothing and mainly disposed of clothes because of quality-related problems. I provide fashion design solutions that can stimulate wearers’ personal involvement in generating satisfaction, breaking the cycle of passive acquisition of clothing and creating clothing that is meaningful to the wearer over a longer period of time: clothing that can sustain both environmental and human well-being.</t>
  </si>
  <si>
    <t>fast fashion, human needs satisfaction, needs based design, consumer behavior, user involvement</t>
  </si>
  <si>
    <t>McGrathA_2012-page1.pdf</t>
  </si>
  <si>
    <t>Carolina Méndez</t>
  </si>
  <si>
    <t>Movement of Sacramento sucker (Catostomus occidentalis) and California roach (Lavinia symmetricus) in Strawberry Creek, a small urban Mediterranean-climate stream in Berkeley, CA</t>
  </si>
  <si>
    <t>The movements of aquatic organisms are poorly understood but have important ecological consequences. I studied fish movements of Sacramento sucker (Catostomus occidentalis) and California roach (Lavinia symmetricus) in Strawberry Creek, a small Mediterranean-climate stream on the University of California, Berkeley campus to quantify biweekly-scale movements, including distance and direction, over 9 months. I captured 101 sucker and 95 roach along a 1km stretch in July and September 2011 and January 2012, marked individuals with uniquely coded passive integrated transponder (PIT) tags, and released them to the area of initial capture. I resurveyed the stream biweekly to track the locations of individual fish using a portable antenna and quantify movement. Overall, suckers moved more than roach although most of the fishes did not move. Some physical barriers limited upstream movement although rain events aided upstream migration beyond the physical barriers. This study contributes information on the movements of two common stream fishes and highlights the influence of Mediterranean-climate regimes on fish movement patterns that have implications for future restoration efforts aimed at conserving fish populations in this urban stream.</t>
  </si>
  <si>
    <t>seasonal movement, habitat restoration, natural and human disturbances, physical barriers, PIT tags</t>
  </si>
  <si>
    <t>MendezC_2012-page1.pdf</t>
  </si>
  <si>
    <t>Marissa G. Montjoy</t>
  </si>
  <si>
    <t>Heritable Resistance to Sudden Oak Death in Tanoaks</t>
  </si>
  <si>
    <t>Sudden Oak Death (causal agent Phytophthora ramorum) was first found on the west coast of the United States in 1990. Ever since the oomycete has been spreading up and down the western coastline through a variety of host species. Tanoaks (Notholithocarpus densiflorus) are one of the most susceptible hosts to P.ramorum. Tanoaks are a keystone species in a large number of forests on the west coast, providing food, shelter, and ecosystem services. Understanding Sudden Oak Death resistance could be critical for the future of tanoaks. This study examines the intra- and inter-familial variation of resistance in tanoaks in hopes of better understanding heritable resistance. This was done through an inoculation study of saplings and detached leaves that were analyzed for variance in resistance. Previous findings have indicated heritability of resistance acting in a polygenetic model, however in this study that is not the case. Based on data from the sapling inoculations there was zero variance within families, indicating no heritability in a polygenetic model. However the variation in responses among the individuals within families to the inoculation indicate resistance through major gene effects. A major gene model might be a more accurate understanding of heritable resistance to Sudden Oak Death in tanoaks.</t>
  </si>
  <si>
    <t>Phytophthora ramorum, Notholithocarpus densiflorus, multi-point sapling inoculations, detached leaf inoculations, tanoak clonal propagation</t>
  </si>
  <si>
    <t>MontjoyM_2012-page1.pdf</t>
  </si>
  <si>
    <t>Taichi Natake</t>
  </si>
  <si>
    <t>Patterns of Soil Texture and Root Biomass along a Humid Tropical Forest Hillslope Catena</t>
  </si>
  <si>
    <t>Soil texture determines the surface area in a volume of soil, which influences the availability of nutrients, water, and soil organic carbon in an ecosystem. The catena model describes patterns of texture formed in hydrologically connected topography. However, the soil catena model has not been well studied in high rainfall environments (e.g. humid tropical forests). In addition, the influence of soil texture patterns on root biomass distribution in these ecosystems is not clear. I measured the soil texture pattern along four replicate hillslope catenas and examined correlations with root biomass in a Puerto Rican humid tropical forest. One hundred and seventeen soil samples were randomly collected from transects in the Luquillo Experimental Forest (LEF). I measured the percentage of sand, silt, and clay using the hydrometer method and Stoke’s Law. I fit linear mixed models to determine the relationship between topography, texture and root biomass. Clay contents in valleys were significantly lower than upper side of catena (ridges and slopes), and sand contents increased from ridges to slopes to valleys. This texture pattern contradicted findings of previous studies in arid areas, and could be explained by increased removal of clays from valleys due to high precipitation. Deeper soil had significantly more clay than surface soil. There was no significant correlation between texture content and root biomass. This relationship between texture and root biomass suggested that humid tropical forests might have patterns of nutrients, water, and primary productivity which are different from drier climate systems.</t>
  </si>
  <si>
    <t>topography, lateral and vertical translocation, clay and sand content, precipitation, Luquillo Experimental Forest</t>
  </si>
  <si>
    <t>NatakeT_2012-page1.pdf</t>
  </si>
  <si>
    <t>Lan H. Ngô</t>
  </si>
  <si>
    <t>What's Agent Orange? Second-Generation Vietnamese-Americans and Agent Orange/Dioxin</t>
  </si>
  <si>
    <t>The second-generation Vietnamese-American community lacks a collective voice to advocate for redress from the United States government for the impacts of Agent Orange, an herbicide contaminated with the carcinogen dioxin used during the Vietnam War to defoliate forest cover and destroy enemy crops. To understand how second-generation Vietnamese-Americans can become engaged around the issue of Agent Orange/Dioxin (AO/D) through education, I ask three questions: (1) What do second-generation Vietnamese-Americans know about AO/D? (2) If they are educated about AO/D, how likely are they to support policies promoting U.S. financial responsibility for current and past AO/D issues? (3) What influences their support for policies, and how can we best frame educational efforts that address these factors? Through interviews with 20 second-generation Vietnamese-Americans, I evaluated their pre-existing knowledge about AO/D, gave them information about AO/D, and then inquired about how they understood AO/D in relation to their identity, barriers to their knowledge about AO/D, and their opinion on U.S. accountability. I found low levels of pre-existing knowledge about AO/D; 65% had never heard of AO/D. After reading about AO/D, 100% believed the U.S. should be held accountable for past and current impacts of AO/D, suggesting that this group may become mobilized around this issue through education. I conclude with recommendations on how to engage this group: politicizing Vietnamese-American identity, directing educational efforts to frame AO/D as an urgent issue relevant to all Vietnamese peoples, moving past a Cold-War ideology, addressing the generation gap, and situating AO/D as a contemporary environmental justice issue.</t>
  </si>
  <si>
    <t>Vietnam War, environmental justice, political mobilization, generation gap, education</t>
  </si>
  <si>
    <t>NgoL_2012-page1.pdf</t>
  </si>
  <si>
    <t>Yuki Ohashi</t>
  </si>
  <si>
    <t>Optimal Management of Mixed Landscape of Forests and Croplands for Pollination Services using Mixed Integer Non-Linear Programming</t>
  </si>
  <si>
    <t>The world’s forests are rapidly being cleared for for agricultural development. However, poorly managed land conversion decreases the potential ecosystem services provided by remaining natural areas. Specifically, in this study the loss of pollination services provided by native pollinators. I determined the optimal arrangement of forest and cropland so as to provide maximum pollination services in the landscape. I quantified the pollination services based on the distance between the forest area and cropland area in the landscape. Compactness constraints limit the area to perimeter ratio of each land type, cropland and forest. I used MINLP to find the optimal land-use configuration. Using this model, I explored different pollinator types and crop types to determine the combination producing the highest pollination services. Sensitivity analysis of these parameters revealed that shorter-flying pollinators may be better pollinator for a particular crop than stronger-fliers. Overall, my optimization model provides a blueprint of how to optimally design forest conversion to make agriculture more sustainable by ensuring the pollination services provided from the forests remain.</t>
  </si>
  <si>
    <t>agroforestry, optimal land reserve, forest fragmentation, quantifying ecosystem services, Mixed Integer Non-Linear Programming (MINLP)</t>
  </si>
  <si>
    <t>OhashiY_2012-page1.pdf</t>
  </si>
  <si>
    <t>Marielle C. Pinheiro</t>
  </si>
  <si>
    <t>Travel behavior and choice in suburban California: a statistical and spatial analysis</t>
  </si>
  <si>
    <t>The rising cost of oil and the unsustainable nature of personal automotive transportation have given rise to an alternative transportation movement. However, past research has shown that making the transition from driving to one of the “green” modes of transportation—walking, biking, or public transit—is largely a matter of personal choice, due to the automobile-oriented nature of suburban communities. I conducted surveys both online and in Pleasanton’s downtown in an attempt to ascertain key variables that influence travel mode choice, and performed statistical and spatial analysis on the results with chi-squared analysis, principal component analysis, and GIS mapping. The results displayed a wide range of variability, indicating that there is no all-encompassing solution for encouraging people to limit their car usage for local trips, especially for those who live outside of walking distance to their destination. However, the results raise a number of interesting questions to be pursued in future research.</t>
  </si>
  <si>
    <t>transportation, Pleasanton, knowledge-action gap, survey analysis, GIS</t>
  </si>
  <si>
    <t>PinheiroM_2012-page1.pdf</t>
  </si>
  <si>
    <t>David Pon</t>
  </si>
  <si>
    <t>The Nature of a Public University Campus: Evolving Landscapes and Ideologies, 1956-2012</t>
  </si>
  <si>
    <t>Nature is a contested concept, reflecting ideologies that influence the way we think about and shape our landscapes. I examined how campus planners at the University of California, Berkeley, have projected their ideologies of nature onto the campus landscape during the postwar period, and how ideologies of nature have interacted with the institutional narratives of the university's planning office and the broader political economy. I analyzed maps from university planning documents and conducted interviews with campus planners. I found that campus planners moved from a dualistic vision of nature in the 1950s and 60s to an integrated one by the 1990s and 2000s. The boom in student enrollment in the immediate postwar period presented novel challenges to campus planners. Social unrest in the 1960s led to more vigorous incorporation of public comment and environmental law into the planning process during the 1970s and 1980s. More recently, campus planners have used ideas of nature as resources to promote spaces of campus heritage and profitability. Ultimately, nature is a reflection of our own culture and way of knowing. The nature that we imagine through the planning process says as much about nature as it does about ourselves.</t>
  </si>
  <si>
    <t>Long range development plan, nature discourse, social construction of nature, University of California, Berkeley campus, urban planning</t>
  </si>
  <si>
    <t>PonD_2012-page1.pdf</t>
  </si>
  <si>
    <t>Austin I. Roughton</t>
  </si>
  <si>
    <t>Overwintering Habitat Assessment for Anagrus spp. (Hymenoptera: Mymaridae) in Northern California Vineyards</t>
  </si>
  <si>
    <t>Non-crop vegetation adjacent to vineyards provides important resources to Anagrus parasitoid wasps (Hymenoptera: Mymaridae) of grape leafhoppers, a key pest in California vineyards. Because grape leafhoppers overwinter as adults and larvae of Anagrus overwinter in leafhopper eggs, Anagrus must overwinter in the eggs of an alternate host found on non-crop vegetation. To identify and evaluate potential overwintering plant species suitable for Anagrus, I monitored 21 plant species from various non-crop habitat adjacent to eight vineyard sites throughout Napa and Sonoma counties, California during spring 2011. I monitored for the presence of Anagrus using yellow sticky traps placed in the canopy of each plant species. Average wasp abundance plotted throughout the sample period suggested the plant families: Asteraceae, Hippocastanaceae, Salicaceae and Betulaceae to be the likely locations of Anagrus refugia. Furthermore, coyotebrush (Baccharis pilularis), California buckeye (Aesculus californica), willow (Salix sp.), blackberry (Rubus sp.) and alder (Alnus spp.) showed high levels of Anagrus abundance. Overall, I found Anagrus to be associated with previously undocumented overwintering plant families and species. Counts varied on identified refugia throughout the sample period, suggesting that Anagrus utilizes a suite of plant types for their alternate hosts before it colonizes vineyards. Further research is required to identify the alternate hosts associated with overwintering habitat, and to further determine the influence of host and plant type preferences on Anagrus seeking overwintering habitat.</t>
  </si>
  <si>
    <t>biological control, parasitoid, grape, leafhopper, alternate host, landscape heterogeneity</t>
  </si>
  <si>
    <t>RoughtonA_2012-page1.pdf</t>
  </si>
  <si>
    <t>Daniel Ruiz</t>
  </si>
  <si>
    <t>In vitro Evaluation of Potential Anti-Inflammatory Agents from Peruvian Medicinal Plant Extracts</t>
  </si>
  <si>
    <t>The area of northern Peru is rich in plant biodiversity and is home to at least 510 medicinal native plant species, many of which are reported to have anti-inflammatory and cancer treating potential. Because of the positive medical implications anti-inflammatory therapeutics have on chronic inflammation and the progression of several types of cancers, this study assesses the anti-inflammatory effects of several Peruvian medicinal plant extracts on lipopolysaccharide (LPS)-induced RAW 264.7 murine macrophages. The Lepechinia meyenii ethyl acetate extract was the strongest suppressor of LPS-induced NF-κB transcription activity. A follow-up HPLC fractionation identified an active compound in this extract of atomic mass of 331 amu, however, the structure of this compound is yet to be determined. Furthermore, the L. meyenii active compound decreased LPS-induced iNOS and IL-6 mRNA levels dose-dependently. I demonstrate the presence of at least one potential anti-inflammatory compound isolated from L. meyenii which inhibits the expression of two pro-inflammatory proteins in LPS-induced murine macrophages. This study suggests that the downregulation of NF-κB transcription activity is one of the mechanisms of this anti-inflammatory response.</t>
  </si>
  <si>
    <t>Lepechinia meyenii, NF-κB, RAW 264.7, iNOS, IL-6</t>
  </si>
  <si>
    <t>RuizD_2012-page1.pdf</t>
  </si>
  <si>
    <t>Hanna L. Scardina</t>
  </si>
  <si>
    <t>Native Pollinators in Agricultural Hedgerows: An Alternative to Honeybee Colonies for Crop Pollination</t>
  </si>
  <si>
    <t>California agriculture is highly dependent on crop pollination services, provided mostly by commercial colonies of honeybees, Apis mellifera. However, the recent, rapid decline in these colonies is fueling interest in alternatives for agricultural pollination services. Hedgerows, or vegetation strips, planted adjacent to crop fields can provide floral resources to support native pollinators throughout the year. Over the last five summers, field assistants from the UC Berkeley Kremen Lab walked transects along hedgerows and weedy, unmanaged control sites in Yolo County, California, catching visiting pollinator species and noting the corresponding plant species. I analyzed the pollinator and plant interaction dataset by comparing control and hedgerow pollination networks. Using network-based metrics of nestedness, modularity, resilience, species generalization, and network similarity, I analyzed the potential value of hedgerows planted for crop pollination. I also examined morphological measurements of a subset of bee pollinators to explain plant species visitation. Because the study system is located in intensely cultivated fields, only abundant and generalized species can survive, so I found both hedgerow and control networks contained the same pollinator species. However, pollinators in hedgerow sites had a larger plant species selection than those at control sites and showed preference for visiting certain plant species. Planted hedgerows allow for local pollinator species to optimally forage on nutritious plant resources at times when crops are not flowering. With the continuing need for crop pollination and growing concern for honeybee availability, planted hedgerows and native pollinators could provide farmers with an alternative solution for their pollinator-dependent crops.</t>
  </si>
  <si>
    <t>Pollination networks, nestedness, resilience, generalization, optimal foraging theory</t>
  </si>
  <si>
    <t>ScardinaH_2012-page1.pdf</t>
  </si>
  <si>
    <t>Rachel Spiciarich</t>
  </si>
  <si>
    <t>“Breaking Down” the Problem: Aligning Policy and Practice in the Compostable Plastics Industry</t>
  </si>
  <si>
    <t>The University of California, Berkeley seeks to divert waste from landfills through composting and recycling in order to reach its zero waste goal by 2020. I explore how to create an efficient compostable plastic utensil composting system by analyzing federal and state policies, United States Composting Council Guidelines, and American Society for Testing and Materials standards pertaining directly to the compostable plastic certification process. Furthermore, I analyze composting practices at waste management facilities within a two hour driving radius of Berkeley, California. Many discrepancies exist between the policies and standards governing compostable plastic ware manafactures and the practices at the industrial composting facilities, which results in “compostable” plastic not decomposing at the industrial composting facilities. A key reason for this is that manufacturers use optimal laboratory standards, rather than the real life field standards established by the United States Composting Council that allow for all natural material to decompose. However, “compostable” plastic is not included in these guidelines for the industrial composting facilities. Examination of the composting process and analysis of the certification process for compostable plastic utensils led to the conclusion that the compostware manufactures are following standards that do not correlate with the field conditions at the industrial composting facilities resulting in a lack of plastic utensil decomposition. In order to improve the the life cycle of compostable plastic untensils, policy makers should take into account the field conditions at inducstrial composting facilities rather than rely on optimal laboratory conditions in order to ensure compostability.</t>
  </si>
  <si>
    <t>PLA utensils, UC Berkeley, zero waste, ASTM, industrial composting facilities</t>
  </si>
  <si>
    <t>SpiciarichR_2012-page1.pdf</t>
  </si>
  <si>
    <t>Ming-Yu Stephens</t>
  </si>
  <si>
    <t>Density-dependent Foraging of Walnut Aphid Chromaphis juglandicola by the Parasitoid Wasp Trioxys pallidus</t>
  </si>
  <si>
    <t>The control of walnut aphids by the parasitoid wasp Trioxys pallidus is a classical biological control success story. However, since 2004, research has been showing that larger populations of aphids have been surfacing in California’s walnut orchards, suggesting that the current methods of biological control are potentially no longer as effective for maintaining populations of walnut aphids below their economic threshold. Therefore, a greater understanding of the relationships between aphid density and patterns of parasitoid predation on aphids is necessary in order to better understand these recent changes in the effectiveness of the biological control agent. Using different patch sizes of the walnut aphid (Chromaphis juglandicola) of 5, 15, or 20 individuals, I observed defensive kicking of C. juglandicola and foraging behaviors, calculated successful oviposition rates of T. pallidus, and the sex ratio of the emerging adult wasps. I found that as the density of aphids increases, the amount of time wasps spend looking for aphids decreases, and number of successful and total oviposition attempts decreases.</t>
  </si>
  <si>
    <t>biological control, predator-prey interactions, behavior, patch size, sex ratio</t>
  </si>
  <si>
    <t>StephensM_2012-page1.pdf</t>
  </si>
  <si>
    <t>Anna Szendrenyi</t>
  </si>
  <si>
    <t>The Seedling Germination Niche: Characterizing microhabitat structure of Pinus flexilis in a lower subalpine forest warming experiment at Niwot Ridge, Colorado</t>
  </si>
  <si>
    <t>Changing global climate conditions threaten to alter the habitat niche necessary for seedling germination, establishment, and recruitment. Although there is well documented research examining tree distribution patterns at large scales in subalpine forests, very few studies on small scale, microhabitat characteristics necessary for seedling germination currently exist. In this study, I characterized the microhabitat niches of the Lower Subalpine (LSA) site of the Alpine Treeline Warming Experiment at Niwot Ridge, CO. Utilizing already established experimental plots, I measured eight abiotic variables in 900 microsites from June to mid-August 2011. I surveyed substrate cover types, soil moisture and temperature, and litter depth in each 10 x 10-cm microsite within five heated (experimental) and five unheated (control) plots. To assess the seedling germination niche, I noted the number of low elevation (10,000 ft) adapted Pinus flexilis (limber pine) in all microsites. Soil moisture, soil temperature, and duff layer depth consistently emerged as the strongest contributors to characterizing the observed microhabitat niches. Germinants tended to cluster in microhabitats characterized by thicker litter layers and higher soil moistures. It is likely the presence of deeper litter layers may enhance the germination niche by improving water conditions. The measured abiotic variables provide a rough but general characterization of the physical microhabitat gradients for this subalpine forest. Such a baseline for understanding the abiotic variables most significant to creating microhabitat provides an important basis for comparing against larger scale tree distribution patterns and for understanding the implications of such patterns in the face of climate change.</t>
  </si>
  <si>
    <t>plant-environment interactions, soil temperature, soil moisture, litter, climate change, Alpine Treeline Warming Experiment (ATWE), seedling demography</t>
  </si>
  <si>
    <t>SzendrenyiA_2012-page1.pdf</t>
  </si>
  <si>
    <t>Lauren N. Thomas</t>
  </si>
  <si>
    <t>Understanding the connection between the Alternative Response Tool Evaluation System and adoption of innovative oil spill remediation efforts</t>
  </si>
  <si>
    <t>The National Oceanic and Atmospheric Administration developed the Alternative Response Tool Evaluation System (ARTES) as a tool to evaluate non-conventional oil spill response technologies. During the 2010 Deepwater Horizon oil spill in the Gulf of Mexico, ARTES was implemented on a large scale to aid remediation efforts. Only a small handful of documents exist on this important program, and evaluating its successes during the Deepwater Horizon event will aid in future spill response attempts. I analyze the ARTES program through responses of key actors. In order to analyze the industry and government responses I use document analysis and coding methods. I research vendor response through interviews with vendors whose technologies were evaluated by ARTES during the Deepwater Horizon oil spill. Ultimately, I suggest how ARTES can be advanced for better preparedness during the next significant spill through synthesizing lessons learned and actions for the future.</t>
  </si>
  <si>
    <t>Deepwater Horizon, British Petroleum, clean up technologies, spill response, Gulf of Mexico</t>
  </si>
  <si>
    <t>ThomasL_2012-page1.pdf</t>
  </si>
  <si>
    <t>Alyssa Tison</t>
  </si>
  <si>
    <t>A study of organic food consumers' knowledge, attitudes and behavior regarding labor in organic farms</t>
  </si>
  <si>
    <t>Buying organic is considered by consumers as a way to “vote with their dollar” and mitigate the environmental impacts associated with conventional agricultural systems. Although large scale certified organic farms that hire labor limit workers’ exposure to known harmful pesticides, low farm worker wages coupled with higher labor demands, seasonal hiring and limitations of access to health benefits still pose concerns that are not addressed through the organic certification process. In this study, I evaluated consumer knowledge and awareness of the current organic certification process, attitudes about buying organic, and frequency of and motives for purchasing organic foods. I surveyed consumers online and in two farmers’ markets in Northern California (San Francisco Ferry Plaza and Downtown Berkeley Farmers’ Market). Consumers’ lack of knowledge about organic certification standards suggests that their understanding of organics aligns with the popular public discourse reflecting organic products marketing strategies. Most participants value the inclusion of labor in organic certification standards, reasoning that people should be paid fairly for their labor. However, the study suggests that consumers do not necessarily purchase organics to support farm workers.</t>
  </si>
  <si>
    <t>hired labor, organic food industry, certification standards, consumers’ perceptions, food labels</t>
  </si>
  <si>
    <t>TisonA_2012-page1.pdf</t>
  </si>
  <si>
    <t>Benjamin H. Wheeler</t>
  </si>
  <si>
    <t>Modeling Range Shifts for North American Bats under Climate Change</t>
  </si>
  <si>
    <t>Bats are an important component of the world’s ecosystems, representing nearly one quarter of all mammalian biodiversity and contributing to the function of the global economy. Little is known, however, about how bat communities may respond to the coming century of climate change. Here I examine how climate change may affect the geographic distribution of bats in North America over the next 70 years under two potential emissions scenarios. I looked for patterns in distribution at a species and a community level. I also looked for hotspots, which are locations with high magnitudes of change in number of species and large percentage change per number of species, and examined range shifts for three bats with specific conservation and economic values, the Little Brown Bat, the Brazilian Free-tailed Bat and the Indiana Bat. I found that most North American bats are expected to experience an expansion and northward shift in ranges, with approximately 52 of 88 bats are modeled to experience range increases. There were general increases seen surrounding bodies of water. Coastal regions are modeled to experience moderate decreases, this is particularly true in the Gulf of Mexico, although the east coast as a whole experiences little change. Notable increases can be found in the Midwest as well as across Utah and Nevada. Agricultural losses in Midwest and the South may be particularly large due to shifts of bats northwards. These models are a first step towards understanding changes in bat communities under climate change, which is needed for effective bat conservation and for understanding how ecosystem services they provide might change.</t>
  </si>
  <si>
    <t>Species Distribution Model, Chiroptera, Myotis lucifugus, Myotis sodalis, Tadarida brasiliensis</t>
  </si>
  <si>
    <t>WheelerB_2012-page1.pdf</t>
  </si>
  <si>
    <t>Jordan Woods</t>
  </si>
  <si>
    <t>Investigating the Relationship between Rooftop Reflectance and Zoning District in San Jose, California</t>
  </si>
  <si>
    <t>Urban heat islands are threatening metropolitan areas by impacting energy consumption, public health, and local climate systems. Cool roof systems can help mitigate the intensity of heat islands by providing solutions to these issues. Increasing rooftop surface reflectance reduces the amount of energy absorbed by building materials, thus reducing the amount of heat reradiated to indoor and outdoor environments. California's standards for rooftop reflectance are lenient and un-uniform between building types. The objective of this study is to quantify the mean solar reflectance of rooftops in San Jose, California, and to investigate the relationship between rooftop reflectance and zoning district. I investigated surface reflectance from remotely sensed, high-resolution, multispectral imagery using imagery processing software. The average surface reflectance for 300,000 buildings in San Jose is: 0.13 in red band, 0.13 green band, 0.09 in blue band, 0.18 in near-infrared band. The average nominal rooftop reflectance is 0.13, with about 90% of the rooftops being at, or below, this average. There is a highly significant difference in reflectance between zoning districts, with residential buildings having the lowest reflectance values. The results of this study indicate that San Jose rooftops have problematic surface reflectances, and that an increase to 0.5 (or higher) would provide significant benefits to San Jose. Targeting residential buildings for future policy change would result in the largest benefits to the city. This research directly pertains to increasing the sustainability of large urban areas, providing healthier city environments, and providing justification towards policy change.</t>
  </si>
  <si>
    <t>Cool roofs, urban heat island mitigation, climate change, remotely sensed orthoimagery, GIS</t>
  </si>
  <si>
    <t>WoodsJ_2012-page1.pdf</t>
  </si>
  <si>
    <t>Nina Xu</t>
  </si>
  <si>
    <t>Lean, Mean, Green Cleaning Machine: One School District’s Quest for Sustainability</t>
  </si>
  <si>
    <t>There are more than 2 million janitors and building cleaners employed in the US; due to the nature of their jobs, building cleaners work with substances that are potentially hazardous and health-threatening. The emerging wealth of knowledge about the health risks associated with conventional cleaning products among scientists, administrators, educators, and consumers have prompted many institutions to change their practices. Some schools are switching from traditional cleaning products to eco-friendly alternatives. Despite the evidence of schools adopting green cleaning practices, green cleaning programs continue to face obstacles that affect their sustainability. My study identifies the obstacles that affect the implementation and sustainability of school-based green cleaning programs by conducting a case study with the Alameda Unified School District. Through a review of the literature and interviews with the program coordinator for the California Department of Public Health’s Occupational Health – Asthma Prevention branch, the Alameda Unified School District maintenance, operations &amp; facilities program coordinator, and the janitorial staff at three pilot sites I identify the obstacles on a variety of scales. Consistently, the largest obstacle to implementing and sustaining a school’s green cleaning programs is resistance from the janitorial staff. Increased cooperation and communication among janitors, green cleaning program coordinators, and external organizations (e.g. public health and/or environmental) can help a school’s green cleaning program flourish.</t>
  </si>
  <si>
    <t>eco products, public health, asthma, obstacles, program implementation</t>
  </si>
  <si>
    <t>XuN_2012-page1.pdf</t>
  </si>
  <si>
    <t>Taylor Zhou</t>
  </si>
  <si>
    <t>Cost of conserved energy for residential energy appliances in Australia, Japan and Korea</t>
  </si>
  <si>
    <t>Improving energy efficiency is an important way to reduce energy consumptions and carbon emissions. With strong national energy efficiency programs, the efficiency of electric appliances available on the market can be improved significantly. The goals of this study are to determine the optimal efficiency targets for consumers in terms of net financial impacts and to quantify social and environmental benefits from efficiency improvement. To generate the relationship between efficiency and price and calculate the cost of conserved energy (CCE), I collected retail price, unit energy consumption (UEC) and efficiency level data from retail websites and government appliance registry websites. I then determined the relationship between price and efficiency using multivariable regression analysis. Three countries with independent energy labeling programs are considered in this study: Australia, Japan, and Korea. This analysis shows that high efficiency appliances are generally cost-effective for consumers and implies that potential improvements for higher efficiency levels exist. With the market rapidly adopting improved technologies and stronger enforcement of efficiency policies, the overall efficiency level of appliances will likely increase in the near future at a lower cost. The importance of the regression analysis of cost versus efficiency relationship is that it can be extended to imply further improvement opportunities beyond current markets.</t>
  </si>
  <si>
    <t>Energy Efficiency Standard and Labeling, cost-benefit evaluation, energy efficiency, social benefits, international energy studies</t>
  </si>
  <si>
    <t>ZhouT_2012-page1.pdf</t>
  </si>
  <si>
    <t>Breanna N. Baraff</t>
  </si>
  <si>
    <t>Genetic Diversity and Distribution of Grapevine leafroll-associated virus in California</t>
  </si>
  <si>
    <t>Grapevine leafroll disease, caused by different species of Grapevine leafroll-associated viruses (GLRaV, Family Closteroviridae), has detrimental economic impacts on vineyards by decreasing the quality and quantity of the crop. Studies of infected vineyards continue to find new species and strains of GLRaV, but the genetic diversity of each these species is not well understood. This study identifies the species and strains which are present in Amador, El Dorado, San Luis Obispo and Lodi, California. I used a total of 548 samples collected from 24 vineyards and extracted high quality RNA from each isolate followed by RT-PCR for virus detection. The isolates identified as a single infection of GLRaV-3 were sequenced and compared with sequences in GenBank and, along with control isolates, aligned to create a phylogenetic tree. Six species of GLRaV and five clades of GLRaV-3 were present within the 24 vineyards. GLRaV-2 and GLRaV-3 were the most common species of virus infecting vineyards in these regions of California. The genetic distance between clades and individual samples in the phylogenetic tree support a large divergence between strains of GLRaV-3. The genetic information I identified will help researchers find the conserved viral sequences for GLRaV, which will improve future studies of the virus, and will help vineyard managers understand the spread of the virus.</t>
  </si>
  <si>
    <t>Closteroviridae, mealybug, grapevine viruses, divergence, certification</t>
  </si>
  <si>
    <t>BaraffB_2011-page1.pdf</t>
  </si>
  <si>
    <t>https://www.ocf.berkeley.edu/~pkmendez/envsci/projects/2011final/</t>
  </si>
  <si>
    <t>Punal J. Bhavsar</t>
  </si>
  <si>
    <t>Is it Worth Being Green? Green Business Transitions in Northern California</t>
  </si>
  <si>
    <t>Green business practices are gaining in popularity in recent years. My study examined the processes of converting to a green business plan for small, service oriented businesses in Northern California. I focused on pre- and post-transition customer bases and business owners’ perceptions of the relative success of the green business transition. Fourteen case studies of Northern California businesses provided a detailed picture of the green transition, by documenting the methods and materials used to go “green” and be successful. Findings indicate that going “green” can lead to increased profit from a larger customer base, and that green marketing strategies are key to achieving business owners’ goals. The findings are interpreted in the context of the business green revolution: the green marketing strategies attract consumers that seek out green products and services.</t>
  </si>
  <si>
    <t>Sustainability, green business, green transition, marketing, customer base</t>
  </si>
  <si>
    <t>Bhavsar_2011-page1.pdf</t>
  </si>
  <si>
    <t>Jabari Brown</t>
  </si>
  <si>
    <t>Geochemically Determining Urban Garden Suitability: Surveying Oakland Soils</t>
  </si>
  <si>
    <t>Food insecure communities in highly urbanized areas lack access to fresh, affordable produce. Urban gardens for sustenance provide a solution to food insecurity. However, anthropogenic disturbance may generate hazardous levels of contaminants in soils. These contaminants could be unhealthy for urban gardeners and consumers. To determine the suitability for urban gardens in Oakland, I analyzed soil samples from 50 sites for geochemical characteristics. The criteria for determination of the most suitable space for an urban garden combines spatially categorized data from open spaces, public parks, unused lots, and vacant areas with site specific geochemical parameters of soil solution pH, total lead, total organic carbon, and total organic nitrogen concentrations. I hypothesized that highly industrialized areas would have higher lead levels than less industrialized areas. Using soil solution pH values, total organic carbon and nitrogen as partial fertility indices and lead levels as a toxicity indicator, I determined that with the exception of a few exceptionally toxic areas, Oakland soils have great potential for urban gardens. Land managers, policymakers, and potential urban gardeners should both be aware of lead levels as well as other potential industrial contaminants before establishing an urban garden.</t>
  </si>
  <si>
    <t>Urban Agriculture, soil, Pb, Oakland, pH</t>
  </si>
  <si>
    <t>BrownJ_2011-page1.pdf</t>
  </si>
  <si>
    <t>Meghan R. Butler</t>
  </si>
  <si>
    <t>Sustainable Composting Systems: An Organic Waste Management Solution</t>
  </si>
  <si>
    <t>This paper identifies two problems, (1) the agricultural issue of existing low-value marginal land and (2) the large distance of organic waste transportation as it relates to environmental and economic costs. Using San Francisco as a case study, this paper investigates the transportation of organic waste. However with the current and long transportation distance organic waste must travel to its destination, I examined a new method of carrying this freight. Using the results, this paper suggests transporting organic waste via barges from San Francisco to a new and closer compost facility located near Port Sonoma, off the San Pablo Bay, on the adjacent marginal land. This study specifically addresses the environmental and economic implications of different modes of transporting organic waste and suggests a composting system that will fortify marginal land increase its value. The compost produced on the compost facility can be used to build up the marginal land surrounding Port Sonoma to transform that low-value land into fertile, agricultural land. Several states have established mandates to require the recycling of organic material; this study uses these political movements to bring compost to marginal land. This new composting system is transferable and can be implemented in any cities surrounded by water, allowing for this research on sustainable transportation to spread. Implementing this proposed system of composting, has the potential to shorten the circulation of crops to consumers, transport organic waste a shorter distance, emit fewer GHGs and same some capital.</t>
  </si>
  <si>
    <t>Compost, waste, barge, transfer truck, marginal land</t>
  </si>
  <si>
    <t>ButlerM_2011-page1.pdf</t>
  </si>
  <si>
    <t>Amanda Carlson</t>
  </si>
  <si>
    <t>Effects of grazing on native plant abundance and diversity in a California grassland invaded by Phalaris aquatica</t>
  </si>
  <si>
    <t>California grasslands have been heavily invaded by European annual and perennial grasses, but remnant populations of native vegetation still exist on coastal grasslands. Livestock grazing can be an effective tool for managing invasive species and promoting diversity, but grazing disturbance may be detrimental to native plant species. I examined a grassland that has been historically grazed by cattle and assessed how the plant community has responded to grazing exclusion at locations that have been fenced for more than 20 years. I conducted vegetation surveys on the grazed and ungrazed sides of five sites along the cattle fences in order to determine differences in native and exotic cover and diversity. I also assessed differences in cover and fitness of Harding grass, an invasive perennial grass. Overall, I found that grazing reduced the cover and fitness of Harding grass but had no significant effect on native and exotic cover or diversity. However, grazing did significantly increase exotic forb cover. Average differences in native and exotic cover and diversity were insignificant for the study system as a whole, but I did find large differences at some sites. Grazing response of total species richness and Shannon diversity index also varied substantially between study sites. These results suggest that other unknown factors are influencing how the community responds to the presence or absence of grazing. Further research is needed to determine the role of factors such as productivity and species composition in determining grazing response.</t>
  </si>
  <si>
    <t>native plants, invasion, grassland ecology, Harding grass, disturbance</t>
  </si>
  <si>
    <t>CarlsonA_2011-page1.pdf</t>
  </si>
  <si>
    <t>Sylvia W. Chang</t>
  </si>
  <si>
    <t>Institutional discourses on Plastic Pollution in the North Pacific Gyre</t>
  </si>
  <si>
    <t>Plastic pollution is the greatest contributor to marine ecosystem degradation. With the increased proliferation of plastics in the last half-century, plastic debris presents an environmental problem without a clear solution. Historical and current management and governance models lack a concrete legal framework for preventing and reducing marine pollution. State and non-governmental institutional discourses have shaped policy processes and affected governance regimes seeking to limit the environmental effects of plastics pollution in the Pacific Ocean, yet researchers have not considered how tensions within and between these discourses may have inhibited effective governance. I compared the discourses of key U.S.-based state and non-governmental stakeholders, including the National Oceanic and Atmospheric Administration, the Environmental Protection Agency, and the Plastic Pollution Coalition, in publications and public websites, focusing on the communication of the ideas about causes of and solutions to the marine plastics pollution issue. I found that the stakeholders frame the issue in very different terms, with some delineating it in terms of ‐plastics debris,‐ while others use the less specific ‐marine debris.‐ Establishing a common terminology that can serve to facilitate a dialogue based on a shared understanding the nature of problem. This suggests the possibility that the incongruency of stakeholder discourses, reflecting different institutional agendas, may serve as an impediment to effective management.</t>
  </si>
  <si>
    <t>Agencies, discourse analysis, marine debris, political ecology, plastic debris</t>
  </si>
  <si>
    <t>ChangS_2011-page1.pdf</t>
  </si>
  <si>
    <t>Christina Cheng</t>
  </si>
  <si>
    <t>Goals and Rationales for Dispersant Use in the 2010 British Petroleum Gulf Coast Oil Spill Response</t>
  </si>
  <si>
    <t>The response to the 2010 British Petroleum oil spill in the Gulf of Mexico was wrought with controversy because of the uncertainty associated with the use of dispersants to break up concentrated oil on and below the sea surface. Yet the federal emergency response administrators decided to allow the use dispersants to mitigate the effects of the oils spill, citing the efficiency and quickness with which they can be deployed to remove oil from sea surfaces. Key stakeholders in the response effort held different views on the use of dispersants in the response. In this study, I documented these organizations’ rationales for policy prescriptions concerning the use of dispersants in response to the oil spill, drawing on reports and congressional testimony. I analyzed the degree to which the rationales were based on scientific research by comparing the stakeholder rationales and the contents of scientific articles on dispersant use in oil spill response. I found that the decision to use dispersants may be due to political pressures to take action to avoid oil saturation of wetlands and beaches that would make bad press. The industry’s rationales were based mainly on industry science, yet they were able to influence the EPA’s regulatory decision-making while the NGOs were suspicious of dispersant use. This study suggests the need for the use of deliberate review of the scientific bases for arguments put forth by stakeholders, to avoid hasty and disorganized decision making, and possible long-term ecological impacts, in future incidents.</t>
  </si>
  <si>
    <t>Dispersant, British Petroleum, oil spill response, rationale, stakeholder</t>
  </si>
  <si>
    <t>ChengC_2011-page1.pdf</t>
  </si>
  <si>
    <t>Ya-Ting Chen</t>
  </si>
  <si>
    <t>Methyl chloride (CH3Cl) and methyl bromide (CH3Br) emissions from economically important tropical crops</t>
  </si>
  <si>
    <t>Tropical rainforests have recently been confirmed to be the largest source of methyl chloride and a missing source for methyl bromide. However, very few field studies have quantified methyl halide emissions from tropical plants. This study presents the first methyl halide emission measurements from 16 tropical crop species at the University of California, Berkeley Botanical Gardens. Leaf vial experiments qualitatively identified 15 out of the 16 species as CH3Cl emitters and 7 species as CH3Br emitters. Coffea arabica was the highest emitter for both CH3Cl and CH3Br. In addition, bag enclosure experiments were conducted on living plants to quantitatively determine net emission fluxes from C. arabica as well as a previous studied species, Angiopteris lygodiifolia. There were strong correlations between CH3Cl and CH3Br emission from both C. arabica and A. lygodiifolia, suggesting that the methyl halide productions share similar biological mechanisms in these species. Temperature observations also showed that methyl halide emissions from C. arabica strongly depended on temperature. Using the mean net emission flux, global CH3Cl emission by C. arabica was estimated to be 0.11 Tg yr-1, representing approximately 7.5% of the total CH3Cl emissions from tropical forests. Overall, the findings suggested that tropical crops make an important contribution to global terrestrial emissions of CH3Cl, but less so for CH3Br.</t>
  </si>
  <si>
    <t>methyl halides, tropical rainforests, net emission flux, stratospheric ozone, ozone-depleting compounds</t>
  </si>
  <si>
    <t>ChenY_2011-page1.pdf</t>
  </si>
  <si>
    <t>Isabelle A. Chow</t>
  </si>
  <si>
    <t>Effects of Floral Resource Availability on Anagyrus pseudococci’s Longevity, Fecundity, and Parasitism Rates of Vine Mealybug (Planococcus ficus)</t>
  </si>
  <si>
    <t>Vine mealybugs (Planococcus ficus) are major pests in California’s vineyards. Anagyrus pseudococci is a primary parasitoid of the vine mealybug and has potential to control pest populations. Floral resources may be beneficial for parasitoids by providing alternative resources and may lead to an increase in pest suppression. In a laboratory study I tested two research questions: (1) What flower species are the most effective in increasing longevity of A. pseudococci? And (2) What flower species are the most effective in increasing A. pseudococci’s fecundity and parasitism rates of vine mealybug? I found that all flower species, except P. tanacetifolia, showed a higher mean longevity than the control. Phacelia tanacetifolia resulted in a reduced longevity compared to A. majus, F. esculentum, D. carota, and honey solution. Provisioning of honey solution resulted in a significantly enhanced longevity compared to control. Average daily fecundity and parasitism rates per individual varied minimally between treatments. However, total lifetime fecundity varied significantly between treatments and cumulative fecundity continued to increase over time. These results suggest that enhanced longevity affects lifetime fecundity and potentially A. pseudococci’s ability to control vine mealybug populations in the field.</t>
  </si>
  <si>
    <t>Conservation biological control, agriculture, viticulture, parasitoid, natural enemy</t>
  </si>
  <si>
    <t>ChowI_2011_abstract-page1.pdf</t>
  </si>
  <si>
    <t>Jayhee Chung</t>
  </si>
  <si>
    <t>The life history of the invasive European green crab (Carcinus maenus) in San Francisco Bay</t>
  </si>
  <si>
    <t>The European green crab, Carcinus maenus, was first discovered in 1989 in San Francisco Bay and has since spread northward along the west coast of North America. They are one of the top most successful invasive species in the world due to their tolerance of a wide range of salinities and water temperatures. They are also a voracious predator, often outcompeting native species for food and habitat and overwhelming native populations of prey organisms. This study investigates the current status of the population of C. maenus in the S.F. Bay over a five-year period and how their populations and carapace widths have changed over time. The data collected suggested that current populations of green crab are stable and slightly increasing while carapace width remains the same. This indicates that green crabs are not becoming an overwhelming threat in the S.F. Bay area but further research is needed to successfully determine the future of this species.</t>
  </si>
  <si>
    <t>carapace size, life history ecology, European green crab, invasive species, habitat</t>
  </si>
  <si>
    <t>ChungJ_2011-page1.pdf</t>
  </si>
  <si>
    <t>Clinton Cleveland</t>
  </si>
  <si>
    <t>Using stable isotope analysis to infer diet differentiation between cryptic rails</t>
  </si>
  <si>
    <t>The California Black Rail (Laterallus jamaicensis coturniculus) is a wetland specialist found in isolated patches of freshwater and marine wetlands in California. Because the Black Rail tends to be found in the same habitats as the larger and more common Virginia Rail (Rallus limicola), a key question is how the two related species partition diet resources. The quantification of naturally occurring isotopes of carbon, nitrogen and sulfur has proven useful in answering otherwise difficult ecological questions. In this study, I compared the concentrations of stable isotopes of carbon and nitrogen in the feathers of Black and Virginia Rails from the Sierra Nevada foothills with those of diet sources collected from the Rails’ habitat. I used SIAR, a Bayesian mixing model, to evaluate the relative dietary contributions of three isotopically distinct groups of diet sources. The data support the hypothesis that the Virginia Rail is better able to utilize aquatic prey than the California Black Rail.</t>
  </si>
  <si>
    <t>Black Rail, Laterallus jamaicensis, Virginia Rail, Rallus limicola, stable isotope, wetlands</t>
  </si>
  <si>
    <t>ClevelandC_2011-page1.pdf</t>
  </si>
  <si>
    <t>Jimmy A. Dileo</t>
  </si>
  <si>
    <t>Port of Oakland Particulate Matter Emissions and Prevalence of Asthma Hospitalizations in Bay Area Communities</t>
  </si>
  <si>
    <t>This study consists of a comparison between ambient particulate matter (PM) concentrations and incidence of asthma in eight San Francisco Bay Area communities – West and East Oakland, San Francisco, Redwood City, Vallejo, Point Reyes Station, and San Jose, all of which are in California. West Oakland, predominantly African American, may be at risk of dangerous levels of diesel particulate matter emissions because of its close proximity to the Port of Oakland. The purpose of this study is to investigate an association between three variables: PM2.5 concentrations, asthma incidence, and demographic/socioeconomic status in each community. A map was created using Geographic Information System (GIS) to observe spatial autocorrelative effects that the Port may have on West Oakland’s health, compared to neighboring communities. West Oakland shows the highest risk for asthma out of all the other evaluated Bay Area communities. Racial associations seem to exist between asthma prevalence and socioeconomic status. The results of this study suggest that West Oakland residents are disproportionately exposed to PM and are disproportionately burdened with asthma.</t>
  </si>
  <si>
    <t>Particulate Matter, Asthma Hospitalizations, Port of Oakland, Bay Area, Socioeconomic</t>
  </si>
  <si>
    <t>DileoJ_2011-page1.pdf</t>
  </si>
  <si>
    <t>Erica Fong</t>
  </si>
  <si>
    <t>Application of Low-Temperature Produced Biochar on Plant Growth in Californian Alfisol Soil</t>
  </si>
  <si>
    <t>As the scientific and political community works to reduce greenhouse gases in the atmosphere, there has been greater support for wide-scale biochar use as a form of carbon sequestration. Biochar has also increased soil fertility and plant growth in studies suggesting potential environmental and economic benefits of agricultural use. While California could benefit from biochar use, there has been limited research done on biochar interactions with varying plants and agricultural practices in Californian Alfisol soils. I conducted a greenhouse experiment to determine whether low-temperature produced biochar at varying application concentrations with and without fertilizer would affect Lolium multiflorum plant growth in Californian Alfisol soil. After 7 weeks of growth, I weighed the dry root and shoot masses and used a two-way ANOVA to find whether biochar affects plant growth and if fertilizer affects biochar's influence on plant growth. Shoot plant growth increased most with 25 tons per hectare (t/h) biochar and fertilizer applied which improved shoot growth by 7.77g from the control (no fertilizer and 0t/h biochar applied) and 1.52 g from the fertilized and 0 t/h biochar applied group. Fertilizer increased plant growth most (p=1.704x10-14). However, the minimal plant growth within the fertilized group seemed to be attributed to biochar additions but could not be verified as biochar's effect on plant growth was insignificant (p=0.4424). Biochar and fertilizer's combined effect on plant growth was insignificant (p=0.7239). The statistical insignificance suggests a larger study is needed to verify possible biochar benefits on plant growth with fertilization in Alfisol soils.</t>
  </si>
  <si>
    <t>soil fertility, carbon sequestration, Lolium multiflorum, agriculture, climate change</t>
  </si>
  <si>
    <t>FongE_2011-page1.pdf</t>
  </si>
  <si>
    <t>Maybellene Gamboa</t>
  </si>
  <si>
    <t>Home Range of Secretive Marsh Birds: California Black Rail (Laterallus jamaicensis coturniculus) and Virginia Rail (Rallus limicola)</t>
  </si>
  <si>
    <t>The California Black Rail (Laterallus jamaicensis coturniculus) is a rarely seen, threatened species associated with wetland systems in California. Along with the widespread Virginia Rail (Rallus limicola), the California Black Rail has been recently discovered in the Sierra Nevada foothills. Previous studies have attempted to estimate the home range and to track the movements of these secretive birds, but no study has focused on the population in the Sierra Nevada foothills. To estimate the home range size of both species, we attached radiotransmitters to the bodies of captured birds during the summers of 2008-2010. Using daily fixes of radiotagged birds, I estimated home range using minimum convex polygons (MCP) and fixed kernel density (KD). I found that California Black Rails had a smaller home range (0.35 ± 0.07 ha) and core area (0.08 ± 0.02 ha) in the Sierra Nevada foothills than in previous studies. Virginia Rail home range (0.53 ± 0.11 ha) and core area (0.12 ± 0.03 ha) were consistent with previous studies. As expected, Virginia Rails were found in deeper water than Black Rails and had larger home ranges. Core areas and habitat characteristics were similar between species with both preferring low, dense vegetation. Since a decline in suitable wetland habitat has been associated with a decline in California Black Rail populations, the understanding and maintenance of the population dynamics of the California Black Rail in the Sierra Nevada foothills is vital for the conservation of this threatened species.</t>
  </si>
  <si>
    <t>metapopulation, conservation, freshwater wetlands, radiotelemetry, threatened species</t>
  </si>
  <si>
    <t>GamboaM_2011-page1.pdf</t>
  </si>
  <si>
    <t>Jim Gao</t>
  </si>
  <si>
    <t>Spatial Optimization of Wind Turbines</t>
  </si>
  <si>
    <t>The stochastic nature of wind resources renders turbine energy production highly unstable, reducing its market value and penetration. Prior research indicates that increasing the geographic distribution of wind turbines reduces overall production variability. The objective of this research was to develop a robust methodology utilizing Lagrange multipliers and a moving-window penalty method to determine the optimum spatial allocation of turbines to minimize power fluctuations while maximizing energy generation. The developed models are validated against a distributed generation network with uniform distribution of wind turbines, as well as previous studies on interconnected wind farms. The results indicate that the moving-window method is fairly effective at minimizing both short-term and long-term variability, as well as maximizing mean power output and baseload power supply.</t>
  </si>
  <si>
    <t>distributed generation, lagrange multipliers, penalty method, power smoothing, variability reduction</t>
  </si>
  <si>
    <t>GaoJ_2011-page1.pdf</t>
  </si>
  <si>
    <t>Nicholas Garcia</t>
  </si>
  <si>
    <t>Wireless Waste: Cell Phone Recycling Behavior of San Francisco Bay Area Residents and Students</t>
  </si>
  <si>
    <t>Cell phone consumption has increased drastically in the past decade; however, recycling rates in the United States are only around 10-12%. This alarmingly low recycling rate demands attention because mobile phones contain toxic and non-degradable materials that pollute landfills if they are disposed of through the traditional waste stream. To better understand the factors influencing cell phone recycling behavior, this study uses three analytical frameworks: economic, environmental attitudes and behaviors, and perceived consumer effectiveness. I administered a paper survey to Bay Area Rapid Transit (BART) passengers and an analogous online survey to students at UC Berkeley and found that the cell phone recycling rate for students was 20% and 28% for BART commuters. Information, pro-environmental behavior and attitudes, and perceived consumer effectiveness were positively correlated with cell phone recycling. Theories about recycling behavior suggest that inconvenience is a major barrier for consumer; however, only 6% of non-recyclers said that cell phone recycling was inconvenient. I found that 67% of the student sample and 61% of the BART sample who did not recycle their cell phone stored their devices for future disposal or as a back up phone. Only 2-3% of the sample threw away their phone. This study suggests that recycling rates could be increased by encouraging consumers through information campaigns that seek to increase their knowledge of cell phone recycling, and perceived consumer effectiveness.</t>
  </si>
  <si>
    <t>Perceived Consumer Effectiveness, Pro-environmental behavior, e-waste, logistic regression, environmental attitudes &amp; behaviors</t>
  </si>
  <si>
    <t>GarciaN_2011-page1.pdf</t>
  </si>
  <si>
    <t>Katharine K. Guan</t>
  </si>
  <si>
    <t>Surface and ambient air temperatures associated with different ground material: a case study at the University of California, Berkeley</t>
  </si>
  <si>
    <t>The urban heat island (UHI) phenomenon rises as urbanization increases. A key characteristic of urban areas is artificial surfaces, which can absorb and store great amounts of heat throughout the day. While standard pavements like asphalt and concrete have been extensively studied, newly introduced pervious pavements have not been intensively analyzed. My study examined the surface temperatures of impervious, pervious, and natural ground materials and their association to ambient air temperatures in the urban microclimate. As a case study, I investigated an area on the University of California, Berkeley campus exhibiting open areas of asphalt, concrete, brick pavers, and grass lawns. I conducted field work mid- to late-winter and collected temperatures during the warmest time of day, between 2 p.m. to 4 p.m., using an infrared thermometer for surface temperatures and digital thermometer for air temperatures. Using ANOVA, I found differences in surface temperatures of each material, but air temperatures showed no significant difference. However, a correlation test showed strong and positive correlation between the surface temperature and air temperature of each material. An ANCOVA revealed that there was no significance between the rates of heating among materials. In conclusion, I determined that the UHI effect may be minimal during the winter in Berkeley.</t>
  </si>
  <si>
    <t>urban heat island, pavement, brick pavers, urban microclimate, ground study</t>
  </si>
  <si>
    <t>GuanK_2011-page1.pdf</t>
  </si>
  <si>
    <t>Andrea Irons</t>
  </si>
  <si>
    <t>Conserving Surface Water: Trees and Drying Rates in Alameda Creek, California</t>
  </si>
  <si>
    <t>hydraulic lift, stream ecology, surface water, groundwater, percolation, evapotranspiration</t>
  </si>
  <si>
    <t>IronsA_2011-page1.pdf</t>
  </si>
  <si>
    <t>Caroline Jablonicky</t>
  </si>
  <si>
    <t>Temporal partitioning of carcasses by mammalian scavengers in Etosha National Park, Namibia</t>
  </si>
  <si>
    <t>The mechanisms behind the partitioning of sympatric species’ ecological niches are highly debated, and few studies have explored how a community temporally partitions a single resource. My study investigated how a mammalian scavenger community in Etosha National Park (ENP) temporally partitioned carcasses that died from natural causes, hypothesizing that the presence of a dominant scavenger (lions (Panthera leo)) will affect the probability of observing subordinate scavenger species (spotted hyenas (Crocuta crocuta) and black-backed jackals (Canis mesomelas)). Remote camera trap data was collected at 32 carcass sites in ENP from February to June 2010, and histograms of the general activity patterns for each species over 24-hour time periods were created. The parameters of day versus night, lion presence within six hours and the state of carcass degradation were included in a logistic regression model used to predict the probability of observing a species on a smaller, interaction-based time scale. When qualitatively comparing the general activity patterns of each species, all species had similar nocturnal activity patterns. However, when analyzing specific interactions on a smaller time scale, lion presence negatively affected the probability of observing hyenas and positively affected the probability of observing jackals. The results confirm that lion presence does affect the probability of observing hyenas and jackals at a carcass site. Temporal partitioning of a resource like carcasses that occur heterogeneously in space and time should be considered in terms of individual-level interactions rather than comparing generalized activity patterns of sympatric species.</t>
  </si>
  <si>
    <t>competition avoidance, black-backed jackal, lion, niche partitioning, spotted hyena</t>
  </si>
  <si>
    <t>JablonickyC_2011-page1.pdf</t>
  </si>
  <si>
    <t>Sarah Jarjour</t>
  </si>
  <si>
    <t>Healthy Commute? Traffic Conditions, Ambient Air Pollution, &amp; Cyclist Exposure</t>
  </si>
  <si>
    <t>Bicycle commuting is one way to improve public health by increasing activity level while also mitigating climate change through the reduction of climate active vehicle emissions. However, more extensive evaluation of elevated exposures to air pollution and potential health risks associated with these exposures is necessary. In this study, eight adults cycled on high-traffic and low-traffic routes carrying pollutant monitoring devices. We measured lung function using spirometry and heart-rate variance pre-ride, post-ride, and four hours afterward to evaluate health effects. Average concentrations on the high-traffic route were higher than those on the low traffic route for ultrafine particulate matter (in particles per cubic meter: 19172 high, 10884 low), carbon monoxide (in milligrams per cubic meter: 1.16 high, 0.80 low), and black carbon (in micrograms per cubic meter: 2.53 high, 1.54 low). Elevated ambient air pollutant concentrations did not correlate with detrimental changes in lung function parameters, which were insignificant. Our results suggest that selecting low-traffic routes can reduce cyclists’ exposure to vehicle-related air pollutants.</t>
  </si>
  <si>
    <t>bike commuting, particulate matter, black carbon, carbon monoxide, lung function</t>
  </si>
  <si>
    <t>JarjourS_2011-page1.pdf</t>
  </si>
  <si>
    <t>Robin Katz</t>
  </si>
  <si>
    <t>Who Speaks For The Bees? Narratives of Pollinator Protection in Public Policy</t>
  </si>
  <si>
    <t>Bees are in crisis globally, facing devastating population declines due to land development, agricultural practices, climate change, habitat fragmentation, and competition from non-native species. In response, members of the scientific and agricultural communities have sought drastic policy changes and legislation to protect pollinators. I compared pollinator protection recommendations offered by the scientific community and the contents of conservation policy, focusing on how and why policy-makers have disproportionately emphasized conservation of managed honeybee populations rather than native bees. I analyzed narratives from six sectors with a stake in the pollinator policy debate: business interests (agriculture, beekeeping, and food industry), politicians, scientists, the popular press, resource managers, and conservation-based NGOs. I used a policy narrative analytical approach designed to track the role of specific stakeholder arguments and ideas in influencing action taken by policy makers.</t>
  </si>
  <si>
    <t>pollinators, colony collapse disorder, Farm Bill, narrative policy analysis, habitat conservation</t>
  </si>
  <si>
    <t>KatzR_2011-page1.pdf</t>
  </si>
  <si>
    <t>Artin Laleian</t>
  </si>
  <si>
    <t>Phytoremediation of dredged material from the San Pablo Bay, CA for heavy and transition metals with Pelargonium crispum and Beta vulgaris</t>
  </si>
  <si>
    <t>Phytoremediation by plant uptake reduces the concentrations of potentially toxic elements in soils. I grew Beta vulgaris (sugar beet) and Pelargonium crispum (lemon-scented geranium) in dredged material from the San Pablo Bay, CA known to contain elevated levels of arsenic, chromium, copper, lead, and nickel. I also attempted to grow Brassica juncea (Indian mustard) and Helianthus annuus (sunflower), but no individuals survived to the sampling date. Planting these species by direct seeding and transplanting at three different sizes suggest that transplanting after one month of growth in potting soil results in the highest survivorship. I sampled the roots, stems and leaves following 12 weeks of growth in the dredged material for Beta vulgaris and 22 weeks of growth for Pelargonium crispum and analyzed the tissue for concentrations of the elements of interest. Both species accumulated copper, lead, and nickel most, with accumulation favoring the stems and leaves rather than the roots.</t>
  </si>
  <si>
    <t>Bioremediation, bioaccumulation, Brassica juncea, Helianthus annuus, San Francisco Bay</t>
  </si>
  <si>
    <t>LaleianA_2011-page1.pdf</t>
  </si>
  <si>
    <t>Jimmy T. Lam</t>
  </si>
  <si>
    <t>Traditional Medicines Can’t Harm You: Medicament Use and Awareness of Health Risks Among Vietnamese Immigrants in San Jose, California</t>
  </si>
  <si>
    <t>Despite the common perception that traditional remedies are harmless, many of them pose health risks due to possible heavy metal, biological, and chemical contaminants. The use of traditional herbal remedies is common within Vietnamese communities, but there is a deficit of knowledge concerning use practices and awareness of health complications associated with traditional medicine use in these communities. Based on fifteen interviews, I found that Vietnamese immigrants have switched to a primarily western approach to the treatment of illness, diminishing exposure to, and concern over the risks associated with traditional medicine use. Soon after immigrating, many respondents lost trust in the quality of traditional medicines for the treatment of illness. Yet some respondents continued to use traditional medicines as dietary supplements and for the prevention of illness, with little awareness of the potentially toxic qualities of these substances. My findings suggest that, as Vietnamese immigrants acculturate, they assume a primarily western health regime, while maintaining a traditional belief system that natural, traditional medicines are important means of preventing illness and increasing quality of health. Therefore, my findings reflect a tension between acculturation and traditional values underpinning the use of medication, and suggest the need to expand awareness of health risks associated with traditional medicine in Vietnamese communities.</t>
  </si>
  <si>
    <t>Vietnam, herbal medicines, western medicines, use practices, acculturation</t>
  </si>
  <si>
    <t>LamJ_2011-page1.pdf</t>
  </si>
  <si>
    <t>Kellye Larsen</t>
  </si>
  <si>
    <t>Energy Bill Breakdown: Regional Temperature Variations and Construction Age on Energy Consumption</t>
  </si>
  <si>
    <t>With the need to reduce greenhouse gas emissions and the fact that 50% of US residential energy consumption is attributable to space heating and air conditioning, it is imperative to understand the variables that influence the use of these technologies. This study analyzes the Residential Energy Consumption Survey of 1,172 samples from the four largest US states- California, Florida, New York and Texas- to determine the relative effects of building age and regional temperature variations on building heating and cooling. Backwards stepwise regression was used to isolate the influential variables in the survey and to build two models, one for air conditioning and one for space heating. Degree Day, building age, square footage, and number of windows were found to be influential on space heating whereas degree day, square footage, number of windows and number of residents were found to be influential on air conditioning. From this model, lmg analysis for relative importance on the heating model revealed that degree day was the most important variable, followed by building age. On the state level, all of the national heating model variables were statistically significant in California and Texas, but not in New York and Florida. Overall, the influence of temperature was found to be the most significant influence on energy consumption for both air conditioning and space heating; however, building codes that focus on building age may still provide valuable energy savings for space heating energy consumption.</t>
  </si>
  <si>
    <t>space heating, air conditioning, building age, degree day, backwards stepwise regression</t>
  </si>
  <si>
    <t>LarsenK_2011-page1.pdf</t>
  </si>
  <si>
    <t>Ana Loera</t>
  </si>
  <si>
    <t>The Prevalence of Energy Efficiency and PG&amp;E Rebate Programs in Fruitvale, CA</t>
  </si>
  <si>
    <t>America has recognized the importance of implementing energy efficiency strategies to help make-up for the energy crisis that came about in the 1970’s. Various energy efficiency programs came about since this energy crisis, making energy efficiency something more available to the general public in recent years. The question then becomes whether this applies to the low-income community as well. This project will analyze PG&amp;E led energy efficiency programs and their prevalence in Fruitvale - a low-income, predominantly Latino neighborhood in Oakland, CA. The project will provide helpful information on how PG&amp;E’s energy efficiency programs are understood and utilized by Fruitvale community members. I examined the association between income, education level, and ethnicity to adoption of PG&amp;E’s energy efficiency programs using the responses from a survey. The data provides a better understanding of how much people in Fruitvale know about PG&amp;E’s rebate programs, how much they are using them, and perhaps what can be done to increase adoption of the programs in an effort to promote energy efficiency and save PG&amp;E customers money.</t>
  </si>
  <si>
    <t>Energy efficiency, low-income, rebate, access, Fruitvale</t>
  </si>
  <si>
    <t>LoeraA_2011-page1.pdf</t>
  </si>
  <si>
    <t>Jose Lopez</t>
  </si>
  <si>
    <t>Community Organizers not Activists: Responding to the Social and Environmental Justice Movement</t>
  </si>
  <si>
    <t>Incorporating community members into public decision-making is essential to reducing the social and environmental disparities suffered by communities of color. This can take the form of authentic involvement or tokenism, in which people are invited to take part of a decision making process, but their interests are not addressed, creating a sense of mistrust. Non-profit organizations are organizing communities of color to reverse this trend and increase authentic participatory action. Yet few of them have been effective at organizing people affected by the unequal distribution of resources. This study examines why community organizers undertake an active role in seeking to address social and environmental justice issues. I conducted interviews with paid organizers working with non-profit organizations in California. These organizations address issues of environmental and social justice in communities of color primarily composed of Hispanics, African-Americans and Asians. I found that organizers consider the social and environmental justice movement as a vehicle within the community that serves to bring people from various races and socioeconomic status together. Nevertheless, the most common motives that drive social and environmental justice organizers are the lack of citizen awareness of justice issues, the absence of power in these communities, disparities of race and income.</t>
  </si>
  <si>
    <t>non-profit organizations, participatory action, life experiences, motives, interviews</t>
  </si>
  <si>
    <t>LopezJ_2011-page1.pdf</t>
  </si>
  <si>
    <t>Bryson H. Marks</t>
  </si>
  <si>
    <t>Presence of Ambystoma californiense within Pools of Varying Macroinvertebrate Diversity</t>
  </si>
  <si>
    <t>California tiger salamander, macroinvertebrate, vernal pool, amphibian, wetland, Central Valley</t>
  </si>
  <si>
    <t>MarksB_2011-page1.pdf</t>
  </si>
  <si>
    <t>Ryan McCarter</t>
  </si>
  <si>
    <t>A Solar Hot Water Sizing and Payback Calculator: an innovation based on hot water consumption models</t>
  </si>
  <si>
    <t>Solar hot water heaters can provide a significant fraction of the U.S. residential energy budget. However, to do so, the solar hot water industry must overcome barriers hindering adoption rates. This paper addresses two such barriers with the development of a calculator to allow interested residents to accurately estimate system size and financial payback of solar hot water heaters based on their average daily hot water consumption. The first barrier to residential hot water usage is the general lack of awareness of individual energy needs and how they can be met most economically. In using this calculator, residents will begin to see how they can save significantly on water heating costs and how their hot water consumption affects these costs. To remedy a second market barrier, this calculator enables residents to accurately assess the solar collector area needed for their specific hot water demand. Presently, installations of oversized solar hot water heaters have impaired financial returns and could tarnish the solar industry if left unchecked. Many existing calculators have attempted to spread awareness through system size and financial calculations but fail to predict them accurately. My calculator adds unparalleled accuracy over existing calculators and is the first time a detailed hot water use model is used to estimate collector area and payback period. My calculator is applicable to a broad range of geographic locations, but in this paper, I assessed its accuracy in residential homes in Berkeley, Ca.</t>
  </si>
  <si>
    <t>payback period, collector area, hot water use, residential hot water demand, natural gas</t>
  </si>
  <si>
    <t>McCarterR_2011-page1.pdf</t>
  </si>
  <si>
    <t>Melanie S. Montes</t>
  </si>
  <si>
    <t>Protein-protein interactions of ULTRAPETALA1, a trithorax group factor in Arabidopsis thaliana</t>
  </si>
  <si>
    <t>ULTRAPETALA1 (ULT1) controls the size of shoot and floral meristems in Arabidopsis thaliana by controlling gene expression through an epigenetic mechanism, without changing the DNA sequence. ULT1 has been characterized as a Trithorax group (trxG) factor, and is therefore thought to form complexes with other proteins to carry out its function. Not all of the proteins that make up this complex have been identified. ULT1 has been observed in both the cytosol and the nucleus, but it is unknown where in the cell it functions. In this study I tested putative interaction partners to determine which proteins bind ULT1 to form complexes. I employed an intracellular imaging method of Bimolecular Fluorescence Complementation, which allowed me to examine protein interactions in vivo and observe where this interaction was localized in living cells. I found both the ATX2 and HAC1 proteins contained portions that bound to the ULT1 protein in localized spots throughout the cytosol and in the nuclei, suggesting that the proteins may bind in the cytosol and subsequently localize to the nucleus to carry out their regulation. Characterizing the complexes ULT1 forms in Arabidopsis may help us understand how epigenetic silencing and activation functions in other plants and animals, including humans. The epigenetic regulation of gene expression is more flexible than mutations in the DNA sequence, and therefore may be the mechanism through which plants respond to changes in their environment.</t>
  </si>
  <si>
    <t>epigenetics, ATX2, HAC1, BiFC, shoot apical meristem</t>
  </si>
  <si>
    <t>MontesM_2011-page1.pdf</t>
  </si>
  <si>
    <t>Carmen Mosqueda</t>
  </si>
  <si>
    <t>The Effects of Seasonal Drought on Fish Ecology in San Antonio Creek, CA</t>
  </si>
  <si>
    <t>Aquatic systems in Mediterranean Climate regions commonly exhibit summer drought as a disturbance that can be important for natural selection and diversity of fish species. Drying pools have a number of abiotic factors that can be stressors such as increase in temperature and conductivity, and a decrease in Dissolved oxygen (DO and habitat loss. In this study, I determined which abiotic factors affect fish mortality using data collected of abiotic factors from five pools in San Antonio Creek, CA. To determine which physical habitat parameters may be correlated to fish losses, I calculated Spearman Rank (S.R.) correlations for pairs of physical habitat parameters and found the highest correlations to be between % algae and pool area (S.R.= -0.67, P= 0.0000). I observed that, as the summer progressed, riffles disappeared and all pools disconnected from the creek. There was a general increase in conductivity, algae, and shade, and a decrease in DO and pool depth in all or most sites. To study the effects of drought on fish mortality, I graphed the estimated number dead fish over time and compared the mortality to each physical habitat parameter over time. I found that there was an overall increase in fish mortality over time, and that fish mortality was highly correlated to dissolved oxygen and depth. Peaks and drops in temperatures were also followed by sudden mass fish mortality. Some species demonstrated extremely high tolerance to drought conditions that were not expected.</t>
  </si>
  <si>
    <t>Mediterranean climate, fish ecosystem, stream ecology, summer drought, drying streams</t>
  </si>
  <si>
    <t>MosquedaC_2011-page1.pdf</t>
  </si>
  <si>
    <t>Stephanie Panlasigui</t>
  </si>
  <si>
    <t>Choosy Crustaceans: Habitat preference of the terrestrial isopod, Armadillidium vulgare (Isopoda: Oniscidea)</t>
  </si>
  <si>
    <t>The introduction of exotic species, such as Eucalyptus globulus, or Blue Gum, to California alters the species composition of the present community. To assess ecosystem degradation, researchers have suggested use of detritivores such as terrestrial isopods for use as bioindicators. With deeper understanding of their ecology, the terrestrial isopod Armadillidium vulgare may serve as a suitable indicator of ecosystem health in the future. In this study, A. vulgare underwent two habitat selection experiments to determine their habitat preferences. The objectives were to determine whether 1) habitat selection varies between species of leaf litter, 2) the chosen leaf species is associated with the sex of isopods, and 3) habitat selection varies between leaf litter of different water contents. The first experiment presented A. vulgare with a choice between two species of leaf litter: E. globulus and Quercus agrifolia, or Coast Live Oak, a California native. Chi-square tests determined that isopod choice of oak over eucalyptus was statistically significant and that the species of leaf litter selected was not associated with sex of isopods. A Chi-square test for the water content experiment showed that selection for water content of 0.39 over 0.53 in Q. agrifolia leaves was significant, suggesting optimal water content is closer to 0.39 than 0.53. The results may be explained by factors not controlled in this study, including diet, chemistry, or behavioral tendencies. Further studies on terrestrial isopods can provide better information on their habitat preference and the effect of exotic plants on their distribution and abundance.</t>
  </si>
  <si>
    <t>exotic species, indicator species, habitat selection, water content, leaf litter</t>
  </si>
  <si>
    <t>Panlasigui_2011-page1.pdf</t>
  </si>
  <si>
    <t>Evan F. Portier</t>
  </si>
  <si>
    <t>Nitrogen cycling in a pepperweed invaded pasture</t>
  </si>
  <si>
    <t>Perennial pepperweed (Lepidium latifolium) is a pervasive exotic species that has spread throughout the western United States, invading natural and agricultural systems. The objective of this study was to determine if pepperweed impacts gross N cycling rates in an irrigated pasture. I used 15N pool dilution and tracer techniques to measure rates of gross N mineralization, gross nitrification, dissimilatory nitrate (NO3-) reduction to ammonium (NH4+) (DNRA), and N2O fluxes. I sampled from replicate plots (n = 6 per cover type) dominated by pepperweed versus dominated by an invasive annual grass (Hordenum murinem) with no pepperweed present. Because pepperweed has extensive root systems, I measured gross N cycling rates at three depths (0-20, 20-40, 40-60 cm) to determine pepperweed effects through the soil profile. Soil NH4+ and NO3- concentrations, and gravimetric soil moisture content were also measured at each soil depth. I found that plant cover type affected N cycling differently depending on soil depth, with pepperweed invaded soils exhibiting higher gross mineralization rates (81.5 ± 15.3 μg N g-1 d-1) and NH4+ concentrations (27.3 ± 4.4 μg N g-1) than grass dominated soils (30.1 ± 4.3 μg N g-1 d-1 and 8.4 ± 4.3 μg N g-1 respectively) in surface soil. DNRA, N2O fluxes, and NO3- concentrations were not significantly different between both cover types but were generally highest at the surface depth. These results suggest pepperweed stimulates gross N mineralization to increase soil NH4+ concentrations for plant uptake without influencing other N cycling processes and pools.</t>
  </si>
  <si>
    <t>Nutrient cycling, Lepidium latifolium, 15N pool dilution, Bay Delta, plant invasion</t>
  </si>
  <si>
    <t>PortierE_2011-page1.pdf</t>
  </si>
  <si>
    <t>Johnny L. Sanvichith</t>
  </si>
  <si>
    <t>Do Gardens Make You Green?: Home Gardens, Identity, and Pro-Environmental Behavior Among Southeast Asian American UC Berkeley Students</t>
  </si>
  <si>
    <t>Pro-environmental behavior comprises actions that are intended to be beneficial to or relatively unharmed to the environment, and may be influenced by intersecting forms of ethnic identity and environmental identity. Ethnic identity is one's perceived connection to a particular ethnic group(s), and environmental identity is one's perceived connection to the natural world. There is no research on the relationship between these forms of identity. To examine this relationship I surveyed second-generation Southeast Asian American UC Berkeley students, eliciting information about their experiences with home gardens, their connection to ethnic identity and their environmental identity. The study objectives considered: 1) the overlap between environmental and ethnic identity, 2) the relationship between environmental identity, ethnic identity and pro-environmental behavior, and 3) home gardening influences on identity and pro-environmental behavior. I found statistically significant correlations between environmental identity and pro-environmental behavior, which was expected and supported in other studies. I also found significant correlations between environmental identity and ethnic identity, and increased pro-environmental behavior with home-gardening exposure. Home gardens are able to lay the foundation for an enhanced ethnic connection while providing exposure to green areas and promoting pro-environmental behavior.</t>
  </si>
  <si>
    <t>environmental identity, ethnic identification, pro-environmental behavior, environmental attitudes</t>
  </si>
  <si>
    <t>SanvichithJ_2011-page1.pdf</t>
  </si>
  <si>
    <t>Jennifer J. Shen</t>
  </si>
  <si>
    <t>Comparative Life cycle Assessment of Polylactic acid (PLA) and Polyethylene terephthalate (PET)</t>
  </si>
  <si>
    <t>Most municipal solid wastes and compostable plastics are disposed of in an anaerobic system in landfills, where compostable materials do not decompose. This high volume of municipal waste produced from cradle-to-grave processes can partially change into cradle-to-cradle processes through compositing. The objective of this research project is to determine the difference in environmental impacts of PET and PLA plastics by performing simple life cycle assessments for plastics and categorizing industry representatives’ opinions on the differences between PET and PLA plastics. The life cycle assessment (LCA) shows that PLA is considered a greener alternative to PET because its supply chain requires less transportation and thus contributes less CO2 to the atmosphere. However, results from interviews suggest a disconnection among the various actors along the supply chain with implications for PLA as an environmentally viable alternative to PET. PLA producer and retailers favor PLA use because it is profitable and emits less CO2. Transfer stations and composter do not accept PLA in their waste streams because they consider PLA as contaminants to the recycling and composting market. The LCA shows that PLA is a sustainable alternative to PET when PLA is fully diverted from landfills. However interviews support that PLA is not fully diverted and most of the material ends up in landfills instead of compost facilities as originally assumed.</t>
  </si>
  <si>
    <t>composting, transfer stations, life cycle assessment, bioplastics, carbon emissions</t>
  </si>
  <si>
    <t>ShenJ_2011-page1.pdf</t>
  </si>
  <si>
    <t>Lev Stefanovich</t>
  </si>
  <si>
    <t>Effects of floral resource quality on Bombus vosnesenskii foraging behavior</t>
  </si>
  <si>
    <t>Pollination is an important ecosystem service. Bumblebees are among the most effective native crop pollinators. This study examined the floral resource use of the native California bumblebee (Bombus vosnesenskii). I conducted bee, pollen, and nectar collections from May 15 - July 15, 2009 at 40 sites in northern California. To determine what resources the flowers produced, I analyzed pollen and nectar from the species found at each site. To determine bee visitation, I caught 25 bees at each site by netting and recorded the time and number of people netting. I identified pollen from 26 different plant species in the corbiculae of bees caught in the field. I did not find sufficient evidence to confirm my hypothesis that bumblebees would be most attracted to native flowers and flowers that produce high quality nectar and abundant pollen. There was no significant difference in visitation between semi-natural and managed sites. Overall, B. vosnesenskii were found to be suitable pollinators of crops on organic farms because they visit managed landscapes and will collect pollen from non-native plants.</t>
  </si>
  <si>
    <t>pollination, agriculture, bumblebees, native species, ecosystem services</t>
  </si>
  <si>
    <t>StefanovichL_2011-page1.pdf</t>
  </si>
  <si>
    <t>Nagi Suzuki</t>
  </si>
  <si>
    <t>Arsenic in Aquifers: Bicarbonate Ions and the Adsorption of Inorganic Arsenic by Iron Oxide Minerals</t>
  </si>
  <si>
    <t>Aquifer Storage and Recovery (ASR) has been implemented in many regions of the world to supplement groundwater storage for withdrawal in times of need. However, high levels of dissolved arsenic (As) detected at some ASR locations have stalled its implementation. Mechanics of As release and persistence are not well understood. It has been hypothesized that bicarbonate ions introduced into ASR wells via recharge water inhibited iron oxide minerals present in aquifers to act as As adsorbents; however, knowledge about the effects of bicarbonate is limited and needs to be investigated systematically. My study aimed to characterize As adsorption by iron oxide minerals in the presence of bicarbonate and determine whether bicarbonate affects As adsorption by iron oxide minerals. Kinetic studies and batch experiments were conducted on As(III) and As(V) (4µM), bicarbonate (atmospheric-5mM) and iron oxide coated sands (1-10g/L). Results from kinetic studies indicate that As(III) and As(V) adsorption equilibrate in 24 hours and follow a 2nd-order rate law in the difference of [As]t=t and [As]eq. Furthermore, bicarbonate lowered the adsorption of As(V) on iron oxide mineral but had no effect on As(III) in batch studies. This was demonstrated by higher adsorption maximum values for As(V) in comparison to As(III) at all bicarbonate levels and decreasing affinity parameters with increasing bicarbonate concentrations for As(V) compared to unaffected affinity parameters for As(III). Overall, this study illustrates that bicarbonate is most likely one of several factors in lowering As adsorption on iron oxide minerals in aquifers.</t>
  </si>
  <si>
    <t>aquifer storage and recovery, kinetics, batch experiments, isotherms, rate orders</t>
  </si>
  <si>
    <t>SuzukiN_2011-page1.pdf</t>
  </si>
  <si>
    <t>Daphne J. Szutu</t>
  </si>
  <si>
    <t>Effect of seasonal wind-driven upwelling on phytoplankton biomass in Central San Francisco Bay, 1990-2010</t>
  </si>
  <si>
    <t>Changing ocean conditions will impact the intensity and strength of upwelling and ultimately affect variability in phytoplankton biomass, but because estuaries are a relatively unstudied habitat, it is uncertain how coastal upwelling affects estuarine phytoplankton biomass. I examined the connection between coastal seasonal upwelling and phytoplankton biomass in San Francisco Bay using water quality data collected monthly from the Central Bay by the United States Geological Survey (1990 to 2010). I examined water temperature, salinity, the concentration of dissolved oxygen, and chlorophyll a (chl a, a proxy for phytoplankton biomass). I separated the data into upwelling on season (May through August) and upwelling off season (November through February) to explore the seasonality of upwelling and the subsequent movement of upwelled water into the Bay. Temperature, dissolved oxygen, and chl a were significantly different (p&lt;0.05) between the on season and off season. Of three regression models (univariate, multiple, and principle components), multiple regression was the best model for both the on season (R² = 30.2%) and off season (R² = 34.8%) in explaining the variation in surface chl a based on the physical indicators. Longitudinally, the dataset was characterized by non-constant variance and weak correlations for all variables, suggesting naturally very variable data and the presence of other factors beyond imported upwelling-induced chl a that may have impacted the measured chl a in the Central Bay. A baseline understanding of how upwelling affects estuarine phytoplankton variability will provide a basis against which to evaluate the impacts of future climate change.</t>
  </si>
  <si>
    <t>chlorophyll a, ocean-estuary coupling, Pacific Decadal Oscillation (PDO), gravitational circulation, longitudinal study</t>
  </si>
  <si>
    <t>SzutuD_2011-page1.pdf</t>
  </si>
  <si>
    <t>Emma Tome</t>
  </si>
  <si>
    <t>Managing Maps, Making Territory: Geographic Information Systems and Karuk Eco-Cultural Resource Sovereignty</t>
  </si>
  <si>
    <t>The Karuk Department of Natural Resources (DNR) is the primary administrative body for natural resource management on the Karuk Tribe’s scattered allotment, trust, and fee simple properties, centered in the valley between present-day Orleans and Happy Camp, California. These properties are not contiguous enough to be managed as a whole and in keeping with their ecological and cultural traditions. Some argue that Geographic Information Systems (GIS) mapping provides a way for indigenous peoples to communicate their management goals to the federal agencies who manage their ancestral lands, while others contend that the embodied and holistic ’indigenous’ relationship with the land is incommensurable with the ’Western,’ reductive and positivist approach of GIS. I challenge this theoretical dichotomy through an exploration of the historical context of American Indian territorial sovereignty; as well the practical ways tribes in the Klamath region choose to use GIS today. While the Karuk Tribe does not have a GIS program, the Hoopa and Yurok Tribes use GIS to manage their reservation lands, and to collaborate with Federal agencies. I explain issues of GIS access and applications for three tribes in the Mid-Klamath Basin. I explore how maps are tools for ’producing territory’, but also argue that territory, or sovereign claim to land, produces the capacity to map. This interplay is relevant to questions about knowledge production through GIS, for it acknowledges the political and social worlds at work in Geographic Information Systems. Tribes employ a variety of strategies within natural resources management and within GIS, so one must acknowledge a flexible interplay between these knowledge systems and the tools used to articulate them.</t>
  </si>
  <si>
    <t>Geographic Information Systems, territory, Karuk Tribe, Hoopa Tribe, Yurok Tribe, resource management</t>
  </si>
  <si>
    <t>TomeE_2011-page1.pdf</t>
  </si>
  <si>
    <t>Tanya L. Wenzel</t>
  </si>
  <si>
    <t>Western and Traditional Medicine Use Practices in Shirati, Tanzania</t>
  </si>
  <si>
    <t>Tanzania is a developing nation with a high burden of disease and two main types of health care: traditional medicine and western medicine. Patients in Tanzania often utilize both traditional and western medicine when attempting to cure a single ailment, however little is known about their health care seeking process. The objective of this study is to investigate the use and practices of traditional and western medicine in Shirati, Tanzania. Shirati is located within the Tarime District, situated in the north of the Mara Region of Tanzania in the northwestern portion of the country. To understand traditional medicine and how and why patients use it, I conducted interviews with traditional healers and patients of traditional healers. To collect additional information about the utilization patterns of traditional medicine, I conducted surveys of patients of traditional healers using similar questions to those included in the interviews. I found that patients suffered from a variety of ailments and often sought out both traditional and western medicine to cure a single ailment, with a majority using western medicine first. The most commonly listed reason for going to a traditional healer was because treatment at the hospital did not heal them. However, a large majority of the patients surveyed indicated that they believed both traditional and western medicine were important in the community. Although traditional medicine is often not the first choice of patients, they still value the role that it plays in the health care system.</t>
  </si>
  <si>
    <t>traditional medicine, western medicine, health care, utilization, Tanzania</t>
  </si>
  <si>
    <t>WenzelT_2011-page1.pdf</t>
  </si>
  <si>
    <t>Rose L. Whitson</t>
  </si>
  <si>
    <t>The Importance of Being Gravelly: Lagunitas Creek Streambed Sediment in 1988 and 2011</t>
  </si>
  <si>
    <t>patches, gravel, salmon, shield stress, dam</t>
  </si>
  <si>
    <t>WhitsonR_2011-page1.pdf</t>
  </si>
  <si>
    <t>Hayden Wong</t>
  </si>
  <si>
    <t>Comparative Spatial Analysis of Feeder Bus Networks in the San Francisco Bay Area and Hong Kong Metropolitan Areas</t>
  </si>
  <si>
    <t>Since the realization among Bay Area transportation policymakers that private automobiles cannot solve our transportation problems, there has been multiple attempts to duplicate the success of Hong Kong’s public transportation system, the world’s most renowned system for level of ridership. Previous studies suggest that travel time, number of transfers, and governmental influences are some of the major factors that determine the success of a public transportation system. The specific factor I proposed to compare between the San Francisco Bay Area and Hong Kong metropolitan areas is the linkage of a mass-transit railway system with its respective feeder bus network. I collected data from end-of-line stations and compared, through ArcGIS spatial analysis, the coverage of the service provided by the feeder bus networks. Based on percent map coverage, I found that the feeder bus network in Hong Kong provides services to a greater proportion of local residents than the networks in the San Francisco Bay Area do. These results support my hypothesis that a railway system as successful as Hong Kong’s Mass Transit Railway (MTR) must be supported by a feeder bus network that provides better service coverage than another one otherwise would. Privatized ownership of transportation services and decentralization of bus services in Hong Kong are the two major differences that influence their transportation system. In addition, the difference in level of access between high-income and low-income districts exists to a lesser extent in Hong Kong. The results of this and previous studies should encourage city and regional planners of the SF Bay Area to implement transportation policy changes to expand feeder bus networks, especially in light of elevated gas prices and two California energy policies - Sustainable Communities and Climate Protection Act of 2008 (SB 375) and Global Warming Solutions Act of 2006 (AB 32).</t>
  </si>
  <si>
    <t>public transportation, BART, MTR, high &amp; low-income, feeder bus access</t>
  </si>
  <si>
    <t>WongH_2011-page1.pdf</t>
  </si>
  <si>
    <t>Yolanda Wright</t>
  </si>
  <si>
    <t>Relating Recycling: Demographics, Attitudes, Knowledge and Recycling Behavior among UC Berkeley Students</t>
  </si>
  <si>
    <t>Using a standardized questionnaire, I surveyed 200 students from the University of California, Berkeley to determine the relationship between demographics, attitudes, and knowledge and recycling behavior among undergraduates. In the questionnaire, participants were asked to provide demographic information, their attitudes about the environment and recycling, knowledge of proper recycling techniques and their recycling practices. Significant associations were found between recycling behavior and the demographic variables of year, race and major. Significant correlations were found between attitudes and recycling behavior, as well as a slightly higher correlation found between knowledge and recycling behavior. The correlation evidence suggests that knowledge on how to properly recycle is the most effective of the examined factors as an indicator of an individual’s likelihood of recycling. The implications of study results on recycling behavior theory and recycling policy are explored, including addressing the benefit of information on factors affecting recycling behavior when developing recycling campaigns for a given population.</t>
  </si>
  <si>
    <t>recycling indicators, correlations, associations, policy intervention, survey</t>
  </si>
  <si>
    <t>WrightY_2011-page1.pdf</t>
  </si>
  <si>
    <t>Xi Yang</t>
  </si>
  <si>
    <t>Effectiveness of an Asthma Summer Camp in Educating Children on How to Prevent and Control Asthma Symptoms</t>
  </si>
  <si>
    <t>Pediatric asthma continues to be a difficult burden for 10% of American children and their parents and interferes with lifestyles and economic impacts on the household, state, and national levels. This study aims to evaluate a pediatric asthma summer camp, Camp Superstuff, in its ability to educate children about asthma knowledge and asthma control. I collected pre- and post-educational test scores from 2008 and 2010, as well as the 2010 campers’ asthma medical history, and camp evaluations from Breathe California of the Bay Area in order to measure the effectiveness of the camp in the dissemination of knowledge about asthma. My results indicated that there was a significant difference between pre- and post-test scores suggesting that campers accumulated knowledge through their participation in the camp. However, the correlation test between numbers of medical appointments and pre-test scores revealed that campers who got higher scores on the pre-test did not necessarily know more about asthma, showing that the campers only learned little asthma information during each physician visit. The camp evaluation demonstrated that campers and staff are generally satisfied with the camp environment and asthma information provided. Thus, Camper Superstuff seems to be an effective pediatric asthma-teaching program.</t>
  </si>
  <si>
    <t>pediatric asthma, asthma interventions, asthma control and prevention, education programs, camp evaluation</t>
  </si>
  <si>
    <t>YangX_2011-page1.pdf</t>
  </si>
  <si>
    <t>Michael Young</t>
  </si>
  <si>
    <t>Birth Weight in Relation to Monitored Gaseous and Particulate Air Pollutants Assessed at the Neighborhood Level: Results from Five U.S. States</t>
  </si>
  <si>
    <t>Exposures to environmental hazards are thought to interact with stress to produce higher than expected disease rates in disadvantaged communities. In this study, I evaluated the relationship between preterm air pollutant exposure and birth weight and I investigated whether neighborhood-level poverty, representing a psychosocial stress indicator, modifies the effects of air pollution on birth weight. The following pollutants were analyzed in our study: SO2, NO2, CO, O3, PM2.5, PM10, and PMcoarse. Data comes from California, Colorado, Georgia, Texas, and New Jersey. Air pollution data was joined to the birth certificate data by identifying the nearest operational air monitoring station to the centroid of a mother’s census tract of residence. Small but significant negative effects of air pollutants on birthweight were found for all pollutants except for SO2. Gaseous pollutants are reported in pphm, with the exception of CO which is presented in ppm. Particulate matter pollutants are in 10 g/m³. Effect sizes, reported as point estimates and 95% confidence intervals were as follows: CO, - 2.88 (-4.19, -1.56); NO2, -4.58 (-5.2, -3.96); O3, -5.85 (-6.65, -5.04); SO2 -1.01 (-3.81,1.79); PM10 -2.72 (-3.35, -2.09), PM25 -4.49 (-5.83, -3.14), PMcoarse-4.49 (-5.82,-3.16). The results indicate that air pollution may be just one of many factors that determine birth weight and that it often could be overshadowed by more important socioeconomic determinants. While the decreases in birth weights associated with expected exposure levels in the United States is unlikely to have clinical significance for a single child, there may be larger societal health or economic effects.</t>
  </si>
  <si>
    <t>birth outcome, air pollution, poverty, ethnicity, socioeconomic status</t>
  </si>
  <si>
    <t>YoungM_2011-page1.pdf</t>
  </si>
  <si>
    <t>Sophie You</t>
  </si>
  <si>
    <t>Assessing sampling plot shape and size on measures of tropical forest diversity: A simulation study</t>
  </si>
  <si>
    <t>sampling design, alpha diversity, estimation, forest inventory</t>
  </si>
  <si>
    <t>YouS_2011-page1.pdf</t>
  </si>
  <si>
    <t>Priscilla Yung</t>
  </si>
  <si>
    <t>Expanding the Realm of Food Security: Electronic Benefit Transfer Use in Farmers' Markets in East Bay, California</t>
  </si>
  <si>
    <t>Government assistance program accessed through electronic benefit transfer (EBT) assists low-income families in gaining access to nutritious produce and address chronic health issues in urban neighborhoods. Yet, few studies have considered the difficulties in using EBT in urban farmers’ markets, impacting the efficiency and awareness of EBT acceptance. I conducted surveys and interviews to document EBT use practices in Hayward, Downtown Oakland, Oakland Grand Lake, and Berkeley farmers’ markets, in Alameda County, California. I classified 406 respondents as EBT users, potential EBT users, and non-EBT users, focusing on demographic and behavioral characteristics, consumer knowledge and barriers to using EBT. I found that an average of 25% (±20% SD) of respondents used EBT at the four farmers’ markets and 25% (±8% SD) of respondents qualified, but did not use EBT. Respondents cited the availability of fresh produce and nutritional/health values as their primary reasons for shopping at farmers’ markets. Barriers to EBT use at farmers’ markets included a lack of EBT tokens and deficiency in EBT use awareness in farmers’ markets. My findings suggest that increasing EBT use at farmers’ markets is possible, and that it may serve public needs in maximizing the provision of food subsidies to low-income families. However, to achieve this goal, barriers to use by EBT users and potential users must be addressed.</t>
  </si>
  <si>
    <t>Fresh produce, food subsidies, nutrition, consumer behavior, farmers' market</t>
  </si>
  <si>
    <t>YungP_2011-page1.pdf</t>
  </si>
  <si>
    <t>In Alameda Creek, in northern California, some sections dry while others remain wet
throughout each summer. To understand the causes of drying patterns, my study analyzed the
correlation between vegetation (percent cover and sycamore presence) and drying rates in
specific points throughout the creek. Other environmental variables, including elevation, range of
temperatures, and average temperature, were also correlated with drying rates to account for
groundwater flow paths. The relationship between Platanus racemosa (Western sycamore) and
drying rates was of specific interest because P. racemosa is one of the largest in-channel trees in
the system. Being a large tree, it may be capable of hydraulic lift, in which it redistributes water
from deep soils into the surface layers. Results showed elevations and average temperatures to
have significant correlations to drying rate, and in-channel sycamore trees have a significantly
greater effect on drying rates than trees on the bank or more than 30 m away. Future research
may analyze how P. racemosa biologically absorbs and releases water, and the groundwater flow
paths that may be directing hydraulically-lifted water from distal trees.</t>
  </si>
  <si>
    <t>Amphibian populations worldwide are declining, and habitat loss is a major factor. Although
research has focused on monitoring and preserving Ambystoma californiense populations, no
quantitative studies have been conducted to determine whether macroinvertebrate composition
affects presence of A. californiense within vernal pools. Therefore, I examined macroinvertebrate
community structure and relevant abiotic factors A. californiense require in 22 vernal pools
within the San Joaquin Valley, California. Macroinverterbates were sampled using standardized
net sweeps (6 m2 area), subampled to 500 individuals, with organisms identified to order and
family. I used t-tests, and nonmetic multidemsional scaling (NMS) ordination to determine
whether macroinvertebrate communities and abiotic factors predict the presence or absence of A.
californiense. Neither pH, dissolved oxygen, turbidity, nor conductivity differed significantly
between A. californiense present and absent pools (p &gt; 0.05). NMS analysis indicated that
conductivity, pH, and emergent vegetation were the three abiotic factors most associated with
changes in the macroinvertebrate community. I observed no significant correlation between
macroinvertebate community structure and salamander presence (A = 0.0003, p = 0.41). If
evidence continues to suggest that benthic macroinvertebrate communities are not predicting of
A. californiense pond use, then research resources should be allocated to investigating abiotic
factors.</t>
  </si>
  <si>
    <t>Streambed sediment quality is important for Coho salmon (Oncorhyncus kisutch).
Lagunitas Creek, in Marin County, northern California, has experienced habitat degradation and
declines in salmon populations that may be related to altered sediment regimes. I explored bed
sediment composition of a 500 m reach in Lagunitas Creek that is below Peters Dam. It straddles
Shafter Bridge, and includes the junction with San Geronimo Creek. To compare my results to
those in a study done roughly 20 years ago, I conducted facies mapping, pebble counts,
subsurface sampling, and longitudinal and cross-sectional surveys. I calculated percent coverage
of various patch types, stresses experienced by the bed, and stresses needed to mobilize the
subsurface and the surface layers of the streambed. The upstream sediment patches are more
coarse than the downstream sediment patches. The streambed is also coarser than it was in 1988.
The streambed experienced some localized spatial changes in the subsurface, surface, and bed
shield stresses. Some coarse areas that previously had been composed of cobble or large gravel
expanded in patch size. The pools and some runs had large amounts of fine sediment and sand on
top of coarsened areas. The variability in spatial distribution, but not in diversity of patches,
suggests that this section of Lagunitas Creek remained relatively stable over the past 20 years.</t>
  </si>
  <si>
    <t>Forest sampling is a crucial step in studies of species richness and diversity. Tropical forests
require specialized sampling techniques because they have a greater numbers and density of
species compared to deciduous forests. The inventory of stems from the 50 ha Barro Colorado
Island plot in Panama provides a unique opportunity to learn about alpha diversity sampling in
tropical forests and to compare different sampling approaches. The objectives of this study were
to (i) determine the sampling scheme (size, shape, and number of plots) that best estimates the
alpha diversity of the plot and (ii) minimize sampling effort required by finding a smaller
sampling area that still estimates alpha diversity precisely. In order to create combinations of
different sampling schemes, I varied the subplot shape, size and number of subplots. By running
simulations of each combination of the sampling scheme characteristics, I calculated the
estimated alpha diversity of the plot using the trees obtained under each of the schemes. The true
values for Shannon-Weiner and Simpson indices, calculated using the entire dataset, were 3.6849
and 0.9999, respectively. By comparing estimated values to these true values, I found that the
optimal individual sampling subplot characteristics were twenty rectangular subplots of 50 m2
.
However, the optimal sampling scheme is ten rectangular subplots of 50 m2, which reduced
sampling area by half and increased the sampling efficiency while maintaining sufficient
accuracy.</t>
  </si>
  <si>
    <t>Jeannette Aames</t>
  </si>
  <si>
    <t>Tree Stewardship Education and Urban Forest Management in Sacramento County, California</t>
  </si>
  <si>
    <t>Urban forestry is the promotion of trees in the urban setting for the social, economic, and environmental benefits they impart. The Sacramento Tree Foundation (STF) provides free shade trees to residents of Sacramento County, California in an energy-saving program funded by the local utility district. The general procedure is as follows: residents schedule a site visit for a community forester to visit their property, which is when they select a tree species and planting location, sign a Tree Care Agreement (TCA), receive an educational folder, and about ten days later receive their tree(s). From that point forward, the planting, maintenance and survival of the tree, and any future communication with the program is the responsibility of the resident. Recent studies have found a mortality rate of over fifty percent for shade trees between 1991 and 2001. This raises concerns about resident tree stewardship education and the implementation of tree care practices. Through a questionnaire administered to 500 customers, this study examines the STF Shade Tree program’s education and outreach techniques. It found that most of the site visits were short, the topics covered were not extensive, the educational material was helpful but not fully taken advantage of, demographics mainly suggest a middle class background, and residents were generally not seeking further contact and engagement with the program even though they were relatively poorly educated on tree stewardship. Furthermore, residents with longer site visits were more likely to have remembered discussing a greater proportion of tree care topics, χ2(1,N=156)=7.5,p=.006. Customers also expressed concerns about maintenance, seasonal changes, and tree aesthetics. To improve the program’s management regime, this study suggests a longer site visit, an improved folder organization reflecting the most important practices, program-initiated follow-up communication, and a support system containing imagery and stressing rewards to better educate residents and motivate them to be better tree stewards.</t>
  </si>
  <si>
    <t>outreach, communication, engagement, tree care, implementation, contact, maintenance, community</t>
  </si>
  <si>
    <t>AamesJ_2010-page1.pdf</t>
  </si>
  <si>
    <t>https://www.ocf.berkeley.edu/~pkmendez/envsci/projects/2010final/</t>
  </si>
  <si>
    <t>Mohammad-Amir Aghaee</t>
  </si>
  <si>
    <t>Effects of Mediterranean dry year conditions on the survival of trematode-infected snails</t>
  </si>
  <si>
    <t>Worldwide populations of amphibians are declining. Some North American amphibian populations are under increased threat from limb malformations induced by the trematode Ribeiroia ondatrae, which maybe exacerbated by climate change. I studied the effects of age, and infection with Ribeiroia on the survivorship of the aquatic snail Planorbella tenuis in drought and normal moisture conditions consistent with seasonal pond in a Mediterranean climate. Moisture treatments had very little influence on survival (p=0.2). Age (p=0.8) did not affect survivorship. Infection had the greatest impact on a snail's ability to survive desiccation (p&lt;0.001). The added of effects of Ribeiroia infection and moisture level were non significant in influencing survivorship (p=0.4). Age and moisture level were also non-significant factors (df= 1 p = 0.6) in determining survivorship. These results suggest that pond desiccation is ineffective in reducing snail populations. Infection by an undesired ectoparasite Chaetogaster sp. may have altered results in this study by lowering survivorship of snails. Based on observations of the ectoparasite, I recommend exploration of this ectoparasite for controlling the snail population of Ribeiroia infected ponds.</t>
  </si>
  <si>
    <t>Planorbella, desiccation, Ribeiroia, climate, Chaetogaster</t>
  </si>
  <si>
    <t>AghaeeM_2010-page1.pdf</t>
  </si>
  <si>
    <t>Nick Bojda</t>
  </si>
  <si>
    <t>The Potential of Conservation Behavior: Modeling CO2 Emissions Reduction for California</t>
  </si>
  <si>
    <t>Human activities have driven climate change by increasing greenhouse gases in the Earth’s atmosphere, potentially risking social and economic stability throughout the globe. In order to understand the possibilities for abating continued climate change, models have been developed to demonstrate the efficacy of different emissions reduction methods. Increased adoption of long-term energy-conserving behaviors offer the ability to address the primary driver of increased emissions, which is demand. Studies involving behavior have avoided or minimized attention to conservation and lifestyle, instead focusing on the short-term and on efficiency. This study models California household emissions from the current decade to 2050, seeking the largest emissions reductions from lifestyle shifts such as dietary and transportation changes. It adapts a carbon footprint calculator to a hypothetical behavior adoption rate, determining the long-term scenario with existing examples of reduced consumption. Results indicate that even slowly modified consumption behavior in the California household can help ensure the success of AB32 and the 2050 goals of California, as well as ensuring demand is addressed and becomes a less forceful driver of environmental damages.</t>
  </si>
  <si>
    <t>Lifestyle; Climate Change; Carbon; GHG; Energy</t>
  </si>
  <si>
    <t>BojdaN_2010-page1.pdf</t>
  </si>
  <si>
    <t>Paul Borokhov</t>
  </si>
  <si>
    <t>DriveTracker: a novel traffic surveillance tool: description and comparison against current methodologies</t>
  </si>
  <si>
    <t>The world's growing population and increasing cars on the road require traffic surveillance and monitoring solutions which are cheap, scalable, accurate, and precise. Current solutions carry a high capital and maintenance cost and can be susceptible to failure due to numerous environmental factors. This paper describes the development of a novel smartphone application for use as a data collection tool and then compares it to existing data gathering methodologies. While further research is needed, this method holds significant promise, especially in international expansion and low-cost scalability.</t>
  </si>
  <si>
    <t>ITS, speed, GPS, mobile sensing, scalable solutions</t>
  </si>
  <si>
    <t>BorokhovP_2010_abstract-page1.pdf</t>
  </si>
  <si>
    <t>Elaine Y. Chang</t>
  </si>
  <si>
    <t>Social Workers and the Bracero Program: Working Within Migration Discourse and Conflicting Policy</t>
  </si>
  <si>
    <t>Prior to the formal end of the Bracero Program in 1964, different factions sought to influence federal legislation according to their own interests. While many American newspapers represented the Program’s closure as a peaceful shift from hiring Mexican to domestic workers, the dialogue between growers, workers, social advocates, and others reflected dissonance. Although growers could no longer contract braceros, they continued to hire many Mexican workers illegally, a continuation of employment patterns during the Program. I investigate the social healthcare and education programs promoted by social workers as they introduced reform to Mexican laborers through grassroots movements, especially as migrant labor conditions deteriorated in the 1950s and 1960s when Mexico’s ability to protect its citizens declined. I reviewed newspapers, policy papers, Congressional debates, legislation, and the documents that social workers retained. The paper binds the discourses of social workers with the legislation that often ignored their interests. Despite their ineffectiveness in shaping policy, social workers interpreted legislation in ways designed to protect all workers, regardless of their legal status. This paper argues that social workers played on sympathies that the American public held for domestic workers and children to shape immigration and farm labor legislation in a way that would improve the workspace of all farm workers. By circumventing more controversial topics and focusing on the distresses of domestic migrant workers and youths without education and healthcare, social workers implemented public services attended by all agricultural workers, regardless of domestic or immigrant status. Their efforts helped lay the groundwork for community networks.</t>
  </si>
  <si>
    <t>Social workers, healthcare, education, youth, Wyckoff collection</t>
  </si>
  <si>
    <t>ChangE_2010-page1.pdf</t>
  </si>
  <si>
    <t>Jimmy Chang</t>
  </si>
  <si>
    <t>How U.S. Newspapers Frame the 2009 H1N1 Vaccine</t>
  </si>
  <si>
    <t>Past examples of inoculation campaigns have demonstrated that media reporting has strong implications on public reception of vaccines. In this study, I used the sociological concept of framing to analyze media content about the 2009 H1N1 vaccinations. This study [1] identified what common frames writers employed to portray the 2009 H1N1 vaccines and [2] how vaccine supporters and opponents used frames in USA Today, The New York Times, The Wall Street Journal, Los Angeles Times, and The Washington Post during three time periods: [a] April 1, 2009 to September 30, 2009 (during the anticipation of the vaccine), [b] October 1, 2009 to November 30, 2009 (during a shortage of vaccine), and [c] December 1, 2009 to January 31, 2010 (when the vaccine becomes widely available). I used ATLAS.ti, a qualitative data storage software program to categorize articles into thematic frames and to separate vaccine-supporting and vaccine-opposing frames. Results revealed that pro-vaccine frames highly emphasized the vaccine’s protective factors while anti-vaccine frames highlighted its safety concerns. Vaccine-supporting frames dominated opposing frames by being more prevalent in news articles and remaining more consistent over time. However, vaccine supporters allowed the shortage of vaccine in time period [b] to influence their framing. This did not provide the public with a sustained delivery of consistent messaging necessary for vaccine reception to occur. Ultimately, results of this study lay the groundwork for further research in media and vaccine reception.</t>
  </si>
  <si>
    <t>health communication, vaccine promotion, media studies, journalism, content analysis</t>
  </si>
  <si>
    <t>ChangJ_2010-page1.pdf</t>
  </si>
  <si>
    <t>Celia D. Chao</t>
  </si>
  <si>
    <t>The expression pattern of endo-1,4-β-glucanase in Arabidopsis thaliana</t>
  </si>
  <si>
    <t>Energy security is a problem for the future due to the exhaustion of non-renewable fossil fuels. To find solutions, different types of regionally appropriate renewable energy must be considered. Cellulosic biofuels, a candidate for alternative energy, uses agricultural wastes and other ligneous plants to produce ethanol through the hydrolysis of cellulose from plant cell walls into sugars followed by the fermentations of the sugars into ethanol. The hydrolysis process is currently performed by cellulases from fungi and bacteria. However, plants also produce cellulases, but their function is unknown. The preliminary step to uncovering the role of cellulases in plants is to determine their location (cell type and tissue type). In this experiment, I will use the GUS reporter gene system to tag gene 1 and gene 2 that encode for endo-1,4-β-glucanase, a plant cellulase that cleaves cellulose at the 1,4-β-glucose bond, to determine its pattern of expression in the plant. The findings show the areas of endo-1,4-β-glucanase expression are consistent with the hypothesized regions for gene 2 (hypocotyls, cotyledons, and radicle), but lack of confirmation from multiple trials dismisses any implications of these results.</t>
  </si>
  <si>
    <t>Cellulosic biofuels, cellulose, cellulases, GUS reporter gene system, &amp; gene expression</t>
  </si>
  <si>
    <t>ChaoC_2010_abstract-page1.pdf</t>
  </si>
  <si>
    <t>Angela Cho</t>
  </si>
  <si>
    <t>‘‘Silence of the Bees’’: A Study of Scientific Representation in Media</t>
  </si>
  <si>
    <t>Misrepresentation of scientific knowledge in the media is common across a range of environmental issues and has caused confusion among the public. The representation of Colony Collapse Disorder (CCD) in print media has been changing since it was first reported in 2004. This is a case study on how the discrepancies in representation of CCD between scientists and media affect public’s perception on environmental issues. I read scientific and media articles using Melvyl and LexisNexis, noting the perceived causes and discrepancies. Although the number of scientific articles about CCD was relatively constant over the past three years, the number of media articles about CCD decreased significantly along with the sense of urgency regarding CCD. As time passed, the scientific articles suggested different varieties of perceived causes of CCD, while the media articles narrowed their focus to the three most commonly perceived causes; pesticide, pathogens, and parasites. CCD continues to be regarded as ‘‘uncertain’’ and a ‘‘mystery’’ in science and media articles, indicating that public awareness of honeybee decline is low as a result of both disagreement among scientists and misrepresentation of scientific knowledge in the media.</t>
  </si>
  <si>
    <t>Colony Collapse Disorder, public perception, mass media, discrepancies, uncertainty</t>
  </si>
  <si>
    <t>ChoA_2010-page1.pdf</t>
  </si>
  <si>
    <t>Angela Clapp</t>
  </si>
  <si>
    <t>Assessing the social impacts on urban street trees through the built environment in West Oakland, CA</t>
  </si>
  <si>
    <t>Urban areas involve a complex interplay of social, natural, and physical systems, and finding ways to address and understand the urban street tree dynamics within urban areas is a difficult task for urban foresters. To maximize the benefits of the urban forest, and uncover ways that an urban area's social structure affects the physical and urban environments, new strategies for exploring these systems must be developed and tested. In this study I address social forces on the built environment and explore if similar social preferences affect the survival and dynamics of street trees in West Oakland, CA. Household and block-level analysis made it possible to assess the small-scale heterogeneity of maintenance due to residents' perception of their environment, their lifestyle choices, and their territoriality. After analysis of many factors, I found an unusually low mortality rate, as well as linkages between trees, land use, and front yard green space, and between trash level, property maintenance, and front yard green space. These linkages suggest a connection between resident's level of care on their own land and on their block, part of their lifestyle choice. However, a larger study size and perhaps longer timescale would be needed to link tree mortality to these factors.</t>
  </si>
  <si>
    <t>urban forestry, tree mortality, land use, urban ecology, lifestyle</t>
  </si>
  <si>
    <t>ClappA_2010-page1.pdf</t>
  </si>
  <si>
    <t>Melina Corona</t>
  </si>
  <si>
    <t>Germination Experiment of Lupinus bicolor and Lotus strigosus at Bodega Bay Marine Reserve</t>
  </si>
  <si>
    <t>Mutualisms are reciprocally beneficial relationships between organisms that are common in biological communities. The composition of bacteria within the soil can effect plant performance and that plant performance can change depending on the bacteria and other organisms present in the soil. In this study I considered the symbiotic relationship in of Lotus strigosus and Lupinus bicolor with soil microbes in a field experiment by measuring their germination rates in different areas of the Bodega Marine Reserve and examined how plant germination varied across the three sites. I also considered the average dry shoot weight and average number of nodules from plants in a greenhouse experiment to determine how the growth of the two species varied in different soil types recovered from the reserve. L. strigosus plants at the Mussel Point site than at the other two sites and exhibited higher germination rates in the field and increased nodulation in the greenhouse which may indicate local adaptation. Further research scheduled through the summer may provide quantitative measurements of the effects of rhizobia and nutrient differences on germination across the three sites.</t>
  </si>
  <si>
    <t>Mutualism, symbiosis, rhizobium, plant performance, reciprocal transplant experiment</t>
  </si>
  <si>
    <t>CoronaM_2010_abstract-page1.pdf</t>
  </si>
  <si>
    <t>Nicole M. Crummett</t>
  </si>
  <si>
    <t>The Effectiveness of Multifamily Dwelling Composting Programs in Alameda County</t>
  </si>
  <si>
    <t>Alameda County’s Measure D mandates a 75% landfill diversion by 2010. Compostable waste comprised 34.5% of all waste landfilled from Alameda County during the year 2008. Within the Multifamily Dwelling Waste Stream 46.7% of waste was compostable. Compostable waste can easily be diverted from the landfill and has the potential to aide in Alameda County’s diversion goals. This study investigates which cities, of Alameda, Berkeley, and Fremont, have reduced the amount food and yard waste sent to the landfills from the MFD sector between 1995 and 2008 and the reasons for these trends. I hypothesized that cities offering food scrap inclusion in their compost collection service and those programs that have been operating longest will experience the greatest decreases in food and yard waste sent to landfills. To correlate historical waste stream values with compost collection services I examined Waste Characterization Reports and interviewed persons involved in each jurisdictions’ MFD compost collection programs. All three cities experienced over 50% reduction in yard waste from the MFD sector since 1995. Alameda and Berkeley decreased their landfilled food waste between 2000 and 2008 by over 30%. Fremont sent over 60% more food waste to landfills during this same period. Alameda began collecting food waste mixed in with yard waste from their MFD residents in 2003. Fremont and Berkeley have no universal compost collection service offered to Multifamily Dwellings. All three cities offer compost collection services with food scrap inclusion to Single Family Dwellings while MFD residents remain underserved in Alameda County.</t>
  </si>
  <si>
    <t>Organics Programs, Waste Diversion, Waste Management, Apartment Complexes, Collection Services</t>
  </si>
  <si>
    <t>CrummettN_2010-page1.pdf</t>
  </si>
  <si>
    <t>Elias Elbogen</t>
  </si>
  <si>
    <t>Identification of Burseraceae trees from Peru: a comparison of the nuclear DNA marker ITS and the plastid DNA marker rbcL for DNA barcoding</t>
  </si>
  <si>
    <t>The immense plant diversity that is characteristic of tropical rain forests often makes it difficult for ecological and conservation studies to identify individual plant species and measure biodiversity. DNA barcoding is a species identification technique that utilizes standard, short DNA sequences to distinguish between species when traditional taxonomic identification is not practical. Accurate identification of animals with DNA barcoding has been well established, but a universally accepted DNA barcode for plants still does not exist. The use of nuclear DNA markers and plastid DNA markers from the chloroplast are the two contending approaches to DNA barcoding. This study compares the utility of the nuclear DNA marker ITS and the plastid DNA marker rbcL as DNA barcodes among 35 Burseraceae tree species from the Peruvian Amazon. I found that the proposed DNA barcode rbcL greatly underperformed the nuclear marker ITS as a DNA barcode. While both markers exhibited greater than 90% amplification success ITS demonstrated a mean pairwise percentage sequence divergence of 5.4% while rbcL demonstrated 0.83%. Additionally, at 1% sequence divergence resolution ITS discriminated between 99% of species-pairs while rbcL only discriminated between 26%. The results of my study suggest that ITS should not be completely discounted from the plant DNA barcode debate and rbcL be reevaluated as a proposed universal barcode.</t>
  </si>
  <si>
    <t>plant identification, Protium, phylogeny, Bayesian, sequence divergence</t>
  </si>
  <si>
    <t>ElbogenE_2010-page1.pdf</t>
  </si>
  <si>
    <t>Katherine Faulkner</t>
  </si>
  <si>
    <t>Community Choice Aggregation In California</t>
  </si>
  <si>
    <t>Community Choice Aggregation allows cities and counties, or collections of cities and counties, to combine the electricity demand of customers in their jurisdictions and procure electricity for these customers through their own generation or through the market. Benefits of aggregation include increased local control over electricity rates, possible savings to the customer, and the option to use more renewable energy. In this paper I briefly discuss the history of California’s energy market and the history of Community Choice Aggregation in California. Then I examine Marin County’s and San Joaquin Valley’s efforts to create CCA programs to determine whether or not community choice aggregation can be successful in California. Finally, I compare California’s aggregation programs to Ohio’s aggregation programs. There is currently a proposition to require approval from two-thirds of the voters before creating a community choice aggregation program entitled the “New Two-Thirds Vote Requirement for Local Public Electricity Providers” initiative. I found that community choice aggregation can be successful in California, but that there are many obstacles facing a community attempting to aggregate.</t>
  </si>
  <si>
    <t>Community Choice Aggregation, Marin Energy Authority, Marin Clean Energy renewable energy, electricity</t>
  </si>
  <si>
    <t>FaulknerK_2010-page1.pdf</t>
  </si>
  <si>
    <t>Lisa Fleming</t>
  </si>
  <si>
    <t>Food Insecurity in the Bay Area: An Analysis of Disparities of Food Access</t>
  </si>
  <si>
    <t>Food insecurity is an increasingly pressing problem in the United States. Food security is defined as having “consistent access to enough food for active healthy living”. Those who are food insecure typically lack access to healthy food, especially fresh fruits and vegetables, facing increased risk of certain types of cancer, obesity, and cardiovascular disease. Food insecurity is traditionally attributed to a lack of financial resources. Recently though, studies have looked to the migration of grocery stores out of low-income and urban communities as the cause of possible disparities in physical food access. Therefore I sought to determine if disparities in physical access of fresh produce, as measured in terms of access to quality vendors and walking access/proximity, existed between either urban and suburban or low-income and high-income neighborhoods in the San Francisco Bay Area. I hypothesized suburban and high-income neighborhoods would have greater walking access as well as possess higher quality vendors compared to urban and low-income neighborhoods respectfully. I conducted walking tours of four neighborhoods – classified in terms of median household income and relative population density – to identify all vendors selling fresh fruits and vegetables and assess the quality of these retailers. Finally I compared these neighborhoods based on the quality of available fresh produce vendors and in terms of proportion of households with access to at least one of these vendors. The findings of the study are incongruent with the first half of my hypothesis but support the second half. While high-income and urban neighborhoods possessed the higher quality fresh produce vendors they also possessed inferior walking access, alluding to the complexities of the issue of food insecurity.</t>
  </si>
  <si>
    <t>FlemingL_2010-page1.pdf</t>
  </si>
  <si>
    <t>Charles Gemora</t>
  </si>
  <si>
    <t>Assessing the EPA’s Priorities in Protecting the Human Health of Minority Populations With Regards to Remediating RCRA sites in California according to the GPRA Baseline</t>
  </si>
  <si>
    <t>Exposure to hazardous material from toxic waste sites can affect public health adversely in neighboring residential areas, many of which are communities of color. The potential exposure of these communities to contaminants at hazardous waste sites in California is a major concern. The Environmental Protection Agency (EPA) is required by law to act in ways that are consistent with the principles of environmental justice, ensuring that minorities living near hazardous waste sites are protected, but it is unknown whether these priorities are reflected in the agency’s completed work. In this study, I first considered the relationship between the Resource Conservation and Recovery Act (RCRA) waste sites in California and the racial composition of population within a 1-mile radius, and compared that with the makeup in a 10-mile radius. Comparing the percentage of people of color living within a 1-mile radius of a toxic waste site to those living within 10 miles, I confirmed previous study findings that minorities were disproportionately likely to live nearby to a toxic waste site in California. Next, for the main investigation, I correlated the remediation status of all RCRA sites in California, with the percentage of minorities in populations within 1 mile of these sites. Finally, I assessed how effectively the EPA’s use of the Environmental Justice Smart Enforcement Assessment Tool (EJSEAT), which measures inequality to establish priorities concerning which sites should be remediated first, has served as the basis for completing remediation of sites that require the most attention under the principals of environmental justice. I found that those sites of the greatest concern under EJSEAT guidelines have more human health redemdiation goals still incomplete, reflecting the disproportionately low level of remediation of RCRA hazardous waste sites near communities of color in California.</t>
  </si>
  <si>
    <t>Environmental Justice, Racial Disproportion, Environmental Justice Smart Enforcement Assessment Tool (EJSEAT), Hazardous/Toxic Waste Remediation, Environmental Protection Agency (EPA)</t>
  </si>
  <si>
    <t>GemoraC_2010-page1.pdf</t>
  </si>
  <si>
    <t>Alison Hamaji</t>
  </si>
  <si>
    <t>The framing of wilderness, race, and criminality in the press coverage of illegal marijuana growth on California public lands</t>
  </si>
  <si>
    <t>Linking race to crime is common in the media. The press has consistently connected Mexican and Latino immigrants with the illegal cultivation of cannabis on public lands. I reviewed many newspaper articles to understand these representations, which are framed in terms of historical narratives. The growers of these sites are often dehumanized and criminalized in the articles. This stems from a long history of framing minorities and immigrants as criminals and drug users. The press coverage of illegal marijuana growth on public lands also illustrates the areas around the sites as untouched wilderness. This evokes the American idea and frame of wilderness as a pristine and sacred place. Because the media represents the areas around the grow sites as pristine wilderness and the growers as criminal immigrants, the combination results in the idea that America's protected lands are under attack by people that have been otherized in the media. This creates a sense of emergency and fear in the reader. Evoking the frame of the immigrant as criminal with the destruction of nature could have serious social implications in the future in regards to discrimination against immigrants or immigration policy.</t>
  </si>
  <si>
    <t>media, immigrant, frame, crime, nature</t>
  </si>
  <si>
    <t>HamajiA_2010-page1.pdf</t>
  </si>
  <si>
    <t>Jennifer S. Jehnsen</t>
  </si>
  <si>
    <t>Effects on Artemisia annua Growth with the Addition of Gibberellic Acid, Salicylic Acid, and Methyl Jasmonate in Hydroponic Systems</t>
  </si>
  <si>
    <t>Malaria is a global health issue that will continue to spread with the increase in mosquito populations caused by the rise in global temperatures. The most effective drugs currently available for malaria treatment contain the anti-malarial compound, artemisinin, derived from Artemisia annua. To potentially increase efficiency of artemisinin production in A. annua, I investigated the effects of adding gibberellic acid, salicylic acid, and methyl jasmonate in hydroponics on the growth of intact plants. The goal of the study was to determine the optimal concentrations of each elicitor that maximizes the growth of A. annua, investigate the effects of different combinations of these elicitors on growth, and to determine the optimal exposure period of each elicitor that maximizes growth. I hypothesized that the concentrations of these chemicals that increased growth in previous studies would also yield the best results in hydroponic systems. Also, I hypothesized that the combination of all of these chemicals would yield maximum growth by inducing growth through different pathways. In terms of the optimal exposure periods, I hypothesized that the rate of growth would decrease over time and stabilize at around four weeks. My results show that the treatments containing gibberellic acid demonstrated the highest dry weights, suggesting that gibberellic acid enhances A. annua growth. In addition, the combination treatment with all three elicitors yielded the lowest dry weights. The data shows that the optimal exposure period for all elicitors and combinations was between 8 weeks and higher, except for individual salicylic acid treatments that showed the greatest growth between weeks 4 and 6. Future studies can expand on this study by investigating the relationship between A. annua growth and the addition of gibberellic acid.</t>
  </si>
  <si>
    <t>medicinal plants, chemical elicitors, malaria, artemisinin, plant growth</t>
  </si>
  <si>
    <t>JehnsenJ_2010-page1.pdf</t>
  </si>
  <si>
    <t>Yuriko Kayama</t>
  </si>
  <si>
    <t>Treatments of Severely Boron-Contaminated Soils for Phytorestoration</t>
  </si>
  <si>
    <t>As a result of the boron refining process, the Rio Tinto Borax site in California has experienced boron contamination, leading to desertification and the loss of local vegetation. Increasing industrial demand for the energy reduction ability of boron promotes continued mining. As such, the development of an effective and low-cost method for long-term reclamation is important. To establish this method, I analyzed the effects of amendments on the growth of a boron tolerant plant. I tested the effectiveness of water and organic matter on the growth of weeping alkaligrass (Puccinellia distans) naturalized in the USA in severely boron-contaminated soil at the Rio Tinto Borax site. I conducted a multi-factorial experiment with 4 levels of dilution of contaminated soil with sands, 3 levels of organic matter (OM), and 3 concentrations of polyethylene glycol (PEG) with 3 replicates. This study aimed to determine if: (1) there is a significant difference in plant growth and water content in the soils and plants between the levels of each factor: (2) there are interaction effects between each combination of two factors: and (3) there is an interaction effect for all three factors. Sand and OM significantly affected the plant growth and water content. PEG significantly affected water in the soil, but did not affect the plant growth. The combination of sand and OM significantly affected the plant growth and water content. This study shows the importance of amendments for reclaiming boron-contaminated soils.</t>
  </si>
  <si>
    <t>KayamaY_2010-page1.pdf</t>
  </si>
  <si>
    <t>Bradley D. Kerr</t>
  </si>
  <si>
    <t>The Effect of Fuel Manipulation Treatments on Giant Sequoia Growth Rate in Whitaker Forest</t>
  </si>
  <si>
    <t>Fire exclusion practices have dramatically affected mixed conifer forests in the Eastern Sierra Nevada. The Giant Sequoia, Sequoiadendron giganteum, of Whittaker forest experienced a mean fire return interval of approximately 8 to 12 years, with a fire free interval rarely larger than 15 years. The removal of regular fire events from this fire-adapted ecosystem has changed the stand level structure of these forests. This study examined the growth rate response of S. giganteum to a series of fuel manipulation treatments, comparing the resulting ring widths between the control and fuel manipulation treatments. Two paired-sites were used to account for site variability. Increment tree cores were taken from 70 individual S. giganteum, and then prepared and analyzed using a tree ring table; ring width per annum (mm/year) was used as a proxy for growth rate. Ring width data between 1950 and 2008 was interpreted for all samples, so an understanding of average growth rate before the treatments in 1964 could be determined for all sites. After comparing the mean ring width between treatments at each site per annum, I found that the fuel manipulation treatment resulted in significantly larger ring widths within 4 years after the fire when compared to the control treatment. However, there was a lapse interval of approximately 10 years, after which there was no significant difference in growth between the two treatment groups. There was no significant correlation between the increased growth observed in the fuel manipulation group and nearest distance to water.</t>
  </si>
  <si>
    <t>Fire Surrogate Treatment, Prescribed Fire, Fire Exclusion, Tree Ring, Fire Return Interval</t>
  </si>
  <si>
    <t>KerrB_2010-page1.pdf</t>
  </si>
  <si>
    <t>Yuting Lam</t>
  </si>
  <si>
    <t>Why Do UC Berkeley Students Waste Food at Dining Halls?</t>
  </si>
  <si>
    <t>Food waste creates many social and environmental problems. Minimizing food waste can increase the availability of nutrients to individuals and improve community health and food security. Reducing food waste can promote environmental sustainability through energy and water conservation. Local efforts in minimizing food waste are believed to be more effective than non-specific, large-scale efforts. I studied why UC Berkeley students did not finish their food at the dining halls by surveying 500 UC Berkeley students. I used Microsoft Excel to store and analyze my data. I examined how dining halls’ serving styles, such as buffet or a la carte serving, the use of tray, serving portion and food quality affect students’ food wasting behavior. Results showed that a la carte serving and the use of trays helped generate less food waste. Poor food quality and being served too much at buffet dining halls were top reasons why students wasted food. This study is served as a reference for implementing suitable strategies to reduce students’ food waste.</t>
  </si>
  <si>
    <t>Cafeteria, plate waste, food quality, a la carte, serving portion</t>
  </si>
  <si>
    <t>LamY_2010-page1.pdf</t>
  </si>
  <si>
    <t>Roland Lee</t>
  </si>
  <si>
    <t>Comparison of Changes in Intraocular Pressure and Anterior Chamber Before and After Cataract Surgery</t>
  </si>
  <si>
    <t>Cataract is the leading cause of blindness worldwide. Fortunately, cataract-induced blindness is reversible by cataract surgery. In addition to reclaiming lost vision, cataract surgery lowers intraocular pressure, but the reason for this remains unclear. Understanding the mechanism behind intraocular pressure reduction following cataract surgery has implication for treating glaucoma, which involves lowering intraocular pressure through glaucoma medications or surgeries. Adequate control of intraocular pressure through cataract surgery would render glaucoma treatment nonessential and could become an optimal solution for patients with co-existing cataract and glaucoma. To answer the research question of whether anterior chamber angle alteration induces intraocular pressure reduction, we compared changes in intraocular pressure and anterior angle before and after cataract surgery. Age, ethnicity, and gender are risk factors related to cataract development, but their effects on the degree of changes in intraocular pressure and anterior chamber angle following cataract surgery are unclear. The degree of change in intraocular pressure and anterior chamber angle following cataract surgery is evaluated in terms of these risk factors, to assess whether a relationship exist between them. Statistical analysis revealed a significant decrease in intraocular pressure and an increase in anterior chamber angle opening distance following cataract surgery. However, comparison of the degree of changes in intraocular pressure and angle opening distance in terms of age, ethnicity, and gender revealed insignificant difference within each group. In conclusion, we found that anterior chamber angle extension is a mechanism for intraocular pressure reduction following cataract surgery and this is consistent regardless of age, gender, and ethnicity. Repeated studies with this experimental design at other clinical sites are needed to substantiate the applicability of our findings to the general population.</t>
  </si>
  <si>
    <t>Phacoemulsification, Glaucoma, Visual Acuity, Age, Ethnicity, Gender</t>
  </si>
  <si>
    <t>LeeR_2010-page1.pdf</t>
  </si>
  <si>
    <t>Timothy Lee</t>
  </si>
  <si>
    <t>Characterizing Mid-summer Ichthyoplankton Assemblage in Gulf of Alaska: Analyzing Density and Distribution Gradients across Continental Shelf</t>
  </si>
  <si>
    <t>Ichthyoplankton play critical role in maintaining and characterizing complex marine ecosystems. Gulf of Alaska (GOA) encompasses one of most diverse ichthyoplankton assemblages in northern Pacific. This study assessed mid-summer distribution and density patterns of six species in larval stage across GOA’s continental shelf, and assessed patterns of density gradients with three environmental variables, (temperature, salinity, attenuation). The chosen taxa are Theragra chalcogramma, Hippoglossoides elassodon, Atheresthes stomias, Lepidopsetta bilineata, Bathyagonus alascanus, and Gadus macrocephalus. I hypothesized that densities for all six taxa will be greatest in coastal waters and in parts of shelf with many islands, because these regions have greater proportion of shorelines. The study region was stratified to three shelf regions to compare ichthyoplankton densities between coastal and open waters. It was also stratified to six alongshore regions to compare densities between regions of low and high shoreline proportions. One-way ANOVA and post-hoc pairwise comparisons were used to test density significance across shelf and alongshore strata. Most species exhibited highest densities in costal shelf strata but most did not concentrate heavily in alongshore strata with islands. Linear regression and correlation tests were used to measure responses of densities against attenuation, salinity, and temperature. Two taxa had positive relationship with temperature, four taxa had inverse relationship with salinity, and five taxa had declining densities with increasing attenuation. Further research is needed to determine which environmental factor determines ichthyoplankton assemblage variations in GOA’s continental shelf.</t>
  </si>
  <si>
    <t>Ichthyoplankton, Density, Temperature, Attenuation, Salinity</t>
  </si>
  <si>
    <t>LeeT_2010-page1.pdf</t>
  </si>
  <si>
    <t>Samuel Leiboff</t>
  </si>
  <si>
    <t>Examining the Effects of Varying Nitrogen and Water Availability on the Quality and Structure of Transgenic and Non-Transgenic Sorghum bicolor Grain</t>
  </si>
  <si>
    <t>Sorghum bicolor L. Moench is a globally important cereal grain that has limited nutritional value because of low grain digestibility. Building upon research of the redox protein, thioredoxin in other cereal grains, the Lemaux laboratory in the University of California’s Plant and Microbial Biology Department used transgene-based genetics to create a sorghum line overexpressing a barley thioredoxin gene construct to target the sorghum grain endosperm, improving digestibility. By growing transgenic and non-transgenic sorghum under a combination of nitrogen and drought treatments, this project examined the interaction between growth conditions and an improved digestibility genotype developed with genetic engineering. Both nitrogen availability and drought treatments had significant effects on growth form and reproductive capacity. Growth data suggest that the high-digestibility construct has no observable effect on growth or the plants’ responses to different growing conditions. However, an agriculturally favorable growth interaction between low nitrogen availability and late-stage drought may illustrate a stress-induced ‘stay green’ phenotype from the 296B parental line. Preliminary electron micrographs suggest that adverse water availability during grain fill reduces hard endosperm formation. However, cross-treatment tissue analysis shows the formation of expected endosperm structures regardless of experimental treatment or genetic engineering with the high-digestibility construct.</t>
  </si>
  <si>
    <t>B hordein promoter, Crop science, Genetically modified organism/Genetic engineering, Scanning electron microscopy (SEM), Thioredoxin</t>
  </si>
  <si>
    <t>LeiboffS_2010-page1.pdf</t>
  </si>
  <si>
    <t>Eunice Lim</t>
  </si>
  <si>
    <t>Genetic Variation and Evolution of the Perchlorate Reductase Operon</t>
  </si>
  <si>
    <t>Perchlorate (ClO4-) is a toxic environmental contaminant, commonly found in the United States. Due to its high solubility in water, perchlorate can contaminate streams and agricultural products, which are the main sources of human food consumption. Perchlorate inhibits thyroid hormone synthesis and causes neuropsychological and physical defects; however current filtering systems fail to show promising efficiency. Recently, a microbial metabolic pathway was recognized to reduce perchlorate to benign chloride. The two essential proteins for this metabolism are perchlorate reductase (Pcr) and chlorite dismutase (Cld). Both are induced under anaerobic conditions and share similar conditions to operate, but they have separate regulatory systems for expression. DNA sequence data for Cld, Pcr and the 16S rRNA genes has been collected, to study the evolution and acquisition of the genes, from eleven environmental isolates identified as perchlorate reducers. For PCR amplification, initial primers were designed based on the genomic sequence of Dechloromonas aromatica strain RCB and D. agitata strain CKB, with subsequent refinement as more sequence data was acquired. I constructed phylogenetic trees for each gene to visualize the similarity of the gene sequences between different organisms and their evolutionary relationship compared to the 16S rRNA. Nucleotide sequence data for Pcr did not mirror the evolutionary relationship established by the 16S rRNA and Cld. These results indicate the two genes are acquired occur separately through horizontal transfer events. Future studies may examine protein sequences for functional analysis, and optimal environmental conditions for gene induction. They may help design efficient perchlorate treatment systems.</t>
  </si>
  <si>
    <t>Perchlorate reductase, chlorite dismutase, phylogenetics study, thyroid hormone synthesis, bioremediation</t>
  </si>
  <si>
    <t>LimE_2010_abstract-page1.pdf</t>
  </si>
  <si>
    <t>Kehsun Lin</t>
  </si>
  <si>
    <t>Survey Study on Accessing and Evaluating the public opinion on the usage of UC Berkeley Campus Bus Shuttles</t>
  </si>
  <si>
    <t>Public transportation systems provide many benefits to the general public; however, declining use of urban public transportation in developed countries is a major problem for many transit agencies. Identifying psychological factors associated with customer satisfaction in public transportation systems can inform policies designed to increase ridership. While the UC Berkeley campus bus shuttles are a convenient and free means of travel around campus, many students, staff, and faculty do not use them. To identify the factors behind the willingness to ride Berkeley campus shuttles, I assessed the opinions of frequent and non-frequent student, staff, and faculty riders and non-riders on their use of UC Berkeley campus bus shuttles using surveys. I found that improvement in bus service reliability was the most important factor influencing the willingness to ride for both frequent and non-frequent users. I also found that non-frequent value the off-bus services 17 percent more than the frequent bus users. Moreover, many non-riders do not use the campus bus shuttles because they that it is feel convenient enough to walk or bike to school. I conclude that campus bus shuttles should schedule and publicize bus schedules more effectively, in order to increase bus ridership at UC Berkeley. Livetrack technology and bus traffic priority light can be adopted to improve the overall ridership of campus bus shuttles. This study serves as a starting point for further studies.</t>
  </si>
  <si>
    <t>Public transportation, service quality, bus policies, transit ridership, customer satisfaction.</t>
  </si>
  <si>
    <t>LinK_2010-page1.pdf</t>
  </si>
  <si>
    <t>Steven Ly</t>
  </si>
  <si>
    <t>The Threat of Trematodes to the California Newt (Taricha torosa)</t>
  </si>
  <si>
    <t>In North America, high incidences of malformed amphibians have led to studies into the causes and ecological implications of this phenomenon on already threatened amphibian populations. Current research suggests that the trematode Ribeiroia ondatrae is responsible for inducing malformations in many amphibian hosts. My research investigates whether Ribeiroia induces malformations in the California newt, Taricha torosa, and whether these malformations contribute to newt population declines. This study utilizes field data and preserved biological specimens of California newts collected from 2007 to 2009 at Hog Lake in Hopland, CA. Partitioning of the lake into two sides and experimental elevation of trematode density in one side of the pool allowed for investigation of these hypotheses. Linear regression of the average number of newt malformations to the average parasite load per year yielded an R² of 0.73, supporting a positive correlation between parasite levels and malformation prevalence. Though a significant difference was found in parasite load between the experiment and control sides of the lake (p &lt; 0.0001), a significant difference was not found in malformation proportions (p = 0.4495). The linear regression slope of average newt density over time was higher for the control side (b = -0.01970, ± 0.01497) than the experiment (b = -0.22853, ± 0.05099) indicating that newt mortality was higher in the experiment side. The difference in mortality cannot be attributed to a difference in malformation proportions, but it could be explained by the difference in parasite load, suggesting that the increased mortality could be due to direct exposure to infection. Overall, it is impossible to say with certainty whether or not Ribeiroia trematodes pose a significant threat to Taricha torosa newts.</t>
  </si>
  <si>
    <t>Ribeiroia ondatrae, trematode infection, amphibian malformations, predation, incomplete limb regeneration</t>
  </si>
  <si>
    <t>LyS_2010-page1.pdf</t>
  </si>
  <si>
    <t>Heather McNair</t>
  </si>
  <si>
    <t>Asian Clams Corbicula flumina contribution to algal growth in Lake Tahoe</t>
  </si>
  <si>
    <t>Over the past 80 years Asian Clams, Corbicula flumina, have extended their reach from Asia; spreading first to Oceania then across the Pacific to the Americas then recently to Lake Tahoe. During the summer of 2008 a filamentous algae was observed growing over many of the clam beds in Lake Tahoe. This study seeks to better understand how clam excrement affects the growth of algae; specifically do Asian Clams facilitate algal growth in Lake Tahoe? Three data sets helped explore this question: field chlorophyll, a lab experiment, and theoretical nutrients levels expelled by clams. Continuous chlorophyll measurements taken in the field showed the affect of a storm on the distribution of chlorophyll. To test the affect of clam excrement on algal growth we used three different concentrations, 0%, 2% and 50%, of clam excrement and a control. Carbon and Nitrogen, measures of biomass, were highest in the 50% treatment, lower in the 2% and 0% and at a constant minimum in the control, until the last day of the experiment. Results of the lab experiment were not significant because there were no replicates. Average clam densities and known clam excrement nutrient outputs suggest high theoretical levels of phosphorus and nitrogen in the water in close proximity to clam beds. The results of this study suggest that Asian Clams do facilitate the growth of algae; more growth in the lab with more clam excrement, and high theoretical levels of P and N that could support algal growth.</t>
  </si>
  <si>
    <t>nutrients, oligotrophic, chlorophyll, Redfield ratio, clarity</t>
  </si>
  <si>
    <t>McNairH_2010-page1.pdf</t>
  </si>
  <si>
    <t>Linda Moon</t>
  </si>
  <si>
    <t>UC Berkeley Outdoor Campus Recycling Bins: Can we do Better?</t>
  </si>
  <si>
    <t>Recycling programs at the University of California, Berkeley, have declined in recent years. The university recycles a relatively low amount of waste compared to other colleges in the San Francisco Bay Area. I examined why there is a low recycling rate at UC Berkeley and explored the impact of an alternative recycling bin design on recycling behavior, seeking to determine whether a change in recycling bin design affects student recycling habits. I tested the hypothesis that poor recycling bin design discourages students to recycle, reducing recycling rates at UC Berkeley. The research consists of a student survey and a week long observation of a current outdoor recycling bin on campus. Over one month, 134 Berkeley students completed an online survey that revealed student discontent with UC Berkeley's current public outdoor recycling bins due to bin design and insufficient quantity of outdoor recycling bins. The survey revealed that bin design affects recycling behavior by influencing student decisions to utilize recycling bins. Outdoor bin observations revealed unexpected bottle/can collectors that may be another cause in reducing recycling rates at UC Berkeley. The results supported the hypothesis, but also revealed that poor bin design is not the only factor affecting recycling rates on campus. Bottle and can collectors, insufficiency of recycling bins, and lack of education may be other contributors to low recycling rates at UC Berkeley. Improvements in recycling bin design can lead to increased satisfactory amongst users, thereby resulting in more willingness to recycle and improvement in recycling rates.</t>
  </si>
  <si>
    <t>Doty bin, recycling behavior, student survey, bin observation, bin design</t>
  </si>
  <si>
    <t>MoonL_2010-page1.pdf</t>
  </si>
  <si>
    <t>Christina Oatfield</t>
  </si>
  <si>
    <t>Best Practices for Starting Sustainable Food Cooperatives in University Communities</t>
  </si>
  <si>
    <t>This study makes recommendations for starting new student-run food co-ops (grocery stores, cafes, delis and other eateries), based on the findings of an investigation on seven co-ops in university communities and participant observation in the start-up process of one student food co-op. This included a review of documents (such as policies, financial statements, member handbooks) and interviews with members of the already existing co-ops. The co-ops studied included the Maryland Food Collective, Earthfoods Café at the University of Massachusetts at Amherst, the San Diego Food Co-op (at the University of California), Kresge Natural Foods at the University of California at Santa Cruz, Food for Thought at Portland State University, the Flaming Eggplant at Evergreen State College in Olympia, Washington, Sprouts at the University of British Columbia in Vancouver and the start-up Berkeley Student Food Collective at the University of California. The recently-founded Berkeley Student Food Collective’s experience is a foundation for many of the recommendations, especially regarding the start-up process, as the author is a co-founder of that organization. The recommendations address the following issues: building the sustainable food movement in a community, fundraising, business planning, legal status, decision-making structures, managing an organization without a boss, food purchasing policies, bylaws, membership contracts and other policies, advisory boards, choosing the right storefront, educational and community building programs, working with paid staff and volunteers, handling turnover, and, university relations.</t>
  </si>
  <si>
    <t>student-run, co-op, collective, food purchasing policies, business planning</t>
  </si>
  <si>
    <t>OatfieldC_2010-page1.pdf</t>
  </si>
  <si>
    <t>Kaija Ollikainen</t>
  </si>
  <si>
    <t>Do children’s emotions toward nature change while participating in the Oakland Based Urban Gardens program?</t>
  </si>
  <si>
    <t>Many environmental education programs focus on shifting attitudes toward the environment by increasing knowledge of environmental issues, supposedly leading to pro-environmental behavior. In addition to cognition, affect can play an important role in determining children’s environmental attitudes. School gardening programs that are outdoors and hands-on are one way to integrate cognition and affect in the curriculum to foster a personal connection with the earth and engage a child emotionally in the subject material. I examined the influence of the Oakland Based Urban Gardens (OBUGS) program in Oakland, California on students’ emotions toward nature. I assessed the strengths and weaknesses of the OBUGS approach to environmental education through interviews with OBUGS teachers and observations of third graders participating in the program. I found that students' behaviors in the garden changed positively while participating in the program, but was unable to conclude whether students' emotions toward nature changed. This study serves as an introductory investigation to contribute to the development of more effective environmental education programs that target children’s environmental affect and lead to pro-environmental attitudes and behaviors.</t>
  </si>
  <si>
    <t>cognition, environmental affect, environmental education, experiential education, school garden</t>
  </si>
  <si>
    <t>OllikainenK_2010-page1.pdf</t>
  </si>
  <si>
    <t>Chelsea V. Preble</t>
  </si>
  <si>
    <t>A Comparison of Pollutant Emissions from a Traditional and an Improved Cookstove</t>
  </si>
  <si>
    <t>Traditional cookstoves are typically both fuel-inefficient and polluting. Emissions from such stoves have a profound impact on indoor air quality in homes around the world, causing major health problems. In response to Darfur’s growing social and environmental issues, researchers developed the Berkeley-Darfur Stove (BDS), which is more fuel-efficient than the traditional three-stone fire (TSF). However, the reduced emissions benefit this improved stove could also provide is not yet known. This research, therefore, aimed to characterize the emissions profiles of both stoves, and to determine whether or not the BDS could reduce users’ exposure to carbon monoxide (CO), fine particulate matter (PM2.5), and black carbon (BC). I hypothesized that the greater fuel efficiency of the BDS would reduce the mass of these pollutant emitted compared to cooking with the TSF. Using a testing protocol that simulated local cooking practices, we conducted 10 tests for each stove. Pollutant concentrations were recorded at 1-second intervals (1-Hz), from which instantaneous and average fuel-based emission factors (g-pollutant/kg-wood burned) were calculated for each fire. I found considerable variability in pollutant emissions both within and between test fires for each stove. On average, emission factors were smaller for the BDS than the TSF for CO and PM2.5, but not BC. After taking into account wood consumption, though, I found that the BDS emitted less total mass of all three hazardous pollutants. Thus, the BDS can potentially benefit users in terms of increased fuel efficiency and reduced adverse health effects.</t>
  </si>
  <si>
    <t>Berkeley-Darfur Stove, three-stone fire, wood-burning cookstove, gas-phase pollutants, particulate-phase pollutants</t>
  </si>
  <si>
    <t>PrebleC_2010-page1.pdf</t>
  </si>
  <si>
    <t>Rajmir Rai</t>
  </si>
  <si>
    <t>The Impact of Water Conservation and Climate Change on Urban Water Demand</t>
  </si>
  <si>
    <t>The impacts of climate change on our lifestyle are not completely known. Climate change, population, and water are all important in determining water availability. Many studies have attempted to quantify climate change. Readily available temperature data can simply emulate climate change conditions in a comparison to water demand and serve as a proxy for climate change. In this study I characterize consumer water demand for Oakland, California over the last 35 years and examine its relationship with climate change via temperature. This study analyzes consumer demand based on EBMUD consumption and local temperature data and discovers the strength of trends via statistical analyses. My study questions the impact of temperature on urban water demand under the assumption that temperature is a valid indicator of climate and provides insight on how water demand might change due to climate change. My results show that consumers consume more water during non-drought conditions and summer seasons. Although my study shows a significant and relevant relationship between temperature and consumption, there are limitations of a small sample size, as well as indirectly considering price and policy. This study serves as a step towards understanding how to best manage water in a climate influenced future.</t>
  </si>
  <si>
    <t>EBMUD, Oakland, temperature, consumption, demand</t>
  </si>
  <si>
    <t>RaiR_2010-page1.pdf</t>
  </si>
  <si>
    <t>Lindsey Sanders</t>
  </si>
  <si>
    <t>Algerian Ivy Removal Techniques along a Riparian Zone in Berkeley, California</t>
  </si>
  <si>
    <t>Algerian ivy is an invasive vine not native to Berkeley, California which limits native plant biodiversity. In this study I examined three removal techniques for managing Algerian ivy: manual removal, foliar herbicide application, and cut-stem herbicide application. I hypothesized that cut-stem herbicide application would be the most effective removal technique and that herbicide application would not affect native seedling growth. I measured plots monthly for ivy and native seedling growth and analyzed results using a Random Complete Block Design, Tukey-Kramer analysis, and Simpson’s Diversity Index (SDI). I found no significant difference in ivy re-growth between plots, and no significant difference in native seedling growth between plots. I found that manual removal plots had an SDI double that of other treatments (0.7652). Based on these results I recommend that further use of herbicides be ceased until investigations into the effects of herbicide on native plant diversity have been completed.</t>
  </si>
  <si>
    <t>Invasive species, Strawberry Creek, restoration, glyphosate, species diversity.</t>
  </si>
  <si>
    <t>SandersL_2010-page1.pdf</t>
  </si>
  <si>
    <t>Kiran Sathaye</t>
  </si>
  <si>
    <t>Atmopsheric Observance Satellites and Cloud Aerosol Effects</t>
  </si>
  <si>
    <t>Atmospheric dynamics and indirect effects represent a large portion of the uncertainty in the understanding of Earth’s climate systems. One of the most useful tools in analyzing atmospheric processes is the use of satellite data. However, it is known that satellite data can be inaccurate, contributing uncertainty to climate models. To investigate climate change in the Arctic, one of the most vulnerable regions to global climate change, I evaluated the climate over Alaska using satellite-retrieved data. Cloud property changes over the Arctic are useful to understand how surface energy budgets and thus sea ice cover are impacted. To understand changes in clouds over the Arctic, I examined satellite retrievals of aerosol optical depth (AOD), used to indicate pollution levels, and other important climate variables such as liquid effective droplet radius (Reff) for the Alaskan region in the month of April 2008. I analyzed data from three satellite instruments: MODIS, CloudSat, and POLDER. I found that retrievals from MODIS and CloudSat showed greatly differing results for Reff and that MODIS and POLDER showed greatly differing results for cloud cover, with MODIS consistently showing higher values for both parameters. Additionally, no discernible relationship could be found between these two parameters and AOD. These results suggest that the further use of satellite retrievals to analyze the relationship between pollution and cloud properties in the Arctic may prove quite challenging.</t>
  </si>
  <si>
    <t>Aerosol Indirect Effect, Arctic Circle, Climate Modeling, Cloud Properties, Energy Flux</t>
  </si>
  <si>
    <t>SathayeK_2010-page1.pdf</t>
  </si>
  <si>
    <t>Vega Shah</t>
  </si>
  <si>
    <t>Colonization of Leaf Litter by Benthic Macroinvertebrates in Redwood Creek of Mt. Tamalpais State Park, California</t>
  </si>
  <si>
    <t>The importance of riparian zones to aquatic ecosystems is well recognized. Benthic macroinvertebrates (BMI) are an important aspect of freshwater stream systems due to the ecosystem roles they play. BMI preference for leaf letter can be examined using colonization in leaf packs and also breakdown of leaf litter. In this study, I examined differences in colonization and leaf breakdown among four different riparian species: big leaf maple (Acer macrophyllum), California bay (Umbellularia californica), coast redwood (Sequoia sempervirens) and white alder (Alnus rhombifolia) were examined. I used artificial leaf bags at various sites in Redwood Creek, Marin County, California to study colonization over a period of 2 weeks and 4 weeks. The variables used to study leaf specific BMI colonization and breakdown were abundance, family richness, genus richness, Shannon diversity index, functional feeding group distribution and leaf litter mass loss. It was found that Maple supports highest abundance and diversity of BMI while Redwood supports lowest abundance as well as diversity. Functional feeding group richness and leaf litter mass loss was found to be uniform across all leaf types. This research supports and re-affirms need for conservation of riparian vegetation in order to facilitate healthy aquatic fauna.</t>
  </si>
  <si>
    <t>Diversity, EPT, leaf bag, decomposition, functional feeding groups (FFG)</t>
  </si>
  <si>
    <t>ShahV_2010-page1.pdf</t>
  </si>
  <si>
    <t>Joyce Tam</t>
  </si>
  <si>
    <t>Cool Roofs in California</t>
  </si>
  <si>
    <t>A cool roof refers to a rooftop that has been designed to be passively cooled. Cool roofs as an alternative to the conventional rooftop not only keep a roof and its indoor environment at lower temperatures, but also can save money and energy, improve air quality, and mitigate the urban heat island effect. Requiring less initial cost investments and lower maintenance than other “green” roofing options, cool roofs are increasingly becoming more feasible and being integrated into policy (eg. Title 24, CalGreen, etc.). A number of California utility companies have been providing rebates for customers with cool roof installations. This project located records of cool roof installations from Sacramento Municipal Utility District (SMUD) and aggregated them in Microsoft Access Database. The goal is to be able to centralize and organize this data that had been locked up with SMUD. In addition, policy and codes were analyzed to further assess the progress and future of cool roofs. This project will aid California Air Resources Board (CARB) and other stakeholders in assessing the success of cool roof rebate programs and help to determine future funding, research and investments in the technology.</t>
  </si>
  <si>
    <t>albedo, reflectivity, heat island effect, climate action, Sacramento Municipal Utility District (SMUD)</t>
  </si>
  <si>
    <t>TamJ_2010-page1.pdf</t>
  </si>
  <si>
    <t>Andrew Tantisukarom</t>
  </si>
  <si>
    <t>An In Silico Prediction of ER-alpha Agonism for Quats and Phthalates</t>
  </si>
  <si>
    <t>Endocrine Disruptors are a growing concern as the female population is experiencing precocious maturation and more seriously, a greater incidence of breast cancer. Endocrine disruptors, or mimickers, can be found naturally in the environment but are most prevalent in man-made subtances. In this study, I investigated two classes of compounds- Ammonium Quaternary Compounds and Phthalates- that are less represented in the literature in respects to Estrogen Receptor-alpha (ER-a) agonism, which is linked to breast cancer. I employed Computational Toxicology, an in silico approach using state-of-the-art structure analyses modeling, specifically MDL-QSAR. The study collectively examined 70 quats and phthalates and predicted that 10 compounds showed significant ER-a agonism.</t>
  </si>
  <si>
    <t>Computational Toxicology, Quaternary Ammonium Compound, Breast Cancer, MDL-QSAR, Endocrine Disruptor</t>
  </si>
  <si>
    <t>TantisukaromA_2010-page1.pdf</t>
  </si>
  <si>
    <t>Alex Valenti</t>
  </si>
  <si>
    <t>Carbon Footprint Analysis of Operation and Maintenance of Northern California Golf Courses</t>
  </si>
  <si>
    <t>Golf course operations and maintenance involve energy and resource use to maintain consumer preferred conditions and these processes have an associated carbon footprint. As with any anthropogenic activity it is important to quantify the associated environmental effects in order to attain sustainable practices. By creating a golf course resource inventory and analyzing it using Carnegie-Mellon’s EIO-LCA model, the WEST model, and LBNL’s electrical generation model, I determined the overall carbon emissions of three Northern California golf courses. I compared these totals to the potential carbon sequestration from turfgrass growth on these courses, using the CENTURY model and then combined the figures to determine the carbon footprint. Agricultural chemicals, predominately fertilizers and pesticides, accounted for the largest annual source of carbon emissions with an average of 577 MT CO2e yr-1. The greatest total carbon emission was 1337 MT CO2e yr-1 with a course average of 739 MT CO2e yr-1. The largest individual footprint was Private Golf Club 1, with a net annual release of 1180.5 MT CO2e yr-1acre-1. The smallest individual footprint was Sunnyvale municipal, with a net annual release of 285.9 MT CO2e yr-1acre-1. The average footprint of those courses in this study was 739.2 MT CO2e yr-1. I recommend reduced fertilization and pesticide use, fuel switching, and reduced water usage to reduce carbon emissions. Implementing these recommendations could affect course quality and may not be economically feasible, thus preventing adoption and carbon emission reduction.</t>
  </si>
  <si>
    <t>Carbon sequestration, turfgrass, WEST model, CENTURY model, EIO-LCA</t>
  </si>
  <si>
    <t>ValentiA_2010-page1.pdf</t>
  </si>
  <si>
    <t>Kathryn L. Watson</t>
  </si>
  <si>
    <t>The Influence of Size and Growth Rate on Outmigration Timing in Coho Salmon (Oncorhynchus kisutch) Smolts</t>
  </si>
  <si>
    <t>Coho salmon (Oncorhynchus kisutch) are on the brink of extinction in central California. The period of salmon migration from feshwater to the marine environment greatly influences prospects for survival in the ocean and subsequent migration to freshwater to reproduce. Smolt scales and other body size parameters from the spring 2009 outmigration of coho salmon on Lagunitas Creek (Marin County, CA) were analyzed to determine the influence of body size and growth rate on migration timing. Fork length was negatively and significantly correlated to the date of migration (r2 = 0.04, p = 0.013). The residuals from the regression of number of circuli on fork length, which can be used as a proxy for growth rate, were negatively and significantly correlated to the date of migration (r2 = 0.10, p &lt; 0.0001). Although both growth rate and absolute size were significantly related to migration date, growth rate appears to exert a stronger influence because it is explains more of the variation in migration date. Faster growing coho are able to leave freshwater earlier, and in doing so they confer several advantages upon entering the marine environment that increase their chance of survival.</t>
  </si>
  <si>
    <t>Lagunitas Creek, scales, residual analysis, migration patterns, circuli</t>
  </si>
  <si>
    <t>WatsonK_2010-page1.pdf</t>
  </si>
  <si>
    <t>Kevin Welzel</t>
  </si>
  <si>
    <t>Urban Agriculture and Ecosystem Services: Pollination by Native Bee Communities in Berkeley, California</t>
  </si>
  <si>
    <t>Managing ecosystem services such as pollination are vital to human survival. As a result of recent declines in European honey bee population from CCD, the agricultural industry and researchers are interested in finding alternative means of pollination. Considering the declines in the European honey bee, urban agricultural may have to rely on native bee pollination to meet their pollination needs. Squash, tomato, strawberry and sunflower plants, each having a 3 by 3 foot quadrat, were observed in two urban agriculture sites located in Berkeley, California. Data collected from both sites include; isolation from natural habitat, diversity of pollinators and visitation rates. I hypothesized that the Oxford study site would have higher native bee diversity and visitation rates than the Berkeley Youth Alternative study site, because the Oxford study site was closer to natural habitat. The community statistics gave mixed results for genus richness and evenness. The t-test indicated no significance of visitation rates for each plant type between each site. Results indicated that close proximity to natural habitat had no affect on native bee visitation rates to crops. The three factors expected to contribute to a healthy native bee population are: common floral resources between native and non native habitats, habitat fragmentation and age of gardens. City planners and conservationist should be cognizant of these factors in order to build an urban agricultural site that can provide food and sustain biodiversity.</t>
  </si>
  <si>
    <t>Native bees, urban agriculture, ecosystem services, honey bees, CCD, Berkeley</t>
  </si>
  <si>
    <t>WelzelK_2010-page1.pdf</t>
  </si>
  <si>
    <t>Nina Yang</t>
  </si>
  <si>
    <t>Fuel-Efficient Stoves: A Comparison of Berkeley-Darfur Stoves to Three-Stone Fires</t>
  </si>
  <si>
    <t>Fuel-efficient stoves have emerged as a potential technological solution to mitigate global issues of hunger, environmental and habitat depletion, and poverty. For the internally displaced persons in the Darfur region of Sudan, the act of collecting firewood is directly related to exposure to a multitude of social dangers, and as a solution, fuel-efficient stoves have been introduced in the area in an effort to alleviate these persisting issues. In this study, I analyzed the fuel efficiency of the Berkeley-Darfur Stoves (BDS) under simulated wind conditions by making a direct comparison of dry wood consumption, specific fuel consumption, and thermal efficiency of the BDS to traditional three-stone fires. These analyses were performed for both types of traditional meals from the region, mullah and assida. I discovered that the designed BDS is consistently more fuel-efficient than the three-stone fire, and this improvement in fuel efficiency significantly increases in the presence of wind. This project supports the mission of the Darfur Stoves Project, and also provides insight into future development of the cookstoves.</t>
  </si>
  <si>
    <t>improved cookstoves, internally displaced persons (IDPs), fuel consumption, thermal efficiency, appropriate technology</t>
  </si>
  <si>
    <t>YangN_2010-page1.pdf</t>
  </si>
  <si>
    <t>Kevin Yeo</t>
  </si>
  <si>
    <t>Cost Analysis of Membrane Bioreactors to Reverse Osmosis Filters</t>
  </si>
  <si>
    <t>Recycled water is used for various purposes including industrial needs, agricultural irrigation, recharging aquifers, and use as potable drinking water. However, it is unclear which technology provides the greatest output of water for the lowest cost and least amount of drawbacks. The two most used technologies are membrane bio-reactors (MBR) and reverse osmosis (RO) filters as the final step in wastewater treatment. Data from 11 wastewater treatment plants which utilized MBR and/or RO in their wastewater treatment process was gathered and analyzed to show that MBR produced water costs $0.057 per gallon whereas RO produced water costs $0.048 per gallon. However, MBR has the capacity to produce 6,500 gallons of water a day, and RO only can produce 4,600 gallons of water a day. At maximum, RO can handle 50,000 gallons a day and MBR can handle 35,000 a day. New wastewater treatment plants must choose based on the capacity which they serve instead of cost.</t>
  </si>
  <si>
    <t>Wastewater, treatment plant, pretreatment, tertiary filtration, population</t>
  </si>
  <si>
    <t>YeoK_2010_abstract-page1.pdf</t>
  </si>
  <si>
    <t>YeoK_2010-page1.pdf</t>
  </si>
  <si>
    <t>Connie Zheng</t>
  </si>
  <si>
    <t>Natural resistance variations among Arabidopsis thaliana populations against oomycete pathogen Hyaloperonospora arabidopsidis</t>
  </si>
  <si>
    <t>Oomycetes are a group of plant pathogens that is responsible for numerous plant diseases, such as the late potato blight, sudden oak death, and downy mildew, which have led to economic loses and environmental impacts. Although oomycetes are destructive, there are currently no methods that are cost-efficient or effective enough for control in agriculture. However, researchers have discovered ecotypes of the small plant Arabidopsis thaliana have evolved multiple resistance genes against oomycete Hyaloperonospora arabidopsidis in the wild. These resistance genes are able to detect effector proteins released by oomycete Hyaloperonospora arabidopsidis and elicit the hypersensitive cell death (HR) immune response to prevent further spread of pathogen within the plant cell. But in the evolutionary battle for survival, the oomycete has also evolved new effector proteins to avoid detection by these resistance genes. Although the interaction between a specific resistance gene and its corresponding effector protein has been studied extensively, there is a lack of knowledge regarding interactions of multiple resistance genes against multiple pathogens. My research focused on the phenotypic resistance variations in A. thaliana ecotypes as a result of multiple resistance genes. Spray inoculation of the 96 A. thaliana ecotypes with the five variations of H. arabidopsidis pathogen showed that ecotypes from the same geographic origin do not display similar patterns of resistance against the pathogens, despite facing similar selection pressures. Tryphan blue staining of ecotypes infected with H. arabidopsidis Emco revealed that developmental regulation of resistance response is present throughout A. thaliana species, not just in ecotype Col-0. Comparison between syringe inoculation of ATR1 effector protein into the A. thaliana ecotypes and whole-pathogen spray inoculation showed that resistance gene RPP1 alone is not able to stop pathogen growth and proliferation in all ecotypes. Understanding how resistance genes work in combination in A. thaliana may potentially help in development of more resilient crop varieties and sustainable pest management tactics.</t>
  </si>
  <si>
    <t>Geography, developmental, regulation, RPP1, ATR1</t>
  </si>
  <si>
    <t>ZhengC_2010_abstract-page1.pdf</t>
  </si>
  <si>
    <t>David Anderson</t>
  </si>
  <si>
    <t>Effects of Phytophthora ramorum the Stomatal Conductance of Coast Live Oak, Quercus agrifolia.</t>
  </si>
  <si>
    <t>P. ramorum, the fungus-like pathogen causing Sudden Oak Death (SOD), threatens several species of trees including coast live oak (Quercus agrifolia), tanoak (Lithocarpus densiflorus) and black oak (Quercus kelloggii) in Northern California forest. Little work has been done to understand how infectious agents like P. ramorum affect tree physiology prior to death. In this study I used carbon-13 isotope analysis to understand how P. ramorum infection influences the stomatal conductance of Q. agrifolia at China Camp State Park and Pacheco Valley. Using an existing sample of 36 randomly selected and cored oaks, I found carbon-13 discrimination (δ13C) using mass spectrometry. δ13C was used as a proxy for understanding how the stomatal conductance of both symptomatic and asymptomatic oaks changed after the introduction of P. ramorum in the mid-1990s. Symptomatic and asymptomatic oaks were also broken up into two groups before (1992-94) and after (2004-06) P. ramorum introduction. Asymptomatic oaks in this study served as a baseline for changes in stomatal conductance due to other variables including environmental variations. Examining both symptomatic and asymptomatic Q. agrifolia before and after the introduction of P. ramorum there was an overall increase in δ13C, meaning an increase in stomatal conductance; however, this change was only significant in symptomatic individuals. I believe that infection with P. ramorum is causing tighter stomatal regulation in these oaks as water transport between the roots and the leaves is being cut off. In this way, symptomatic oaks did not parallel the significant increase in δ13C and therefore stomatal conductance found in asymptomatic oaks after P. ramorum’s introduction. This work demonstrates that trees will respond to stress such as an infection by altering physiology, however much more work needs to be done in order to understand the full magnitude of such changes.</t>
  </si>
  <si>
    <t>AndersonD_2009-page1.pdf</t>
  </si>
  <si>
    <t>Zach Barbane</t>
  </si>
  <si>
    <t>Environmental Justice Impacts of Rising Sea Levels in the San Francisco Bay Area</t>
  </si>
  <si>
    <t>With average temperatures expected to continue climbing due to global warming, sea levels are also expected to rise. This will lead to inundation in low-lying coastal regions, accelerated erosion on the coasts, higher flood levels, and increased intensity and frequency of extreme storm events. Recent research estimates mean sea levels to increase 0.5 to 1.4 meters by 2100, dramatically altering coastlines worldwide. The San Francisco Bay Area is a highly developed, urban region with a large and diverse population. No research has yet been done to determine the impacts of rising sea levels on this population at the local level. The purpose of this research was to determine if rising sea levels will create any environmental justice concerns by disproportionately impacting minorities and people of lower income. Using GIS, I overlaid Census 2000 data with digital models predicting a one meter increase in mean sea level. Seven of nine counties and 37 of 70 cities demonstrated higher proportions of minorities in impacted regions, significant at a 95% level. Seven cities also demonstrated a population with a lower income in areas predicted to be impacted by inundation. The results of this research should be used by law and policymakers to prepare for future scenarios and prevent any potential injustices.</t>
  </si>
  <si>
    <t>BarbaneZ_2009-page1.pdf</t>
  </si>
  <si>
    <t>Ouyntegsh Batjargal</t>
  </si>
  <si>
    <t>Effects of Increasing Fertilization Rates on Onion Growth and Nitrogen Losses</t>
  </si>
  <si>
    <t>Current fertilization practices call for a constant rate of application of fertilizer over the entire growing season. To optimize crop fertilization by reducing pollution via two pathways, NO3 and N2O gas losses, a variable fertilization schedule has been proposed. The onion received fertilizer in increasing amounts to optimize nutrient absorption. Three groups of onions were grown and three different fertilization schedules were applied to them: constant rate, increasing rate, and no fertilizer. Plant yields (mass) for the two treated groups was similar. The group without fertilizer was five times smaller. NO3 and N2O losses were not significantly different for the two groups.</t>
  </si>
  <si>
    <t>BatjargalO_2009-page1.pdf</t>
  </si>
  <si>
    <t>Sian Bentson</t>
  </si>
  <si>
    <t>How UC Berkeley Undergraduate Students Perceive the Risk of Earthquakes in Berkeley, CA</t>
  </si>
  <si>
    <t>Risky events are those that have potential to cause extreme damage and adversely affect people and their possessions. Previous studies have found that people perceive risks differently based on a combination of different variables, including past experiences, familiarity with natural hazards, knowledge about the hazards, and ethnicity of the person. One of these events is earthquakes, unpredictable natural hazards that could potentially cause fatalities, and catastrophic damage to both structures and communities. Because UC Berkeley lies directly over an active fault that has a 27% chance of causing a catastrophic earthquake within the next 3 years, students at UC Berkeley are at risk of harm from an earthquake. This study analyzed the students’ earthquake risk perceptions to determine whether or not risk perceptions are dependent on earthquake experience, knowledge about earthquakes, and ethnicity. The hypothesis states that students with positive experiences, those who knew more about earthquakes, and those who were in white ethnic groups would perceive earthquakes as less risky than those with negative experience, those who don’t know much about earthquakes, and those in non-white ethnic groups. The results indicate that risk perception of earthquakes is independent of experience and knowledge, and a large sample size is needed to compare risk perceptions of people in different ethnic groups. This study has determined that in future earthquake risk perception studies, a larger sample size should be used and other sources of variation should be explored.</t>
  </si>
  <si>
    <t>BentsonS_2009-page1.pdf</t>
  </si>
  <si>
    <t>Allison Chambers</t>
  </si>
  <si>
    <t>The Environmental Costs of California Lumber Transport</t>
  </si>
  <si>
    <t>As environmentalist movements in the United States continue to win legislative victories for environmental preservation, other nations around the globe are still focused on economic gains, often at the cost of environmental degradation. We see a prime example of this in the timber industry in California, as the increasingly strict regulations placed upon timber harvest practices have caused the state’s timber production to be unable to keep up with lumber consumption rates. To fill this gap, most lumber in California is now imported from locations such as Canada and the Pacific Northwest, where regulations to promote sustainable harvest practices are much less strict than in California. These imports must travel much greater distances than domestically produced lumber, which increases energy consumption and air pollution emissions. This study addresses the externalities of air pollution associated with California lumber imports by assigning monetary values to the environmental impacts of air pollutants from truck, rail, and boat shipments. Accounting for the environmental costs of air pollutants under current shipment patterns increases the total cost to the market by about 2%, or $10.7 million. In order to reduce this total cost, a reduction of the quantity of lumber imported from great distances has a greater effect than adjusting the type of transport used. Policies to promote import quantity reduction should focus on internalizing the environmental costs of transport and allowing increased lumber production from California forests. The free market should react to these policies by decreasing the use of environmentally costly imports.</t>
  </si>
  <si>
    <t>ChambersA_2009-page1.pdf</t>
  </si>
  <si>
    <t>Christopher Chen</t>
  </si>
  <si>
    <t>Consumption and Production of Methyl Halides from a Woodland Soil</t>
  </si>
  <si>
    <t>While synthetically created compounds such as chlorofluorocarbons are most well known for depleting the ozone layer, natural compounds also catalytically destroy ozone. Methyl halides, trace gases which include methyl bromide (CH3Br) and methyl chloride (CH3Cl), are important natural compounds that deplete stratospheric ozone. Methyl halides have natural sources such as oceans, certain plants and salt marshes, while anthropogenic sources exist such as biomass burning and pesticide applications. Soils are the major known sink of halomethanes, although sparse data exists on the relative importance of soil on an ecosystem scale. The current CH3Br soil consumption model currently groups temperate forests, woodlands and shrublands together, comprising of half the global soil sink for the compound. I used flux chambers to measure halomethane fluxes at the woodland site. Consumption of CH3Br and CH3Cl was significantly higher during winter compared to summer. This discrepancy may be credited to moist and biologically active soils during winter. Overall, the woodland soils showed net consumption due to the high consumption level seen during the wet, winter season. Production was weak for both seasons, and consumption during summer was also negligible. Methyl bromide consumption did not fit the CH3Br soil consumption model presented by Shorter (1995). The model’s estimates were over 40 times higher than the CH3Br summer consumption rate observed at the woodland, and over twice as strong as winter consumption fluxes. The CH3Br consumption displayed followed the trend of past observed terrestrial ecosystems, which all have had lower consumption fluxes than expected.</t>
  </si>
  <si>
    <t>ChenC_2009-page1.pdf</t>
  </si>
  <si>
    <t>Wendy Chen</t>
  </si>
  <si>
    <t>Gardening Programs in Schools: A Case Study of Nutrition and Food Education at Mt. Diablo High School</t>
  </si>
  <si>
    <t>Children and adolescents consume and prefer junk foods over fruits and vegetables. These habits can lead to future health problems, like diabetes, stroke and cardiovascular disease. Despite the benefits of eating fruits and vegetables, many children do not consume recommended amounts because of their food preferences, which are learned through environments like the school and home. Previous studies have shown the benefits school gardening programs can have on elementary school children’s knowledge, preference and intake of fruits and vegetables. However, no similar studies have been conducted among high school students. My research question was: does participation in a high school gardening program increase high school students’ preferences of fruits and vegetables? My hypothesis was that high school students who participate in a school gardening program would demonstrate an increase in their knowledge and intake of vegetables and fruits compared to nonparticipants. I conducted my study in an 11th grade Health and Biosciences class at Mt. Diablo High School in Concord, California. I attempted to interview the entire class, both participants and nonparticipants, using a semi-structured interview. Analysis was conducted using coding and qualitative content analysis and yielded major themes including parental influences: food options offered at school, and lack of nutrition education in the classroom. However, these themes show support for the null hypothesis: there were no increases in participants’ knowledge, preference, and intake of fruits and vegetables compared to nonparticipants. This may be attributed to the lack of integration of the gardening program into the curriculum and the lack of healthy alternatives at school.</t>
  </si>
  <si>
    <t>ChenW_2009-page1.pdf</t>
  </si>
  <si>
    <t>Esther Choi</t>
  </si>
  <si>
    <t>Comparison of honeydew production to explain vine mealybug dominance in California</t>
  </si>
  <si>
    <t>The recent introduction of vine mealybug (VMB) has elevated the mealybug’s pest status and is causing significant damages throughout California vineyards. There have been field observations that noted higher honeydew accumulations on the vines infested with VMB, and these observations have led many researchers to assume VMB’s higher individual honeydew production as one of the reasons for its huge success. However, this assumption had not been investigated. Mealybug gets a powerful protection from the ants that obtain honeydew and in return reduce the abundance and efficacy of mealybug’s natural enemies. This mutualistic association significantly contributes to the success of mealybug survival, and it has been established that the honeydew quantity provided is positively correlated with ant tending intensity. This research aims to explain the wide prevalence and dominance of VMB. I hypothesized that VMB does not produce more honeydew on an individual basis, given its comparable body size with naturalized mealybug species and other biological attributes like higher reproduction and development rate. I collected honeydew droplets produced by the second instars of VMB and the two naturalized species, obscure and longtailed mealybugs (OMB and LTMB). Then, I compared the average honeydew productions among the three species. The ANOVA determined that there is no significant difference among the honeydew productions. This result suggests that ant tending is not a main reason for VMB’s success, and that biological control programs should focus more on controlling mealybug population itself to successfully manage infestations in California vineyards.</t>
  </si>
  <si>
    <t>ChoiE_2009-page1.pdf</t>
  </si>
  <si>
    <t>Alexander Chu</t>
  </si>
  <si>
    <t>Surveying Diversity and Distribution of Non-native Plants at the Albany Bulb</t>
  </si>
  <si>
    <t>Many mechanisms that facilitate the spread and establishment of non-native plant species are varied and complex. In this study, I explored the influence of individual plant characteristics and environmental factors on the distribution and dispersal of non-native perennial forbs and grasses at Albany Bulb, a park that was redeveloped two decades ago. No previous study has attempted to survey the Albany Bulb's diverse plant life and analyze the extent of non-native invasion and I hoped to answer the question: What is the extent of invasive plant species spread on Albany Bulb and are these invasive species dominating the native flora? To determine the distribution of native and non-native perennial plants on the Albany Bulb, I conducted an observational field study to identify and map dominant perennial plant communities using GIS. I also used field data to examine the possibility of a correlation between non-native species abundance measured by plant cover and distance from paths. In this three month, January to March 2009, survey, I found that the Albany Bulb is increasingly becoming home to more non-native herbaceous plants and grasses. Yet, results from this study regarding correlation of distance from paths remain inconclusive. Understanding the role that various environmental and individual plant factors play in the dispersal of invasive non-native species is crucial in preventing their spread and seeing the overall non-native plant dispersal and distribution in response to human and natural disturbances can provide valuable information for future management for the preservation of native species in urban parks.</t>
  </si>
  <si>
    <t>ChuA_2009-page1.pdf</t>
  </si>
  <si>
    <t>Ryan Dash</t>
  </si>
  <si>
    <t>A Refrigerator Replacement Feasibility Study</t>
  </si>
  <si>
    <t>This study analyzes the energy reduction potential and funding mechanisms of a refrigerator replacement program on the campus of the University of California, Berkeley. Since newer models of refrigerators require much less energy than older models, replacing these older ones could greatly cut energy consumption, which leads to less money spent on the electricity bill and fewer greenhouse gas emissions. However, refrigerators are unlikely to be replaced without intervention by the University’s central administration because departments do not pay their own energy bills and thus do not see any of the savings. I used energy consumption data obtained from a sampling of refrigerators on campus and compared this with the energy consumption of an assumed replacement, using assumptions for energy deterioration, energy prices, and discount rates, and rebates offered by Pacific Gas and Electric. I found that the payback period could be as low as eight years, soon enough for the University to seriously consider a replacement program. Campus-wide, 70,245 kilowatt-hours of electricity could be saved yearly with such a program, abating 20.5 tons of carbon dioxide in the process. This study also examines department purchasers’ willingness to pay for newer refrigerators through an electronically administered survey. Respondents were generally environmentally conscientious, and 80% were willing to replace their refrigerator when offered a 75% subsidy. In general, I found a refrigerator replacement project to be both financially and environmentally beneficial for the University. These results could be applied to other universities in the United States.</t>
  </si>
  <si>
    <t>DashR_2009-page1.pdf</t>
  </si>
  <si>
    <t>Connor D. Dibble</t>
  </si>
  <si>
    <t>Ecological Effects of Ant-aphid Mutualism on the Invasive Potential of Foeniculum vulgare in Northern California Coastal Scrub</t>
  </si>
  <si>
    <t>Mutualisms, interactions between species whereby both benefit, can alter ecosystems by affecting community structure and species’ distributions. Aphid tending behavior by ants, a common mutualism, directly affects aphid population growth and distribution. Aphids consume plant phloem and excrete honeydew that is eaten by ants. In return, ants provide protection for aphids. Foeniculum vulgare is an invasive plant in coastal scrub habitats of California that hosts a mutualism between invasive Argentine ants (Linepithema humile) and three aphid species (Cavariella aegipodii, Dysaphis apiifolia, Dysaphis foeniculus). This association can modify insect assemblage and affect host plant distribution by impacting herbivory rates. Host plants may experience a net reduction in herbivory caused by release from insects like the native specialist lepidopteran, Papilio zelicaon. This may facilitate the invasive success of F. vulgare. In this study, I quantified the effects of the ant-aphid association on host plant growth and insect assemblage. I tracked growth of F. vulgare on ant-aphid hosts versus non-hosts and found no effect of aphid presence. I recorded the presence of other fauna and found significant reductions on plants hosting the mutualism. I also quantified an effect of the mutualists on the distribution of P. zelicaon. In a greenhouse experiment, I found that P. zelicaon reduced growth of F. vulgare while aphids did not. I conclude that the mutualism can increase plant fitness and may be an important factor in facilitating/maintaining the invasion of F. vulgare. There may be implications for P. zelicaon given the increasing prevalence of L. humile.</t>
  </si>
  <si>
    <t>Dibble_2009-page1.pdf</t>
  </si>
  <si>
    <t>Halley Finkel</t>
  </si>
  <si>
    <t>Biofuels and Climate Change: Evaluating the Viability of a Drought Vulnerable Fuel Resource</t>
  </si>
  <si>
    <t>The rising prices, national security threats and environmental concerns about petroleum have spurred the US government into looking into alternative energy. The country is encouraging biofuels as its replacement transportation fuel and put policies in place that intend the amount of cellulosic biofuels to encompass over 16% of US fuel usage by 2022. Two grasses, Miscanthus x giganteus and switchgrass (Panicum virgatum), have been identified as the primary crops for cellulosic biofuels. However, climate change will cause increased drought over the next century that will severely limit the output of these two crops, especially drought-sensitive Miscanthus. To test how drought affects these two fuel crops and to compare the two crops to each other, I created temperature and precipitation range maps, gathered information about how drought will affect the continental US over the next century and then applied this information to data collected on the changing yields of Miscanthus and switchgrass when each grass was subject to drought. I found that in all US regions, Miscanthus will continue to out produce switchgrass through the 2070s, but in drought-prone regions the two have similar outputs. Both crops sustain major losses from drought in the latter half of the century. From this I conclude that Miscanthus is a better biofuel crop for most northern US regions currently, but with such high potential for losses from both crops, policy makers will need to think carefully about drought before investing too much in cellulosic biofuels.</t>
  </si>
  <si>
    <t>FinkelH_2009-page1.pdf</t>
  </si>
  <si>
    <t>Elaine Fok</t>
  </si>
  <si>
    <t>Survey of Hepaticae (Liverworts) in Moorea, French Polynesia</t>
  </si>
  <si>
    <t>Interest in biodiversity is quickly increasing and lower plant groups are becoming a higher priority in conservation. However, bryophytes such as liverworts are understudied components of many ecosystems due to inadequate resources and expertise. Islands serve as model ecosystems because of their relative simplicity. The Moorea Biocode Project is an integrative survey of tropical biology on the island of Moorea, French Polynesia, collecting genetic, morphological and ecological information. Focusing on liverworts, this study investigated the species present on the island and examined ecological trends such as elevation as related to species composition and richness. Sampling was completed in the Opunohu Valley of Moorea. Sampling sites were based on known liverwort preference of moist, shaded habitats. GPS location, elevation, and host substrate were noted. Pearson’s correlation was used to assess the relationship between elevation and number of samples collected per morphospecies. Overall, the study found 46 liverwort morphospecies. Some species and genera were previously documented in the literature. There were 10 new genera recorded. Elevation was found to be negatively correlated with number of samples per species, indicating a level of rarity in different habitats. However, results of this study were not consistent with richness findings of other tropical studies. Substrate observations were not significant and further examination of liverwort substrate preferences should be completed. As a preliminary targeted investigation of liverworts, this study has contributed to the current knowledge of biodiversity in Moorea. However, further studies must be conducted to obtain more information on this understudied group.</t>
  </si>
  <si>
    <t>FokE_2009-page1.pdf</t>
  </si>
  <si>
    <t>Michael Hansen</t>
  </si>
  <si>
    <t>Environmental Engagement and Product Knowledge among Consumers of Electric Light Bulbs in Albany, California</t>
  </si>
  <si>
    <t>Although most marketing researchers have defined green consumers by how frequently they purchase environmentally-friendly products, purchase behavior is a poor measure of how consistently a consumer practices environmentally sustainable consumption behavior since consumers may behave unsustainably in other parts of the consumption process including use and disposal. The present research inductively explores the role of consumer product knowledge in influencing general environmental engagement throughout the consumption process, including both purchase and non-purchase attitudes and behaviors. Eleven customers of the Albany, CA Safeway at Curtis and Solano were interviewed regarding their purchase, use, disposal, and perception of electric light bulbs. All of those interviewed exhibited only general knowledge about the environmental impacts of consuming the electric light bulbs they purchased and used in their home, and none exhibited strong pro-environmental attitudes. Although interviewees who were more knowledgeable did express greater environmental engagement throughout the consumption process, many confounding variables were identified in this relationship. Normative pressure in the form of perceived social expectations and spousal pressure was identified as being important, especially with regard to recycling behavior. Further study is required to identify significant relationships.</t>
  </si>
  <si>
    <t>HansenM_2009-page1.pdf</t>
  </si>
  <si>
    <t>Wei-Chen Hsu</t>
  </si>
  <si>
    <t>Assessing ecological interaction of California black rail (Laterallus jamaicensis coturniculus) and Virginia rail (Rallus limicola) using stable isotope analysis</t>
  </si>
  <si>
    <t>The California black rail (Laterallus jamaicensis coturniculus) and Virginia rail (Rallus limicola) are cryptic species of marsh birds that often coexist in the same wetland sites. The black rail is currently listed as threatened in California. Little is known about the diet of either bird species and their interactions due to their secretive nature. It has been suggested that black and Virginia rails compete for food sources since they occupy similar habitats. I used stable isotope analysis of carbon and nitrogen of the rail feathers to examine the diet and trophic level of the rails to determine whether the two rail species compete or partition resources. The results showed that there is no significant difference in the carbon and nitrogen isotope signature between black and Virginia rail feathers from the foothills population but a significant difference in carbon and nitrogen isotope signature between black and Virginia rails from the San Francisco Bay. This suggests that the two rail species in the foothills compete for food sources while the two rail species in the San Francisco bay partition food sources.</t>
  </si>
  <si>
    <t>HsuW_2009-page1.pdf</t>
  </si>
  <si>
    <t>Rachel Walshe Kane</t>
  </si>
  <si>
    <t>Modeling Wind Resources for Harnessing Potential Energy at UC Berkeley</t>
  </si>
  <si>
    <t>Energy demand is increasing, greenhouse gas emissions are beginning to have devastating effects, and the feasibility of fossil fuels is uncertain in the long-term. In this context, wind is an attractive alternative renewable energy source. However, before installing a wind turbine to harness energy, the available wind resources and their potential power yields should be determined. The University of California, Berkeley is working to reduce its negative environmental impacts and maximize its use of available renewable resources, such as wind. My research assesses whether the University has sufficient wind resources on campus to make wind a viable energy source. I used archived wind speeds from 2005-2007 and GIS computer algorithms to interpolate a wind distribution of the campus property. I calculated the power density for all locations with sufficient wind speeds and the maximum power yields using Betz’s equation. My resource distribution maps indicate that although most areas lack sufficient wind speeds, some locations in the hill area east of campus can support a turbine. These findings refine larger scale studies, thus indicating the importance of site-specific resource assessments.</t>
  </si>
  <si>
    <t>KaneR_2009-page1.pdf</t>
  </si>
  <si>
    <t>Kameron Kitajima</t>
  </si>
  <si>
    <t>Investigating Energy Efficiency and Conservation Behavior in UC Berkeley's Residence Halls</t>
  </si>
  <si>
    <t>Global climate change is one of the biggest problems facing the current generation. Anthropogenic emissions of greenhouse gases (GHGs) have been one of the main contributors to climate change and 80% of the total worldwide carbon dioxide emissions are energy-related. At the University of California, Berkeley, 70% of the campus’ GHG emissions come from buildings alone, especially from those that are in constant use such as the residence halls.  Educating building occupants to save energy can help reduce the campus’ GHG emissions.  Prior studies have looked into educational campaigns and energy use, but does not identifying the real effectiveness of an educational energy program in college residence halls situated in a larger sample size.  This study investigated how educational outreach materials would change student’s energy behaviors within UC Berkeley’s residence halls.  I conducted a two-month energy competition called “Blackout Battles” to motive students to save energy and used outreach materials to educate occupants about energy efficiency and conservation.  I analyzed total energy consumption of all the participating units and conducted surveys and interviews in order to assess the effectiveness of the outreach materials.  The energy data showed a total decrease in energy use by 2.5% during the competition in 2009 compared to a 2003 baseline.  The surveys and interviews revealed that educational outreach materials were not an effective way to drastically increase energy efficient practices in UC Berkeley’s residence halls because occupants were already practicing energy efficient behaviors prior to the competition.</t>
  </si>
  <si>
    <t>KitajimaK_2009-page1.pdf</t>
  </si>
  <si>
    <t>David Krauth</t>
  </si>
  <si>
    <t>Evaluation of Land Use Changes on Schistosomiasis Disease Prevalence in Sichuan Province, China</t>
  </si>
  <si>
    <t>This study examines the impact that 5 land use/land cover types have had on schistosomiasis human infection rate data for the time period 1978-2003. Schistosomiasis is a water-borne disease that is caused by any of five parasitic Schistosoma flatworm species and is prevalent throughout much of the developing world and many region specific areas in China, including the Sichuan Province. Studies have shown that in the Sichuan Province, the disease has started to reemerge over the past decade despite national control efforts to eradicate the disease. Despite these recent trends, there have been very few studies which have assessed long term land use impacts on schistosomaisis transmission. Using satellite imagery from the United States Geological Survey (USGS) and human infection rate data from China’s Center for Disease Control (CDC), regression tests were performed to assess the strength of correlation between land use changes and general land cover types and prevalence data. Correlation results from this study suggest positive relationships between water availability and infection rate. Similarly, urbanization and road development also experienced strong positive correlation with infection rate data while vegetation was inversely related to the prevalence data.</t>
  </si>
  <si>
    <t>KrauthD_2009-page1.pdf</t>
  </si>
  <si>
    <t>Neva Krieg</t>
  </si>
  <si>
    <t>Utility Regulation: Barriers to Decoupling Electricity Sales from Revenue</t>
  </si>
  <si>
    <t>In 1982, in an effort to remove the economic incentive of investor-owned utilities to increase electricity sales and disincentive to implement energy efficiency programs, California became the first state to decouple sales from revenue as a means of electrical utility regulation. Since decoupling, California's per capita energy usage has remained relatively unchanged while the total United States' per capita energy usage has increased by fifty percent. Today the average Californian emits fifty-five percent less carbon dioxide and consumes one third less energy than the average American, indicating that energy efficiency programs have been successful in California. Although decoupling has been deemed successful by California utilities, California regulators, and energy insiders, it has not been implemented on a long-term basis outside of California. To best understand varying perspectives on decoupling, I interviewed academic experts, legislators, and energy industry insiders and analyzed responses. California utility experts believe lack of widespread implementation is largely due to the difficulty of implementing a new regulatory system. Experts agreed that a combination of decoupling and performance-based incentives are the most effective method of encouraging utilities to implement energy efficiency programs. This study provides a starting point for future research examining the successes and setbacks of decoupling in the United States.</t>
  </si>
  <si>
    <t>KriegN_2009_requested_nopub-page1.pdf</t>
  </si>
  <si>
    <t>Christian Lazzarini</t>
  </si>
  <si>
    <t>The Berkeley FIRST Program: A life-cycle assessment of the costs and greenhouse gas emissions</t>
  </si>
  <si>
    <t>Incentives for solar power were investigated in this study. One of the major barriers to solar electricity is the high up-front costs for solar electric systems that consumers face. The city of Berkeley has attempted to alleviate this barrier with the Berkeley FIRST(Financing Initiative for Renewable and Solar Technology) program. The City loans money to each participant in the program to pay for solar electric systems for their homes. The borrowed money is paid back by the participant over a twenty year period as a special tax added onto their property tax. The analysis within this paper consists of a life-cycle cost assessment (LCA) investigating both monetary and carbon emission differences between this program and regular utility customers. This study aims to answer the question: What degree of monetary and carbon emission reductions does the Berkeley FIRST program offer over a twenty year period to residents when compared to purchasing electricity from a utility? Contrary to my predictions, over a twenty year period of time, the Berkeley FIRST Program had higher costs than purchasing electricity from the utility company. However, as predicted, there were significant carbon emissions reductions for a property participating in the Berkeley FIRST Program. While the Berkeley FIRST Program does reduce carbon emissions, over a twenty year period it is not financially comparable to purchasing electricity from the utility company.</t>
  </si>
  <si>
    <t>LazzariniC_2009-page1.pdf</t>
  </si>
  <si>
    <t>Dana Lee</t>
  </si>
  <si>
    <t>Pyrethroid Pesticide Contamination of Urban Runoff in Stormwater Detention Ponds</t>
  </si>
  <si>
    <t>Stormwater detention ponds are an effective way to mitigate the effects of toxins in stormwater runoff before they reach surface waters. Pesticides are one of the greatest sources of this toxicity. Pyrethroid pesticides are the most common class of insecticide used in urban environments today with over 700,000 lbs being used every year for residential use in California. This study looked for the presence of pyrethroid pesticides at three different stormwater detention ponds in Alameda County and one pond in Marin County, California. Water samples were taken at the inlet and outlet of each pond during two rain events in the winter and spring of 2008-2009. Water samples were tested for concentrations of pyrethroids as well as toxicity to the test species Hyalella azteca. Species samples for H. azteca were also taken at the beginning and end of the rainy season to determine the effects of the pesticides on the resident amphipod community. Overall, toxicity was found in 66% of the samples. Each location was found to be toxic on at least one occasion. Some of the concentrations of pesticides were among the highest that have ever been documented in an urban setting. The ponds did show an ability to reduce pesticide levels with reductions as high as 90% in some cases. Population levels of H. azteca were greatly reduced over the course of the rainy season. This study showed the benefits of using stormwater detention ponds and outlined the effects that pesticides have on the benthic aquatic community.</t>
  </si>
  <si>
    <t>LeeD_2009-page1.pdf</t>
  </si>
  <si>
    <t>Han Lee</t>
  </si>
  <si>
    <t>Electronic Waste Recycling in the Bay Area, California: What Do People Really Know?</t>
  </si>
  <si>
    <t>In 2006, the U.S. generated 2.9 million tons of electronic waste, of which only 11.4% was recycled while the rest was trashed into landfills. Approximately 50-80% of this waste was dumped overseas in third world countries to exploit cheap labor and additional sources of dumping. This study examines the relationship between educational levels and the knowledge of environmental impacts, and assesses recyclers’ perception of electronic waste recycling facilities. Questionnaires and interviews were conducted to one out of every three subjects exiting three local Bay Area recycling facilities. A weak positive relationship between educational levels and the knowledge of environmental impacts was shown to be statistically significant (R² = 0.25, p = 0.04). In addition, recyclers were shown to generally care for how a recycling facility operates despite initially being unaware of the facility’s disposal policies. The study concludes that education and recycling awareness are essential to determining the motivation of a recycler.</t>
  </si>
  <si>
    <t>LeeH_2009-page1.pdf</t>
  </si>
  <si>
    <t>Jennie Li</t>
  </si>
  <si>
    <t>Characterizing Successful Outreach in Alternative Food Networks: A Case Study of Oakland Food Access Projects</t>
  </si>
  <si>
    <t>Food access, the right to healthy and safe food, is a main component of the food justice movement, which seeks to address the pitfalls of the conventional food system. In places that have been deemed a “food desert”, there are no avenues to easily accessible and healthy food. Alternative food networks (AFNs) are food systems that offer different pathways to food access overlooked by the industrialized food system. Research has been conducted on assessing the impact of local food systems on their constituents, but there has been little evaluation of success within the organizational framework of AFNs themselves. In order to have a holistic sense of the impacts of AFNs, it is necessary to survey how success is defined by various AFNs. I will examine the issue of success through the aspects of outreach and target population in both theory and practice. Many food access projects have arisen in Oakland using different strategies to implement their cause. My research consists of examining two AFNs in East Oakland, SOL and Oakland Food Connection, and comparing the different practical methods and theoretical frameworks used to characterize successful outreach. How does the philosophical and organizational structure of the AFN influence the practice and results of outreach? The results of my study show that the philosophy of the organization manifests itself in the way the organization is structured and that this changes their potential population reach. I also discovered that the philosophical concept of success is not especially related to any material results in either food access project and that success cannot be quantitatively linked to outreach. My research indicates the need for multiple ways of characterizing success in AFNs that includes the impact of these organizations on the quality of life.</t>
  </si>
  <si>
    <t>LiJ_2009-page1.pdf</t>
  </si>
  <si>
    <t>Jennifer Lin</t>
  </si>
  <si>
    <t>Performance of the Thermo Scientific Niton XRF Analyzer: The Effects of Particle Size, Length of Analysis, Water, Organic Matter, and Soil Chemistry</t>
  </si>
  <si>
    <t>Detecting changes in distributions of elements in soil with increasing depth, or the passage of time, can be important to assessing chemical weathering loss/gains, and ultimately the productivity of the soil. Generally, samples collected in the field are prepared for laboratory analysis using methods such as inductively coupled plasma spectroscopy or plasma mass spectroscopy. These methods are very reliable, and relatively routine, but modestly expensive and somewhat slow. Recently, several manufacturers have begun marketing portable x-ray fluorescence (XRF) analyzers, instruments that nondestructively quantify elemental concentrations by measuring characteristic fluorescence x-rays emitted by a sample. These instruments require only minor sample preparation, providing complete results within minutes. However, few studies have assessed how sample preparation affects measurements, or how accurate the XRF analyzer is relative to state of the art lab methods. Therefore, my research question was: How accurately and precisely does the instrument determine the elemental composition of a given sample when varying particle size, length of analysis, water content, organic matter content, and chemistry? Using a Thermo Scientific Niton XRF Analyzer, I tested these variables using soil samples from California and Chile and found that particle size, length of analysis, and soil chemistry did not significantly affect accuracy while water and organic matter content did. Precision of the instrument was generally high, though sometimes was low with short measurement times. Lastly, the instrument had high accuracy only for barium, calcium, potassium, strontium, and uranium. Therefore, it may need to be improved before it can be reliably used in fieldwork.</t>
  </si>
  <si>
    <t>LinJ_2009-page1.pdf</t>
  </si>
  <si>
    <t>Leslie Lopez</t>
  </si>
  <si>
    <t>“Farmer-Friendly” Sustainability Assessment of California Organic and Conventional Strawberry Farms.</t>
  </si>
  <si>
    <t>Strawberries are one of the most valuable crops in California, a highest demand produce in both organic and conventional forms. However, conventionally farmed strawberries are often associated with environmental degradation, health risks and high input costs, whereas organically farmed strawberries can reduce some of these issues. High premiums and increasing demand are incentives for the conversion of conventional to organic strawberry farming. This study assessed the environmental sustainability of organic and conventional strawberry farming in California based on soil quality and plant health. This study also aimed to bridge the gap in knowledge of reliable “farmer-friendly” methods that are practical, and quick, in monitoring the functioning status of farm ecosystem processes. I studied four farms- two organic and two conventional, in Santa Cruz and Watsonville. I measured soil quality and plant health based on nine indicators and, in support, I also tested for pH, N, P, and K. Organic management overall had a higher sustainability score than conventional management; however, the scores did not differ by much and both scored high on sustainability. Both managements also showed proximate N, P, and K levels, although Organic management had pH levels more adequate for strawberries. This study is inconclusive given the subjective nature of “farmer-friendly” assessment, however practical, and stronger nutrient level tests are needed in support thereof.</t>
  </si>
  <si>
    <t>LopezL_2009-page1.pdf</t>
  </si>
  <si>
    <t>Eyal Matalon</t>
  </si>
  <si>
    <t>Environmental determinants of Oncomelania hupensis snail occurrence along irrigation ditch networks in Sichuan Province, China</t>
  </si>
  <si>
    <t>The Oncomelania hupensis snail transmits the infectious parasite Schistosoma japonicum, which, at the end of the 20th century, was estimated to infect 865,000 total people along the Yangtze River Basin. Whereas Geographic Information Systems and Remote Sensing have been indispensable tools for modeling the habitat of this disease vector, most studies are limited by the low spatial resolution of remotely-sensed environmental data and have focused on identifying potential snail habitat on a regional scale. There is limited understanding of what influences snail occurrence at the level of human communities. In this paper, the association between snail occurrence and landscape features at varying spatial scales derived from field measurements and remote sensing was explored using logistic and negative binomial regression. Water conditions (particularly the flow rate and the existence of a thin film of water) were the most important small-scale ecological variables affecting snail occurrence. Percent forest cover and crop cover were the most significant macro-scale landscape features associated with snail occurrence. This paper discusses the possible underlying ecological mechanisms for these associations and suggests directions for future study at the village level.</t>
  </si>
  <si>
    <t>MatalonE_2009-page1.pdf</t>
  </si>
  <si>
    <t>Jennifer McGarvey</t>
  </si>
  <si>
    <t>Aboveground growth responses of the annual grasses, Bromus diandrus and Bromus hordeaceus, to clipping and simulated trampling.</t>
  </si>
  <si>
    <t>The community composition of California grasslands and oak woodlands has been transformed from native perennial to annual grasslands through competitive exclusion. Biomass allocation and growth traits of annual grasses such as Bromus diandrus (rip gut brome) and Bromus hordeaceus (soft brome) are two reasons that they are successful competitors. Livestock grazing may facilitate spread, but the growth responses of exotic annual grasses are unclear. Looking at the aboveground growth response of B. diandrus and B. hordeaceus to clipping and simulated trampling, I predicted that production of biomass would be greatest under no treatment and lowest under a combined clipping and trampling treatment. This study occurred over a five-month period, during which I collected aboveground biomass and other growth indicator data from February to April 2009. I found that the clipping and combined treatments reduced aboveground biomass, but not inflorescence production, while trampling neither inhibited nor promoted growth. The trampling response may have been indicative of trampling-tolerance by B. diandrus and B. hordeaceus; along with the neutral reproduction response, these traits potentially aid in their dominance over perennials in California grasslands.</t>
  </si>
  <si>
    <t>McGarveyJ_2009-page1.pdf</t>
  </si>
  <si>
    <t>Eric Mertesdorf</t>
  </si>
  <si>
    <t>The Ovicidal and Larvicidal Capabilities of Recent Reduced Risk Insecticides on Codling Moth Cydia pomonella</t>
  </si>
  <si>
    <t>I propose an analysis of two insecticides, Chlorantraniliprole and Methoxyfenozide on a major agricultural pest, Codling Moth, Cydia pomonella. Crop losses are derived from consumer expectancy of impeccable crops placing severe pressure upon farmers. Today the consumers expect perfect crops, including apples, resulting in severe financial losses for farmers. The continued application of insecticides including organophosphates has led to increased resistance and severe impacts upon non-target species. Reduced-risk insecticides limit impacts upon non-target species and the environment. Two more recent reduced-risk insecticides Chlorantraniliprole and Methoxyfenozide are promising ovicides (egg killers) or larvicides (larvae killers). I examined the application of each by dipping or spraying, prior to or after oviposition (egg deposition), with or without surfactants. After I dipped or sprayed each insecticide prior to or after oviposition, with or without surfactants, upon each individual apple, I then studied, analyzed and determined if efficacy of each improved. I discovered that both Chlorantraniliprole and Methoxyfenozide mortality rates averaged 50% or greater. I found Chlorantraniliprole was most effective when I dipped it prior to oviposition. Methoxyfenozide was most effective when I dipped or sprayed it after oviposition. Both insecticides targeted Codling Moth before damage occurred.</t>
  </si>
  <si>
    <t>MertesdorfE_2009-page1.pdf</t>
  </si>
  <si>
    <t>Barbara Novero</t>
  </si>
  <si>
    <t>Domestic Dogs as an Indicator of Tick Density and Diversity in a Semi-rural Area of Northern California</t>
  </si>
  <si>
    <t>Dogs are popular pets all over the world because of the social, health, and companionship benefits they have to offer. Ticks, however, are a well-known pest to humans and animals alike. These parasites pose significant health risks because of the diseases that they can carry. Furthermore, there is evidence of similar causal tick species between canines and humans. If we are able to advance our knowledge on tick distributions, we may be able to improve prediction of patterns of infection and protection against future infestations. With assistance from a veterinary clinic in Danville, California, locations explored by domestic dogs carrying ticks were identified and then sampled for tick density and species diversity. Other areas, not visited by these dogs, were sampled as well for a comparison of tick density and species count. Tick count was low on both dogs and on vegetation due to use of insecticides and presence of vegetation types, respectively. Species diversity of ticks on dogs was not comparable to species diversity in the field, suggesting other target hosts, as well as other sources of infection for the dogs.</t>
  </si>
  <si>
    <t>NoveroB_2009-page1.pdf</t>
  </si>
  <si>
    <t>Ricky Pentella</t>
  </si>
  <si>
    <t>Walkability and the Built Environment: A Neighborhood- and Street-Scale Assessment of Diverse San Francisco Neighborhoods</t>
  </si>
  <si>
    <t>Physical activity can be strongly influenced by the built environment. In the early 1990s, almost three quarters of adults did not get enough physical activity to meet health recommendations (Stokols 1992). Today, physical inactivity has increasingly severe health implications. Although San Francisco was named the most ‘walkable’ city in the U.S., diverse neighborhoods within the city experience varying levels of walkability and capacity to safely, conveniently be active (Walkscore 2009). Four study sites within San Francisco, two of high socioeconomic status (SES) and two of low SES, were selected. Correlations between neighborhood- and street-scale walkability and SES were analyzed. It was expected that lower income areas would be less walkable and that correlations between SES and walkability would exist at the fine detailed street-level, but not the neighborhood-level. Whether or not neighborhood- and street-scale assessments present similar walkability measures was analyzed with the hypothesis that there would be some similarities. Neighborhood-scale attributes were subdivided into 5 categories: residential density, public transit, street connectivity, crime, and land use mix. Using GIS mapping techniques these were analyzed. Using the PEDS audit street-scale measures were subdivided into finer-detailed attributes (i.e. condition of sidewalk, perceived attractiveness, etc). The PEDS revealed a significant correlation between walkability and SES, while GIS did not. It was also found that the unique assessments did not produce similar walkability scores or “walkscores.” This highlights the need for more reliable measures of neighborhood- and street-scale walkability to approach physical inactivity.</t>
  </si>
  <si>
    <t>PentellaR_2009-page1.pdf</t>
  </si>
  <si>
    <t>Ian Quirk</t>
  </si>
  <si>
    <t>Life-Cycle Assessment and Policy Implications of Energy Efficient Lighting Technologies</t>
  </si>
  <si>
    <t>Compact fluorescent lamps (CFLs) and light emitting diodes (LEDs) produce illumination four times more efficiently than standard incandescent light bulbs during their use-phase. When the large amounts of energy needed to produce these newer technologies are included in the comparison, however, their life-cycle energy efficiencies decrease by 10-30%. The current policy framework ignores this energy used for production, so any subsidies employed to foster the adoption of energy efficient lighting will over-count the resulting CO2 emissions reductions by about 5%. Lighting constitutes 22% of US electricity demand. Therefore, a small error in this calculation could easily negate the effects of very expensive emission reduction efforts in sectors such as transportation or land use. Two previous life-cycle assessments have compared CFLs to incandescents, but this is the first study to include LEDs, estimate environmental impacts of the CFL recycling industry, and put the results within the context of global warming policy. To simulate global conditions, four locations with unique electricity mixes were modeled: China, the US average, California, and a hypothetical grid with 33% renewable energy. In all locations, the manufacturing of incandescents represented less than 1% of life-cycle carbon emissions. However, depending on the electricity mix used to power CFLs and LEDs, 10-30% of life-cycle emissions were associated with manufacturing. For all bulbs, less than 1% of energy use and CO2 emissions were due to recycling or disposal. Finally, though currently very similar in performance, LEDs are likely to significantly improve in the future, while CFLs have already reached their theoretical limit.</t>
  </si>
  <si>
    <t>QuirkI_2009-page1.pdf</t>
  </si>
  <si>
    <t>Miranda Redmond</t>
  </si>
  <si>
    <t>Recruitment and Dominance of Quercus rubra and Quercus alba in a previous Oak-Chestnut Forest from the 1980s to 2008</t>
  </si>
  <si>
    <t>The purpose of this study is to understand how the abundance of the two dominant species, Quercus rubra (northern red oak) and Quercus alba (white oak), in a previous chestnut-oak forest in the Southern Appalachians has changed since the 1980s and may change in the future. Using spatially explicit data from the early 1980s and current data from 2007-08 of individually mapped trees on two plots on Salt Pond Mountain in southwest Virginia, this study looks at how the basal area and density of all tree species has changed, with specific attention to recruitment, growth, and mortality patterns of Q. rubra and Q. alba. Since the 1980s there has been an increase in the number of shade tolerant trees, primarily Acer pensylvanicum (striped maple), and a decrease in number of shade intolerant trees and intermediate shade tolerant trees including both Q. rubra and Q. alba. A correlation analysis of A. pensylvanicum abundance, Quercus seedlings, and light availability shows a negative relationship with abundance of A. pensylvanicum and light availability in the understory as well as Quercus seedling abundance. Both Q. rubra and Q. alba have experienced stand thinning, and the previous oak-chestnut forest has transformed to an oak-maple forest and will continue to become increasingly dominated by maples and other shade tolerant species.</t>
  </si>
  <si>
    <t>RedmondM_2009-page1.pdf</t>
  </si>
  <si>
    <t>Roxana Rodriguez</t>
  </si>
  <si>
    <t>The Effects of Competition with Invasive Fouling Species on the Size and Abundance of the Native Olympia Oyster in the Elkhorn Slough</t>
  </si>
  <si>
    <t>The Olympia oyster, Ostrea lurida, the only oyster species native to western North America, may be threatened by competition for space and food with invasive fouling species. Although the intensity of competition could vary by tidal height, studies in different estuaries have found contradictory results. Therefore, an individualized study for a specific estuary is necessary to make sound oyster restoration decisions. In this study, I investigated whether resource competition with invasive fouling species limits Olympia oyster size and abundance in the Elkhorn Slough, an estuary in central California. I also examined how invasive fouler abundance and competition intensity varies with tidal height. I hypothesized that the Olympia oysters would be negatively affected by this competition and these effects would be greatest below mean lower low water, since this is where invasive fouling species would be most abundant. I employed two manipulative experiments, however, these studies yielded limited results due to a relative lack of oyster recruitment. I also conducted a mensurative experiment of the existing fouling community, which indicated that the oysters were negatively affected by interspecific competition, as oyster abundance was negatively proportional to that of invasive fouling species. Contrary to my predictions, oyster size was not affected by competition or tidal height. However, other significant tidal height effects were observed: in general, invasive species were most abundant in subtidal elevations, while oysters, though physiologically better suited for the subtidal, were most abundant at the intertidal.</t>
  </si>
  <si>
    <t>RodriguezR_2009-page1.pdf</t>
  </si>
  <si>
    <t>Nathaniel Rosenbloom</t>
  </si>
  <si>
    <t>Water Quality Assessment of a Restored Urban Stream: Measuring Success of Best Management Practices at Minimizing Impacts of Stormwater Runoff in Strawberry Creek</t>
  </si>
  <si>
    <t>Clean, fresh water is necessary to sustain life, and its importance will only increase as the global population increases and earth’s natural resources continue to be depleted. Development threatens fresh water sources as urban sprawl proliferates, as urban sprawl involves a dramatic increase in impervious surface. Impervious surfaces disconnect the precipitation that falls on a watershed during storms from the groundwater of that watershed, instead increasing peak flows and carrying pollutants directly into the stream. Parking lots are a drastic example of impervious surfaces’ affects on a stream. Best Management Practices (BMPs) are methods for reducing impervious surface, both structurally and non-structurally, and thereby reconnecting the groundwater with the precipitation that recharges it. Here one such BMP, a grassy swale that drains the effluent from a parking lot, was studied to determine if it effectively removed copper, a heavy metal representative of other toxic metals present in stormwater runoff, from entering the stream. Initially, low flow samples taken from the creek were taken to establish that stormwater runoff is the primary source of copper in the creek. Furthermore, this study determined how efficiently the swale removed copper from runoff. The results were inconclusive statistically, due to low sample sizes, but on a qualitative level, the swale was shown to be effective and efficient and such qualities were not hampered by a prolonged rainy period, as had been hypothesized. This result suggests that similar installations be made to mitigate pollutant loads from parking lots into Strawberry Creek, however additional study is needed to confirm these results.</t>
  </si>
  <si>
    <t>RosenbloomN_2009-page1.pdf</t>
  </si>
  <si>
    <t>Stephanie Schlitter</t>
  </si>
  <si>
    <t>Performance effects of Californian host plants on the Light Brown Apple Moth, Epiphyas postvittana (Walker) [Lepidoptera: Tortricidae]</t>
  </si>
  <si>
    <t>The light brown apple moth (LBAM) of Australia is a recent invasive pest to California. Little is known about the ecology of the LBAM in California. Since the moth is a generalist herbivore known to feed on a remarkably long list of plant species, LBAM will likely feed on novel host plants, including symbolic native species of coastal California. The purpose of this study was to compare the effects of several potential host plant species available in the Bay Area on the fitness of the light brown apple moth. Two experimental lab studies were conducted to assess both direct and indirect effects of locally available plant hosts on LBAM fitness. Results indicate that LBAM fitness is adversely impacted by a diet of the California native plants tested, but positive fitness effects of the plant host that is an invasive species slightly surpassed the known host, a cultivated species. Adult moths did not prefer the crop plant or the invasive plant host for oviposition, which could reflect their similar, positive effects on larval fitness. The native host plants tested most likely serve as inferior host plants when compared to crops and herbaceous weeds, yet there likely are significant differences in fitness effects among native plant species and some could still be capable of supporting populations. Furthermore, since there is a multitude of untested novel plant species that could also serve as hosts, it is possible that LBAM populations could grow even if excluded from agricultural zones.</t>
  </si>
  <si>
    <t>Schlitter_2009-page1.pdf</t>
  </si>
  <si>
    <t>Stephanie Skophammer</t>
  </si>
  <si>
    <t>The Population Dynamics and Migration Patterns of Alpine Butterfly Colias behrii</t>
  </si>
  <si>
    <t>Climate change has affected numerous ecosystems by modifying the phenology of plants and animals. Insect distribution is exceptionally sensitive to temperature change because many insect life cycles are dependent on established seasonal temperatures and water availability. Alpine butterfly populations are at a particular risk because their life cycles are regulated by a short seasonal growth cycle that is dependent on snow melt and involves the formation of diffuse metapopulations. Examining migration between butterfly populations illustrates their dynamic population structure in a topographically complex habitat that is sensitive to change. Migration is often dependent on climate, population size, and natural barriers and I aim to determine which barriers will limit migration in this study area. I hypothesize that butterfly dispersal varies randomly across all sites despite population size, topographic, vegetative, or constructed barriers. My alternative hypothesis is that dispersal is reduced between those sites with small population sizes and geographic barriers such as roads and ridges. I used a mark-recapture study to estimate population parameters and dispersal of Colias behrii, a butterfly endemic to the Sierra Nevada mountains of California. The insects were marked so that they were successfully identified to number and site location in subsequent recaptures. No migration was observed among the C. behrii populations. Butterfly dispersal is likely limited by intrinsic species differences and varies widely with habitat and seasonal variation.</t>
  </si>
  <si>
    <t>SkophammerS_2009-page1.pdf</t>
  </si>
  <si>
    <t>Gregory Tseng</t>
  </si>
  <si>
    <t>Sediment salinity distribution along the tidal channel networks of a restored salt pond in the San Francisco Bay-Delta Estuary system</t>
  </si>
  <si>
    <t>As part of the South Bay Salt Pond Restoration Project, the levees of certain salt ponds in the Don Edwards San Francisco Bay Wildlife Refuge were breached in March 2006. Tidal inundation has deposited considerable amounts of sediment on the surface of the salt ponds over the past few years. Since tidal channels are the main conduits by which sediments enter and leave the pond and because sediment salinity is a basic indicator of favorable conditions for vegetation recruitment, I conducted a study of the tidal channels in Pond A21, investigating sediment salinity with respect to distance to nearest levee breach and along the assumed tidal channel flow path. However, I found no significant relationship between distance from the bay and sediment salinity within the sampled tidal channels. I attribute this to insufficient data and a parallel-to-channel sampling design. To improve this study, a perpendicular-to-channel sampling methodology may yield better results. Even though sediment salinity may be highly variable temporally and spatially, investigating sediment salinity distribution development is one step to understanding sediment dynamics and vegetation recruitment, and will help improve future restoration efforts.</t>
  </si>
  <si>
    <t>TsengG_2009-page1.pdf</t>
  </si>
  <si>
    <t>Kesaaraa Wijeyewickrema</t>
  </si>
  <si>
    <t>Examining the Effects of Herbivory on Aboveground Growth and Induced Defenses in Eucalyptus globulus</t>
  </si>
  <si>
    <t>Eucalyptus globulus is an invasive species found in California. The reasons for invasive spread are complex and interrelated. However, as E.globulus escaped natural enemies for the first 150 years following its introduction to California, escape from natural enemies may have played a significant role in its expansion. To examine the extent of the role of enemy release in the spread of E.globulus this study looks at the effect of herbivory on growth and examines a possible resource trade-off between growth and defense due to the cost of producing defensive compounds. A field experiment was conducted in Pinole, California using enemy exclosures to determine above ground differences in growth of protected and unprotected seedlings, and to examine differences in concentration of terpenes between protected and unprotected seedlings as evidence for induced defenses. Leaf samples were collected at the end of the field experiment and were examined using Gas Chromatography- Mass Spectrometry (GC-MS). The study found that protected seedlings were able to grow greater than unprotected seedlings suggesting that E.globulus underwent regulatory release from enemies when first introduced to California. Induced defenses were also demonstrated, indicating that E.globulus may have benefited from low investment in defense when first introduced.</t>
  </si>
  <si>
    <t>Wijeyewickrema_2009-page1.pdf</t>
  </si>
  <si>
    <t>https://www.ocf.berkeley.edu/~pkmendez/envsci/projects/2009final/</t>
  </si>
  <si>
    <t>Rachel Abramson</t>
  </si>
  <si>
    <t>Plastic Recycling Awareness among Students at UC Berkeley</t>
  </si>
  <si>
    <t>Plastics are the fastest growing portion of municipal solid waste. Out of the 22.4 million tons of plastic produced in 1999, only about 5.6% were reused. Plastic packaging purchases by the individual consumer have increased four times faster than plastic recycling by the consumer. Using recycled plastic to manufacture new plastic products can reduce the energy needed for production by about 80%. In order to increase plastic recycling, current environmental attitudes and recycling awareness must be considered as obstacles. This study analyzed the differences in awareness of plastic recycling between students living in residence halls and students in cooperative housing at UC Berkeley, with the hypothesis that students who live in cooperative housing have a higher awareness than students living in residence halls. Awareness was further subdivided into five categories: plastic recycling in Berkeley, plastic recycling codes, energy savings, water use, and recent public policy. This study found that students living in cooperative housing had a higher overall awareness. However, the two populations had a similarly low level of awareness for each of the five subcategories. This highlights the need for a better educational campaign in regards to plastic recycling.</t>
  </si>
  <si>
    <t>Abramson_2008-page1.pdf</t>
  </si>
  <si>
    <t>Tsering Alleyne</t>
  </si>
  <si>
    <t>Social Conflict Between Mountain bikers and Other Trail Users in the East Bay</t>
  </si>
  <si>
    <t>Since mountain bikers have become one of the dominant groups of public land users in the last 25 years, many new challenges and concerns have arisen. Previous research suggests that the social compatibility of this new user group with the existing pedestrian and equestrian groups is of largest concern. The nature of the issues that exist between the user groups generally are of interpersonal conflict, dealing with the relations and social exchanges between users based on their activities. To best understand the nature of the conflicts and to come up with policy solutions the user groups can adhere to, I identified my study groups as the three activity participant groups; pedestrians, equestrians, and mountain bikers. Through a four question open-ended interview, I have collected opinions from each user group regarding what they perceive as the problem and how it might be resolved. The objective of this research is to use the perceptions of each user group to recommend policy to accommodate social compatibility between the groups. This ultimately is hoped to reduce interpersonal conflict, increase safety for all users, and reduce environmental impact by accommodating user groups specific trail needs. I found that individual users tend not to have strong opinions, but are mainly concerned with personal safety and disruption by other users. Most solutions were concerned with separating user groups. This may be an area for further study to determine the effectiveness of such a solution.</t>
  </si>
  <si>
    <t>Alleyne_2008-page1.pdf</t>
  </si>
  <si>
    <t>Rachel Brown</t>
  </si>
  <si>
    <t>Tests of Water and Oil-Based Anionic Polyacrylamide Toxicity in Sediment Control Applications</t>
  </si>
  <si>
    <t>Anionic polyacrylamide (PAM) is effective at reducing sediment movement by flocculating particles together, which is important in maintaining water quality and erosion control. There are different formulations of PAM, including water and oil-based PAM. This study aimed to determine if the base composition of PAM affected water toxicity, sediment toxicity, and the amount of sediment in irrigation runoff. Sediment and runoff samples were collected from agricultural research plots treated with water and oil-based PAMs. Samples were analyzed using the survival rates of the test organisms Hyalella azteca and Ceriodaphnia dubia, along with the weights of suspended solids. Both water and oil-based PAMs increased the species mortality in water and sediment toxicity assays. All three PAMs were effective at decreasing the weight of sediment in runoff. Based on this study, there is not a correlation between PAM base composition and sediment or water toxicity because water and oil-bases decrease organism survival rates. Regardless of base, PAM greatly decreases the amount of sediment and ’murkiness’ in the irrigation runoff. PAM is effective at reducing sediment load and controlling soil movement, however there is uncertainty regarding water and sediment toxicity.</t>
  </si>
  <si>
    <t>Brown_2008-page1.pdf</t>
  </si>
  <si>
    <t>Allison Castrejon</t>
  </si>
  <si>
    <t>Bringing Awareness to Potential Social Determinants and Recycling Rates within the Berkeley Unified School District</t>
  </si>
  <si>
    <t>The California Integrated Waste Management Act of 1989 lead to the development of the California Integrated Waste Management Board (CIWMB), which state mandated the cities and counties of California to meet a 50% reduction quota for their solid waste diverted to landfills. Measure D lead to the development of the Source Reduction and Recycling Board which set a goal of achieving 75% solid waste diverted from landfills for the Alameda County. Schools are a natural partner in the landfill diversion process. By weighing and recording weekly recyclable material and solid waste, this paper seeks to determine if the location of a public school, its population demographics and the schools Academic Performance Index (API) testing scores affect recycling rates among elementary schools in the Berkeley Unified School District. Defying my hypothesises, Rosa Parks had the highest diversion rate despite location, high proportion of minorities and low-income students and low API score. Rosa Parks demonstrates the importance of making recycling a priority in schools.</t>
  </si>
  <si>
    <t>Castrejon_2008-page1.pdf</t>
  </si>
  <si>
    <t>Lillian Chan</t>
  </si>
  <si>
    <t>An efficiency comparison between the BioGeomancer Workbench and manual methods in georeferencing natural history communities.</t>
  </si>
  <si>
    <t>Worldwide natural history collections are a major source of spatial data associated with the time and place of specimen collection. Among many challenges hindering data use is the time consuming nature of geospatially processing specimen records (georeferencing). The goal of the BioGeomancer (BG) Workbench is to increase the quantity and quality of georeferenced specimen data by partially automating the process to reduce associated time. To quantify the efficiency of this automated tool, researchers from various U.S. natural history collections were asked to georeference two sets of location data using BioGeomancer and manual methods. Their results were timed and indicate a significant difference (df=293, p,&lt;0.001) between BG times and manual times, distributed across all locality types. In addition, data shows that previous experience with manual methods results in significant variation in survey times (p=0.0384), though more experience does not necessarily correlate with more efficiency. Participants in the lower levels of experience performed faster than participants in the highest level. Even though BG was able to improve georeferencing rates, there is still need for continued work on the application in order to improve usability and processing speeds. Further Workbench development may result in greater time savings, permitting institutions previously hindered by time constraints to georeference their collections. This would allow the integration of all collection data worldwide into an online biodiversity library, freely accessible to researchers from a variety of disciplines.</t>
  </si>
  <si>
    <t>Chan_2008-page1.pdf</t>
  </si>
  <si>
    <t>Stephanie Chen</t>
  </si>
  <si>
    <t>Wetland plant species composition as an indicator of California black rail (Laterallus jamaicensis coturniculus) presence in the Sierra Foothills</t>
  </si>
  <si>
    <t>The rate of global wetland loss is concerning as these habitats provide important ecosystem functions and habitat for flora and fauna. Further understanding of plant communities that comprise palustrine emergent wetlands is important for habitat management and conservation for wetland birds, especially since the discovery of state threatened California black rail (Laterallus jamaicensis coturniculus) in these wetlands near Marysville, California. No comprehensive vegetation survey of the wetlands black rails occupy has been conducted and a more detailed survey of plant species composition is likely to improve the ability to characterize habitat quality for black rails. This study aims to: 1) identify the plants of emergent wetlands in the Sierra foothills 2) determine whether plant communities differ between wetlands of different geomorphology, elevation, slope, water source and between wetlands that are grazed versus ungrazed and 3) determine whether U.S. Fish and Wildlife wetland indicator categories can be used to predict black rail presence. Contrary to our predictions, wetland plants were not homogeneous within groups with the same abiotic variables. However, plant composition did show a trend along an elevation gradient. Multivariate analysis of black rail occupancy and proportion of wetland plant indicator categories revealed no positive correlation between the two. While no significant trends were found other than elevation, only 32% of variance in the data is explained by the environmental variables looked at in this study and further examination of other factors that drive habitat quality such as soil characteristics should be explored. While wetland indicator categories do not provide a predictor for black rail occupancy, telemetry studies can provide a more detailed look at what plant communities are utilized by black rails in the Sierra Foothills.</t>
  </si>
  <si>
    <t>Chen_2008-page1.pdf</t>
  </si>
  <si>
    <t>May Cooc</t>
  </si>
  <si>
    <t>Choosing an Alternative Water Intake Site for Solano County</t>
  </si>
  <si>
    <t>Solano County Water Agency, located in Northern California, pumps a majority of its water supply from the Sacramento and San Joaquin Delta. In recent years, the pumping head at Barker Slough has experienced poor water quality, detecting high concentrations of turbidity, dissolved organic and total organic carbon. In 2001, an alternative water intake cost-study began research to change the water intake site from Barker Slough to a location that contains lower contaminant concentrations. This study compared water quality data from 2001 to 2004 from proposed alternative intake sites (AIS), where water of improved quality could be pumped, against the Barker Slough. More recent water quality data are needed. The Department of Water Resources Hood station, located within 5 miles of the proposed intake sites, has been collecting water quality data continuously from the early 1990's to the present. This research will also ask whether the Hood data is a good surrogate for the alternative intake sites. From the start, two sites were eliminated from the study because neither improved water quality goal. In the comparison of the alternative intake sites with Hood, most of the parameters show a good comparison. For some of constituents, Hood is not a good predictor of AIS. The findings show there are alternative sites with better water quality, and the use of Hood as a surrogate will depend of the decision of the water agency.</t>
  </si>
  <si>
    <t>Cooc_2008-page1.pdf</t>
  </si>
  <si>
    <t>Amber Dalke</t>
  </si>
  <si>
    <t>The Relationship between Trifolium spp. Abundance and Environmental Variables in East Bay Grasslands</t>
  </si>
  <si>
    <t>California grasslands are complex, unique ecosystems comprised of many species of native and nonnative vegetation. One group of species widely used for range improvement is the Trifolium (wild clover) genus. However, Trifolium are among the more understudied vegetation types. Trifoliums are important to grassland ecosystems because they replenish deficient nitrogen in N-limited ecosystems and serve as forage when food is scarce. Therefore, understanding clover abundance in relation with environmental variables is important in the management of California’s vulnerable grasslands. To examine these relationships an observational study was conducted in 63 plots within seven parks of the East Bay Regional Park District over three years (2005-2007). Variables tested relating to Trifolium abundance included geographical variables (slope, aspect, elevation, and heat load) and soil composition (total N, total C, P, X-Ca, sand, silt, clay, and pH). Of the Trifolium found, the majority came from a single nonnative species, T. hirtum. With the use of linear regressions, this study found Trifolium spp. abundance positively related to slope (xR2=0.22, xp=0.01) and elevation (xR2=0.25, xp=0.02) throughout the three-year time frame. Other relationships were observed including a positive relationship to silt (R2=0.20, p=&lt;0.01) in 2005, a negative relationship to pH (R2=0.10, p=0.05) in 2005, and negative relationships to total N (xR2=0.15, xp=0.04) and total C (xR2=0.57, xp=0.06) in 2006 and 2007. This research provides an important description of variables that may influence the abundance and distribution of Trifolium spp. in the East Bay.</t>
  </si>
  <si>
    <t>Dalke_2008-page1.pdf</t>
  </si>
  <si>
    <t>Laura Davis</t>
  </si>
  <si>
    <t>Correlation between Salinity, Density, and Growth Rates of Pacific Cordgrass in the Western Stege Marsh, Richmond, California</t>
  </si>
  <si>
    <t>Tidal marshes throughout the world are being depleted at an alarming rate, and especially in California. In California, and more specifically the San Francisco Bay Area, a history of diking, filling, and conversion of marsh to salt evaporation ponds has eradicated 85% of the original tidal salt marsh in San Francisco Bay. Restoration efforts are underway to help remediate these precious ecosystems. This study monitors the growth rate of Pacific cordgrass, Spartina foliosa and the correlation between the growth, density of the plant and the salinity of the surrounding soil. The cordgrass was found to grow at a higher rate where the density of the plant was the highest and it was found to grow at a higher rate at lower elevations where the salinity levels were lowest. This is important information for remediation work in order to restore the favored habitat of the endangered California Clapper Rail, Rallus longirostris obsoletus which uses the cordgrass dominated wetlands as its main habitat. As a result of the rail’s habitat loss over the past few decades, numbers of the rails have declined significantly.</t>
  </si>
  <si>
    <t>Davis_2008-page1.pdf</t>
  </si>
  <si>
    <t>Doris Do</t>
  </si>
  <si>
    <t>The Effects of Temperature and Precipitation on Carbon Dioxide Flux from California Grassland Soil</t>
  </si>
  <si>
    <t>Atmospheric carbon dioxide (CO2) is a major green house gas contributing to global climate change.  The terrestrial CO2 sink has great potential for carbon sequestration because it is about three times larger than the atmospheric carbon pool.  CO2 is released from soil by root respiration, breakdown of organic matter by organisms, and microbial respiration, which are grouped as belowground respiration.  Using mesocosms containing a common California grass species Avena barbata, the study was able to examine how higher temperature and increased precipitation influence belowground CO2 emissions using a full factorial design.  I hypothesized that with elevated temperature and higher precipitation there will be an increase in CO2 emissions from soil.  The data was analyzed using a repeated measures ANOVA statistical test and found no significance between treatment groups throughout the duration of the experiment.  The results imply that in the event of global climate change, precipitation and temperature variation will not have a significant effect on belowground soil respiration rates from Mediterranean climates.  Therefore, possible feedback cycles contributing to global climate change would not be a point of concern.  However, because the findings of this study contradict many existing studies, the debate over which environmental variables control belowground soil respiration most is still an issue.  Therefore, more studies are necessary to effectively create models to predict ecosystem response to climate change.</t>
  </si>
  <si>
    <t>Do_2008-page1.pdf</t>
  </si>
  <si>
    <t>Elizabeth Jean Dow</t>
  </si>
  <si>
    <t>The Effect of Land Use/Land Cover on Mangrove Forest in the Northeastern Panama Canal Region</t>
  </si>
  <si>
    <t>This study examines how nine anthropocentric Land Use/Land Cover (LULC) types in the Northeastern Panama Canal Region are impacting mangrove forests. Mangroves are ecologic and economic resources that provide protection and livelihood to biological organisms and human populations living in areas where they are present. Despite this importance, mangrove forests in Panama are threatened by land development along the canal. Using satellite imagery, area changes of LULCs from 1996 to 2008 were determined using Definiens Professional object based segmentation and classification software. The rate of mangrove forest area decline was shown to increase threefold from the years before the U.S. Military withdrawal (1996-2000), to the years of Panamanian government control (2000-2008). This rate increased year on year from 1996-2006, but not from 2006-2008. A Pearson correlation coefficient analysis determined that port development and storage yard area increases had the strongest correlation to mangrove forest area decline. These results suggest that the ecological impacts of development, especially port development and storage yard types should be closely monitored to ensure that development decisions do not compromise the ecological integrity of the area.</t>
  </si>
  <si>
    <t>Dow_2008-page1.pdf</t>
  </si>
  <si>
    <t>Annie Downs</t>
  </si>
  <si>
    <t>Survey for Chytridiomycosis in Terrestrial Salamanders of the San Francisco Bay Area</t>
  </si>
  <si>
    <t>Chytridiomycosis is a fungal infection thought to be the cause of amphibian die-offs world wide. Though previously studied almost exclusively in aquatic frog populations, recent findings have provided evidence that chytrid is also present in terrestrial salamander populations including Batrachoseps attenuatus individuals in the East Bay (S. Weinstein, pers.comm.). Little is known about chytrid dynamics on land. This study seeks to strengthen the knowledge base of chytrid as a terrestrial disease by identifying new species harboring the fungus, comparing salamander age with chytrid intensity, and determining whether there is a correlation between dominant vegetation type and chytrid presence and intensity. Specifically, this study investigates whether there are other terrestrial salamander species that act as reservoirs for Batrachochytrium dendrobatidis, allowing the fungus to pass to Batrachoseps attenuatus late in the season. Three hundred seventy seven terrestrial salamanders in ten East Bay Regional parks were sampled in this study. Four species were represented. Surveys spanned from late December to early April. Chytrid was not detected in any individuals. It is unlikely that other local terrestrial salamander species act as a vector or reservoir for the fungus. Since parallel studies have detected chytrid in Batrachoseps attenuatus (S. Weinstein, pers. comm.), it is essential to continue to regularly monitor terrestrial populations in order to establish more accurate prediction and management strategies for the disease.</t>
  </si>
  <si>
    <t>Downs_2008-page1.pdf</t>
  </si>
  <si>
    <t>Sacha Ferguson</t>
  </si>
  <si>
    <t>Determinants of Travel and Schistosomiasis Prevalence in Sichuan. China</t>
  </si>
  <si>
    <t>This project aims to characterize travel in villages exhibiting a re-emergence of the parasitic disease schistosomiasis in Sichuan Province, China and investigate the relationship between travel among these villages and schistosomiasis prevalence. The relationships between characteristics of travel, such as time, cost and frequency of trips, were investigated in five villages in Sichuan using a social survey designed to evaluate travel patterns. The survey data were used to explore determinants and patterns of travel in the study region. Relationships were found between several characteristics of reported travel, as well as whether people travel, their destination, frequency of travel and activities of travel associated with schistosomiasis transmission. In order to characterize the relationship between schistosomiasis prevalence and social connectivity between villages, the data from the social survey was used to create a metric of social connectivity to quantify travel between the five villages. A preliminary metric entered into a regression analysis revealed no statistically significant relationship with village prevalence.</t>
  </si>
  <si>
    <t>Ferguson_2008-page1.pdf</t>
  </si>
  <si>
    <t>Jennifer Wai Yee Fung</t>
  </si>
  <si>
    <t>Cooking and Gardening Classes in Fifth Grade Classrooms and their Effect on Food Choice, Preference, and Recognition</t>
  </si>
  <si>
    <t>Elementary schools in the Berkeley Unified School District (BUSD) that have 50% or more of their students qualified for free or reduced lunch are eligible to receive funding from the Network for a Healthy California (Network). Funding from the Network is used to hire cooking and gardening teachers for the schools. Teachers provide a nutrition-based curriculum that is aimed towards educating children about nutrition as well as encouraging healthier eating habits. Both cooking and gardening classes are taught twice a month to students. The purpose of this study is to evaluate a combination cooking and gardening program (funded by the Network) by asking: Do cooking and gardening classes in schools increase student’s chosen variety, recognition, and preference of fruits and vegetables? This study found that the number of different fruits and vegetables chosen at lunch by Network students (1.85 ± 0.73, n=71) was significantly higher than the number of different fruits and vegetables chosen by non-Network students (1.36 ± 0.78, n=67) (p=0.001). This study also found that students participating in cooking and gardening activities recognized a wider variety of fruits and vegetables, including: asparagus, broccoli, butternut squash, and persimmons. Furthermore, these students indicated a greater preference to carrots, kiwis, mandarins, persimmons, and tomatoes more than their non-participating peers. To our knowledge this is the first evaluation of a combination cooking and gardening program.</t>
  </si>
  <si>
    <t>Fung_2008-page1.pdf</t>
  </si>
  <si>
    <t>Courtney Glettner</t>
  </si>
  <si>
    <t>Energy use in the transport of food: Comparing local and conventional food systems in Berkeley, CA</t>
  </si>
  <si>
    <t>Increased global trade and the industrialization of agriculture has resulted in the globalization of the food supply. Although modern food production methods and the creation of a global food system have increased supply and decreased prices of food in many parts of the world, recently a wide range of people, from scientists to consumers, have begun to re-evaluate this new system. Concerns over food contamination and a lack of traceability, global warming, and suffering rural economies have sparked interest in the local food movement. Stated benefits of local food systems span social, economic, and environmental disciplines, and include a reduction in energy use for transportation of food. The relationship between reduction in transportation distance and reduction in energy usage has been questioned, especially when considering the loading capacity used in conventional distribution. This study researched energy usage in the transportation of produce in local and conventional food systems in Berkeley, CA through the collection of transportation data on various produce items through direct interviews. The energy used in transportation from place of production to place of purchase (per kilogram of food) was calculated for 10 different food items bought at farmers markets and conventional supermarkets. Although no statistically significant difference was found between the two food systems, important factors that resulted in higher energy use per kilogram of food were identified, including vehicle load and distance.</t>
  </si>
  <si>
    <t>Glettner_2008-page1.pdf</t>
  </si>
  <si>
    <t>Evan Green</t>
  </si>
  <si>
    <t>Urban Farming: Lead Problems and Remediation Solutions</t>
  </si>
  <si>
    <t>The increasing popularity of urban agriculture as a method of localizing food systems has created a mounting need to address soil pollution in urban farms. Lead is an especially pervasive pollutant in urban soils with a number of detrimental health effects. Phytoremediation, the use of plants to extract or degrade pollutants, has shown promise for cleaning up lead-contaminated soils, yet its potential for urban farms has not been evaluated. A meta-analysis of the literature was conducted to determine what dangers lead presents to those involved in urban farms, what food crops should not be grown when lead is present, and how a phytoremediation project designed to remove lead should be conducted. This analysis was then applied to the case study of Alemany Farm in San Francisco, CA, a farm with known lead concentrations between 60 and 720 ppm. It was found that all food crops besides tree fruits may pose a threat to human health if grown in Alemany Farm soils. A reasonable plan for phytoremediation of lead utilizing Indian mustard (Brassica juncea (L.) Czern) was found to exceed the budget available to Alemany Farm, with the time scale of the project also making it unfeasible. From the results of this study, it appears that phytoremediation will generally not be feasible for small-scale urban farms, and that other steps should be taken to reduce the threat of lead for urban farmers.</t>
  </si>
  <si>
    <t>Green_2008-page1.pdf</t>
  </si>
  <si>
    <t>Mark Looman</t>
  </si>
  <si>
    <t>The Effect of Human Advertising on the Composting Rate at UC-Berkeley Restaurants</t>
  </si>
  <si>
    <t>Two restaurants on the UC-Berkeley campus with a composting program were studied to measure the effects of poster vs. human advertising. At both restaurants, informational posters about composting were in place, but at one restaurant, a volunteer also informed customers about composting. Surveys were conducted at the same time to record the consumer demographics data and their knowledge of composting and behavior. Human advertising was not found to be more effective at getting people to compost than the informational posters. The study found that frequency of attendance at a restaurant was correlated with how likely one was to compost, but this relationship was positive at one restaurant and negative at the other. At one restaurant, students in environmental majors and older consumers were also more likely to compost.</t>
  </si>
  <si>
    <t>Looman_2008-page1.pdf</t>
  </si>
  <si>
    <t>Kristen Milliken</t>
  </si>
  <si>
    <t>Examination of the relationship between fuel loads and forest characteristics in the northern Sierra Nevada mixed conifer</t>
  </si>
  <si>
    <t>In the past 100 years, the Sierra Nevada mixed conifer ecosystem has changed substantially due to fire suppression, logging, and cattle grazing (Belsky and Blumenthal, 1997; Mckelvey, 1996). One of the most important changes is the accumulation of fuel. This study focuses on the relationship between surface fuel loads and the forest characteristics of species composition/abundance and slope and aspect. In order to understanding the relationship between fuel loads and species composition/abundance and slope and aspect, predictive equations for all surface fuel types(duff, litter, 1-hour, 10-hour, 100-hour and 1000-hour fuels) were made. The components of the equations were varied across the fuel classifications as were their significance levels. The models did show a relationship between fuel loads and the aforementioned environmental characteristics; however the relationships are complex and most likely indirect. Although my results are interesting and in many cases, significant, more research would need to be done to understand the relationships and to make more accurate predictive equations and thus conclusions about these relationships.</t>
  </si>
  <si>
    <t>Milliken_2008-page1.pdf</t>
  </si>
  <si>
    <t>Katerina Morici</t>
  </si>
  <si>
    <t>Mortality in the urban forest: a comparative analysis of tree survival in West Oakland with respect to planting entity</t>
  </si>
  <si>
    <t>Urban forestry is the practice of managing trees in urbanized landscapes for the benefit of the surrounding human population. Trees are an essential component of urban areas all over the world. The economic, environmental, social, and psychological advantages of establishing and maintaining healthy urban trees are well established. However, due to the difficulty of gathering long-term data in the heterogeneous urban landscape, little is known about the processes which regulate tree planting success. This study is a comparison of mortality between two different planting agencies: the City of Oakland and Urban Releaf, a nonprofit community-based organization, to determine if trees planted by a community organization had a greater survival rate. Two tree inventories with a one-year time lapse were completed of 1108 trees in West Oakland. The results were inconclusive regarding the role that planting entity plays in tree mortality due to inherent variation in study site, tree species, and size class. Trees with smaller diameters were found to display significantly higher mortality. Variation due to species and land use was also established as a source of significantly different mortality rates. Understanding the principal factors in tree mortality may help forest managers determine how to efficiently allocate funds to maintain a healthy and viable urban forest.</t>
  </si>
  <si>
    <t>Morici_2008-page1.pdf</t>
  </si>
  <si>
    <t>Anne Murray</t>
  </si>
  <si>
    <t>Feeding preference of the Oak moth (Phargandia californica) and the possibility of tannin sequestration on a diet of Costal Live Oak (Quercus agrifolia)</t>
  </si>
  <si>
    <t>The chemical ecology of the Oak moth’s (Phargandia californica) (Lepidoptera: Notodontidae) relationship with its host plant the Coast Live Oak (Quercus agrifolia) has not been well studied. The Coast Live Oak contains the secondary plant metabolite tannins in its leaves. This study will determine if the presence of tannins in Q.agrifolia act as feeding stimulants to the larvae of P.californica. This study will also investigate if P. californica larvae sequester phenols and condensed from their diet of Coast Live Oak leaves. A four feeding choice experiment based on a tannin extract and two chemical analyses testing for total phenolics and condensed tannins were conducted. The results of the bioassay showed that tannins were not necessary to stimulate P. californica to feed. The results of that phenolic assay showed that the larval stage contained a suggestively significant amount of phenols compared to the other life stages, while the condensed tannins assay showed no significant variation between the life stages. This study confirmed the presence of phenols and condensed tannins in the tissue of P. californica. Further investigation is needed to fully understand the role that phenolics and condensed tannins play in the life cycle of P. californica.</t>
  </si>
  <si>
    <t>Murray_2008-page1.pdf</t>
  </si>
  <si>
    <t>Ky Ngo</t>
  </si>
  <si>
    <t>The Influence of Environmental Claims on Consumers' Willingness to Purchase</t>
  </si>
  <si>
    <t>Marketing environmental friendly products can be educational and create consumer awareness if it is done with accuracy, truthfulness, and legitimacy. However consumers have become increasingly skeptical of “green” marketing schemes such as when environmental claims are advertised on products that are in fact harmful to the environment. General environmental claims have been most scrutinized as being manipulative while specific environmental claims have been studied to be more trusted by consumers. This two-part study investigated the relationships between types of environmental claims, consumers’ willingness to pay a 10% premium for green stationary products and different consumer types (non-green, light green and dark green). Interviews showed that the majority of participants preferred a product labeling design combining specific environmental details and a numerical rating system when purchasing products on a website. Surveys reveal that the type of environmental claim generally did not influence consumers’ willingness to pay more for all consumer types. Using results and comments from the study, it was recommended that general claims be avoided in online and in-store product labeling. Online rating systems for individual companies must be simple and transparent in order to gain consumers’ trust and understanding. This study adds to the literature of green consumer behavior and consumer skepticism of green marketing.</t>
  </si>
  <si>
    <t>Ngo_2008-page1.pdf</t>
  </si>
  <si>
    <t>Colleen Oinuma</t>
  </si>
  <si>
    <t>Octopus mercatoris Response Behavior to Novel Objects in a Laboratory Setting: Evidence of Play and Tool Use Behavior?</t>
  </si>
  <si>
    <t>Tool use and play behavior are considered expressions of advanced cognitive abilities usually reserved for and extensively studied in vertebrates such as birds and primates. Advanced cognitive abilities are less well studied in invertebrates and are limited to a few model organisms such as the jumping spider, mantis shrimp, and octopus. In this study I investigate play and tool use behavior in Octopus mercatoris, a small pygmy species of octopus, that is relatively unknown in the scientific literature. When introduced to a novel stimulus, I hypothesized that O. mercatoris would respond to the unfamiliar objects and that these responses could be classified into play or tool use behavior. The two experiments conducted introduced Lego® blocks to the octopuses’ environments and found that the octopuses did respond to the foreign objects but not in a manner that was suggestive of play behavior. After a few days of habituating to a novel Lego® block, one octopus showed a clear tendency to use the Lego® as a tool for a short duration. The preliminary findings of my research suggest that, due to their small size, short life expectancy, and propensity towards tool use, O. mercatoris has great potential as a model laboratory organism to study the diversity and evolution of advanced cognitive abilities in invertebrates.</t>
  </si>
  <si>
    <t>Oinuma_2008-page1.pdf</t>
  </si>
  <si>
    <t>Bryan Olney</t>
  </si>
  <si>
    <t>Seed Preferences of the Giant Kangaroo Rat (Dipodomys ingens) in Grasslands of the Carrizo Plain, California</t>
  </si>
  <si>
    <t>Invasive grasses and endangered species are two major problems facing California’s grasslands. This study examined seed foraging preferences of the giant kangaroo rat (D. ingens), one endangered species whose diet includes both native and non-native species. Two foraging experiments were conducted in the summer of 2007 on the Carrizo Plain National Monument to a) determine if giant kangaroo rats prefer to harvest non-native seeds and b) how nutritional preferences change as they forage further from their burrows. Seed removal experiments were created using 10 local non-native and native grasses and forbs to understand how giant kangaroo rats select from different seed species. There was no significant difference between native and non-native seeds harvested (X² = 0.89, df = 1, p = 0.35), but strong preferences for non-native E. cicutarium and native L. californica and L. nitidium were found. However, other species did not show strong preferences and questions about how seeds are selected still remain. Oats and lentils were also used to determine how nutritional selectivity changes with foraging distance from burrow. A significant difference in nutritional preference for oats was found as kangaroo rats foraged further from their burrows (z = 73, p = 0.02, n = 24). In summary, giant kangaroo rats showed selective foraging of one non-native grass, but not greater foraging of native seeds overall. They also showed changing nutritional preferences as they harvested seeds further from their burrow. Understanding the effects giant kangaroo rats have on this ecosystem through granivory may have important implications concerning California’s grassland ecosystems as well as future management of non-native grasses.</t>
  </si>
  <si>
    <t>Olney_2008-page1.pdf</t>
  </si>
  <si>
    <t>Aaron Philips</t>
  </si>
  <si>
    <t>Tree Regeneration in Single-Tree Selection Gaps in the Mixed Conifer Forests of the Sierra Nevada</t>
  </si>
  <si>
    <t>Localized loss of canopy by natural or anthropogenic forces creates canopy gaps, providing changes in environmental conditions and influencing species recruitment. While gap dynamics in Eastern deciduous forests and tropical rain forests are well studied, little is known about the effect of gaps in the Sierran mixed conifer forests. Silvicultural implementation of gaps by selective logging could be important for small land-owners by providing a method to create revenue while still maintaining a continuous canopy cover. This study looked at ~0.04 hectare gaps created by single-tree selection in two compartments at University of California Berkeley’s Blodgett Forest Research Station. Following creation of gaps, material was piled and burned to create an ash substrate in gap centres. Seedlings in the gaps and in the background of the stand were measured in one compartment a year after the harvest, and in the other compartment three years after harvest. Species, substrate, age, and location were recorded for each seedling. Gaps have higher densities of fir seedlings (Douglas-fir, Pseudotsuga menziesii, and white fir, Abies concolor) than pine (ponderosa pine, Pinus ponderosa, and sugar pine, Pinus lambertiana) or incense-cedar (Calocedrus decurrens) seedlings. Firs prefer areas with high amounts of bare mineral soil to those with high amounts of litter. There was no clear relationship between gap size and seedling density. This study shows no strong evidence that single-tree selection gaps of this size increase the regeneration of timber species in the Sierra Nevada mixed conifer forest.</t>
  </si>
  <si>
    <t>Philips_2008-page1.pdf</t>
  </si>
  <si>
    <t>Christian Placencia</t>
  </si>
  <si>
    <t>Understanding the Modern Organic Consumer in Santa Cruz, CA</t>
  </si>
  <si>
    <t>Organic produce sales have been increasing an average of 20% every year since the implementation of the USDA organic certification standard in 1990. Due to the continual increase in sales of organic produce, this study sets out to identify who the modern consumer is, but more importantly what are the motives behind the purchase. The most common motivation for purchasing organics is health, however motivation varies by demographic. Secondly, this study explored potential correlations between the proportion of organic foods purchased with income and annual salary. It was concluded that there is very little correlation between the proportion of organic foods purchased and education as well as annual salary.</t>
  </si>
  <si>
    <t>Placencia_2008-page1.pdf</t>
  </si>
  <si>
    <t>Adam Regele</t>
  </si>
  <si>
    <t>Managing Beijing’s Water Resources with Payment for Environmental Services</t>
  </si>
  <si>
    <t>In response to environmental threats to its primary water source, Beijing recently implemented new environmental management programs in the catchment of the Miyun Reservoir. Despite some success at addressing its deteriorating water quality, the Miyun remains vulnerable to excessive nutrient runoff and risks realizing the same deteriorated fate as Beijing’s previous water source, the Guanting Reservoir. The payment for environmental services (PES) model may represent a promising approach to addressing non-point source pollution in the Miyun. By aligning economic activities with environmental goals and increasing coordination between upstream and downstream communities, PES can address some of the key weaknesses in the Miyun’s current management program. Based on quantitative analysis, this paper finds that fertilizer reductions are a strong candidate for a PES scheme in the Miyun, although additional hydrological research to develop precise cost and benefit impacts is needed. China’s experience with the PES model illustrates some of its challenges, as well as providing lessons for its future application.</t>
  </si>
  <si>
    <t>Regele_2008-page1.pdf</t>
  </si>
  <si>
    <t>Dana Riley</t>
  </si>
  <si>
    <t>The Importance of Precision in Greenhouse Gas Emissions Inventories: Comparing Simple and Precise Data Collection Models</t>
  </si>
  <si>
    <t>As the connection between anthropogenic greenhouse gas (GHG) emissions and climate change becomes more widely recognized and better understood, many municipalities, businesses, non-profit organizations, and universities are voluntarily inventorying their GHG emissions in the hopes of identifying opportunities for GHG mitigation. While the GHG inventory should strive for accuracy, the data collection process should not be so rigorous that it postpones the implementation of mitigation projects or makes the inventory infeasible with limited resources. Despite the potential burdens of an overly rigorous data collection process, little research has quantified the impact of precision in data collection on the accuracy of inventory results. Thus, this study uses municipal operations data from Contra Costa County, California to compare the results derived by a precise data collection model (based on activity data obtained from multiple external organizations) with those derived by a simple model (based on internal financial records and price assumptions). The similarity of the results derived by the two models indicates that the simple model is a good predictor of the precise model, which suggests that simplifying the data collection process can save time and money without significantly compromising the accuracy of the results.</t>
  </si>
  <si>
    <t>RileyD_2008-page1.pdf</t>
  </si>
  <si>
    <t>Melissa Riley</t>
  </si>
  <si>
    <t>The Effects of Urbanization on Water Quality: A Biological Assessment of Three Bay Area Watersheds using Benthic Macroinvertebrates as Biological Indicators</t>
  </si>
  <si>
    <t>Many of the watersheds in the United States face water quality issues caused by anthropogenic sources such as pollution and urbanization.  This study seeks to evaluate biological conditions of three urban creeks in the east San Francisco Bay Area (Sausal Creek, Strawberry Creek, and Codornices Creek in Berkeley and Oakland, California).  This evaluation of creek health was used to determine the effects of varying degrees of urban land use in the upstream watershed by examining the composition of macroinvertebrate communities.  For comparison, three sites on each stream were selected with increasing levels of urbanization.  Spatial analysis was used to determine the degree of urban land use in subwatersheds.  Water quality was evaluated by calculating biological metrics such as Family Biotic Index scores based on benthic macroinvertebrate samples, and habitat quality was assessed using the EPA’s Rapid Bioassessment Protocol for habitats.  Upstream sites were found to have significantly better water quality than downstream sites based on taxa richness and percent of sensitive organisms.  Codornices Creek, the watershed most impacted by urbanization, had poorer water quality scores than Strawberry Creek and Sausal Creek.  Land managers and policy makers can use the results of this study to predict and remediate the impacts of urbanization on these impacted urban watersheds.</t>
  </si>
  <si>
    <t>RileyM_2008-page1.pdf</t>
  </si>
  <si>
    <t>Eddie Rohilla</t>
  </si>
  <si>
    <t>Effects of Biomanipulation with Fishes on Eutrophic Ponds in Andhra Pradesh, India</t>
  </si>
  <si>
    <t>Millions of people throughout the world depend on reservoirs such as ponds as the main source of drinking water.  The water in these ponds can sometimes be subject to eutrophication which leads to negative health impacts in humans and livestock.  Eutrophication also causes excessive algae growth, which clogs water filtration devices, creates a foul smell and degrades the ecosystem of the water body.  A biological method of treating water known as biomanipulation was applied to experimental ponds undergoing eutrophication in Andhra Pradesh, India.  The effects of fishes such as rohu, catla, grass carp and silver carp on the concentrations of algal biomass, nitrates and turbidity in ponds were studied over a period of five months from October 2007 to February 2008.  Measurements of these water quality parameters were taken weekly in four experimental ponds where three ponds consisted of different combinations of fish and the control pond contained no fish.  Results from this study suggest that the introduction of fish in treated ponds did not reduce the concentrations of algal biomass or nitrate.  This could be attributable to nutrient loading from fish excrement.  The amount of turbidity, however, was lower in the control pond compared to the treated ponds probably because fish were not available to disturb the sediment in this pond.  Given the limitations of this study, a longer research of biomanipulation in this region might prove beneficial in terms of understanding the mechanisms involved in treating water in this manner.</t>
  </si>
  <si>
    <t>Rohilla_2008-page1.pdf</t>
  </si>
  <si>
    <t>Stephanie Ross</t>
  </si>
  <si>
    <t>Soil Characteristics of Mud From the Indonesian Mud Volcano "LUSI"</t>
  </si>
  <si>
    <t>In Sidoarjo, on the island of Java, Indonesia, a mud volcano nicknamed “LUSI” has been erupting since May of 2006. Although belated efforts were made to contain the mudflow, a region greater than 600 hectares (Jakarta AFP 2008) has been completely inundated. The mud has become the new substrate of the region, so its fertility may influence species recolonization of the area as well as indicate the potential of future land-use. Since most mud volcanoes are studied for their fluid mosaics and gaseous effluxes, no studies have specifically investigated the mud for its nutritive qualities. This study establishes a simple fertility index of LUSI’s mud, by testing for three soil properties that are important for plant growth: Carbon to nitrogen ratio (C:N), pH and cation exchange capacity (CEC). LUSI’s C:N ratio (12.1 ± 1.01, n = 13) fell at the low end of the of corresponding tropical soil data range (10.3-27) (Trumbore 1993). LUSI’s pH was found to be basic (8.22 ± 0.062, n = 13) relative to the range of tropical soil pH (3.9-6.3) (Motavalli et al. 1995). LUSI’s CEC (19.72 cmol⁺/kg ± 1.28, n = 12) was high relative to tropical soil CEC (6.55 cmol⁺/kg ± 1.12, n = 9) (Trumbore 1993)More specifically, LUSI’s %C (1.293% C ± 0.0448, n = 13) and %N (0.1076% N ± 0.0052, n = 13) were both very low (Motavalli et al. 1995, Ewel et al. 1991). These values indicate that C and N may need to be fertilized for plant growth because levels are so minimal, and buffering for the basic pH may be necessary as well. The high CEC levels indicate there are reasonable amounts of nutrient cations present in the mud. Together these results indicate that although the mud is not completely infertile, but reutilization of the region for agricultural use will probably require a significant amount of modification to the mud.</t>
  </si>
  <si>
    <t>Ross_2008-page1.pdf</t>
  </si>
  <si>
    <t>James Rothschild</t>
  </si>
  <si>
    <t>Environmental Factors Affecting Nymphal Ixodes pacificus Abundance Under Field and Laboratory Conditions</t>
  </si>
  <si>
    <t>The prevalence of human cases of Lyme disease in the United States has been steadily increasing since 1982, and in northern California, the seasonal occurrence of human Lyme disease cases coincides with the peak activity period of nymphal Ixodes pacificus Cooley and Kohls 1943 (Eisen and Lane 2000). This study examined nymphal I. pacificus in Marin County in attempt to elucidate what biotic and abiotic factors influence their abundance. Field and laboratory studies were conducted to determine both the correlations and effects of soil pH, air and soil temperature on nymph abundance. Vegetation association among nymphs was also determined in the field. In the field, it was observed that nymphs were significantly associated with areas consisting predominately of oak trees and showed highest abundance in areas with air temperatures of 14°C, soil temperatures of 9°C and a soil pH of 6.7. Nymph abundance was significantly correlated with soil pH in the field but no significant correlation was observed between soil and air temperature. Under experimental conditions, it was found that nymphs had a significant association to a maintained soil temperature of 9°C and a significant association to maintained air temperatures of 14°C and 11°C. No significant association of nymphs was observed to maintained soil pH. The significant association of nymphs with conditions in the field and laboratory may provide an explanation as to which natural conditions determine nymphal abundance in certain locations.</t>
  </si>
  <si>
    <t>Rothschild_2008-page1.pdf</t>
  </si>
  <si>
    <t>Shu Shang</t>
  </si>
  <si>
    <t>Differentially Expressed Genes in Daphnia magna Exposed to Methyl Farnesoate</t>
  </si>
  <si>
    <t>Endocrine disrupting chemicals (EDCs) are chemicals with the potential to interfere with the function of endocrine systems. When accumulated in the environment, they pose a great risk to the healthy functioning of most ecological food chains. Methyl farnesoate, the major terpenoid hormone in insects, could stimulate production of male offsprings in normally asexually produced Daphnia magna. Commonly known as water fleas, D. magna is a standard Environmental Protection Agency (EPA) species used in water toxicity tests. The methyl farnesoate signaling pathway is especially susceptible to the disruption of external signals. Thus, gene expression changes of D. magna under acute exposure of methyl farnesoate were studied to better understand the character of methyl farnesoate signaling pathway. Gene expression profiles for methyl farnesoate exposures were obtained by using a D. magna cDNA microarray following each acute exposure at an established effective concentration (EC50). Differentially expressed genes were determined using a statistical method developed in Vulpe lab, UC Berkeley, which employs an outlier approach. Those differentially expressed genes by methyl farnesoate were analyzed in order to determine which genes were similarly affected in different exposures. These genes are likely candidate genes that initiate male production in D. magna. The results suggested that this approach could enable more understanding of what genes were involved in methyl farnesoate signaling pathway, as well as further substantiating the uses of toxicogenomic methods in the study of toxicants’ effects on environmental organisms.</t>
  </si>
  <si>
    <t>Shang_2008-page1.pdf</t>
  </si>
  <si>
    <t>Ryk Sheppard</t>
  </si>
  <si>
    <t>Crypsis and Color Polymorphism in Theridion californicum (Araneae: Theridiidae)</t>
  </si>
  <si>
    <t>Color polymorphism is often observed in cryptic species, and is often related to escaping predation. Some of the most common cases of color polymorphism allow different individuals to match different types of backgrounds. In the less common case of apostatic selection, a small percentage of individuals look dissimilar from the common color morph, and are more likely to escape predation due to the predator’s inability to recognize the rare morphs. The spider Theridion californicum is both color polymorphic and cryptic. To determine if the specific color morph has any relation to the background, individual spiders were collected and compared to the leaves under which they were dwelling. The individuals were grouped by specific color morph, and by common themes, such as colors and patterns that were present through multiple color morphs. These categories were then compared to the amount of damage present on the leaves under which the individuals were residing. ANOVA was used to determine if there was any correlation betwixt certain color morphs and mean leaf damage. No statistically significant results were observed, and no color polymorph or group of morphs appeared to have any correlation with crypsis in this study. This supports the leading hypothesis that apostatic selective pressure is the main explanation for color polymorphism in T. californicum.</t>
  </si>
  <si>
    <t>Sheppard_2008-page1.pdf</t>
  </si>
  <si>
    <t>Daniel Song</t>
  </si>
  <si>
    <t>The Effects of Reward Frequency Variation on the Foraging Behavior of the European Honeybee, Apis mellifera (Hymenoptera: Apidae) in Ankara, Turkey</t>
  </si>
  <si>
    <t>European honeybee, Apis mellifera Linnaeus 1758, foraging behavior has been extensively studied but still some phenomena, such as color constancy, are not well understood. This study compared the foraging behavior of three subspecies, Apis mellifera carnica, Apis mellifera syriaca, and Apis mellifera caucasica, in free flying experiments at sites where specialized predators were absent. Each experiment consisted of a control and three treatments where reward frequency was varied among yellow, blue, and white artificial flowers. The sequence of visits foragers made to the flowers were recorded for each experiment. The mean visitation data were tested to see if foragers responded to varying frequencies of reward between the three colors and if visits to the initial flower color were a predictor of subsequent visits. Foragers from the three subspecies exhibited division of labor; some foragers visited yellow flowers while other hivemates visited blue and white flowers. Foragers did not respond to the varying frequency of reward for any of the flower colors. Additionally, the flower color foragers initially visited was a predictor of subsequent visits during all experiments. The behavior of limiting visits to one color may lead to minimized intra-colonial competition. In an environment free of specialized predators, the behavior is consistent with predation-risk foraging.</t>
  </si>
  <si>
    <t>Song_2008-page1.pdf</t>
  </si>
  <si>
    <t>Holly Suzara</t>
  </si>
  <si>
    <t>Modeling the Impact of Temperature on Peak Electricity Demand in California</t>
  </si>
  <si>
    <t>This study utilizes historic monthly peak electricity load data of the California Independent System Operator service area and corresponding data of select determinants of peak electricity load (temperature, electricity price and population) to specify a multiple regression model to forecast the impact of temperature on peak electricity demand. The results indicate that the mathematical relationship between temperature and peak electricity demand is in the form of a third-degree polynomial equation whereby peak electricity load increases exponentially with increasing temperature and then approaches constant levels at high (&gt;~90° F) temperatures (signifying that electric systems used for space conditioning are running at maximum capacity). This study attempts to improve upon an existing forecasting model indicating a quadratic relationship between temperature and peak electricity demand whereby peak electricity load increases exponentially with increasing temperature.</t>
  </si>
  <si>
    <t>Suzara_2008-page1.pdf</t>
  </si>
  <si>
    <t>Susan Talatala</t>
  </si>
  <si>
    <t>The Effect of Tap Water Perception on the Consumption of Bottled Water</t>
  </si>
  <si>
    <t>Over the past 30 years, drinking water has evolved from existing as a household faucet essential to being pumped, bottled and sold as a convenience store commodity. Consumers choose to drink bottled water for a variety of reasons – health, convenience, taste and safety to name a few. Although its growth and popularity represent success for the bottled water industry, the life cycle of bottled water forces a serious impact upon the environment. Despite these issues, and despite that tap water is an equal substitute, consumers continue to increasingly purchase bottled water. The purpose of this study is to investigate the consumer incentive behind purchasing bottled water, namely how it is affected by a negative perception of tap water taste and safety. A survey was designed for and administered to Safeway customers in Contra Costa Country. Using Spearman’s Rank Correlation test, results indicated that there was no relationship between perception of tap water taste and consumption of bottled water. There was a moderate relationship between perception of tap water safety and consumption of bottled water and a strong relationship between the amount of bottled water and tap water one consumes.</t>
  </si>
  <si>
    <t>Talatala_2008-page1.pdf</t>
  </si>
  <si>
    <t>Chin Tien (Kate) Thi</t>
  </si>
  <si>
    <t>Understanding Wildlife Interactions on Ventana Ranch, CA. based on Local Rabbit Populations</t>
  </si>
  <si>
    <t>Rabbit species can be a great source providing nutrients for carnivores but can also become a pest species to agriculture and private properties. Understand the behavior patterns of the rabbit species are important for wildlife management because it provides data for wildlife interactions and pest control. The daily activity pattern of the Desert Cottontail rabbits (Sylvilagus audubonii) and California Jackrabbits (Lepus californicus) are described as crepuscular in most of the older literature. However, variability within populations due to competition and environment might be detected with modern techniques such as automated camera trapping. In this study, I compared the daily activity of the two rabbit species on Ventana Ranch, California with what has been described in the literature using camera trap data taken 24 hours per day over an eight month period in 2007. First, comparing two rabbit species' daily activity patterns showed no statistically significant difference in activity period suggesting that rabbits are not likely to display resource partitioning behavior in terms of active time periods. This information can be useful in managing rabbit species in other grassland habitats because similar behavior might be found on the habitat. Knowing the activity pattern can aid in controlling local rabbit population before it becomes a pest. Second, the results show that the peak activity is during the crepuscular period (especially dawn), but there is consistent activity throughout the night that, when summed over the longer period of night-time, is greater than the short period of dawn. This information leads to the need of future studies on wildlife interaction and behavior.</t>
  </si>
  <si>
    <t>Thi_2008-page1.pdf</t>
  </si>
  <si>
    <t>Chelsea Tu</t>
  </si>
  <si>
    <t>From Norm to Practice: Comparative Case Studies on International Mechanisms for Wartime Environmental Restitution</t>
  </si>
  <si>
    <t>The objective of this study was to understand different international mechanisms that were established to help mitigate wartime environmental damage. Two questions were addressed: 1) does the role of the defendant as the “aggressor” or “intervening force” influence the legal standing of a claimant or defendant when determining liability for post-conflict environmental cleanup, and 2) which remediation method is more successful: a direct payout system to individual claimants or a mediated payout to a central clean-up agency? This study focuses on two case studies: 1) the United Nations Compensation Commission (UNCC) as a direct payout system for Iraqi oil spills in Kuwait during the Gulf War from 1990 to 1991 and 2) the United Nations Environmental Programme (UNEP) Clean-Up Programme as a mediated remediation agency after North Atlantic Treaty Organization (NATO) bombings of industrial sites during Kosovo War in 1999. Iraq’s role as an “invader” of Kuwait in the Gulf War resulted in the Security Council’s decision to hold Iraq liable for environmental compensation based on customary international laws. Conversely, NATO was framed as an “intervening force” and therefore was not liable for environmental compensation under international law. The resulting restitution depended on voluntary clean-up efforts lead by the United Nations Environmental Programme (UNEP) Clean-Up Programme in Kosovo. Both the UNCC and the UNEP Kosovo Program faced significant operational challenges from timeliness to funding, to assessment for both baseline data and restoration efforts.</t>
  </si>
  <si>
    <t>Tu_2008-page1.pdf</t>
  </si>
  <si>
    <t>Elizabeth Vu</t>
  </si>
  <si>
    <t>Humpback Whale (Megaptera novaeangliae) Calling Behavior in the Stellwagen Bank
National Marine Sanctuary in the North Atlantic Ocean</t>
  </si>
  <si>
    <t>Although humpback whales are traditionally thought to sing in their breeding grounds
for mating purposes, their song has also been recorded on their feeding grounds in the
Stellwagen Bank National Marine Sanctuary (SBNMS) in the northwest Atlantic Ocean. This
study investigates this phenomenon by determining when and how often these songs occur, how
long the song sessions last, and how song structure changes over time. The recordings from an
array of bottom-mounted recording devices (ARUs) in 2006 were used to investigate song
occurrence, song session duration, and changing theme structure over time. Song occurred more
frequently during the winter months while the longest song sessions occurred in spring and
winter. Song structure was dynamic from spring to autumn but reflected a return to original song
structure in winter. This study marks the beginning of analyses that may be done in SBNMS and
explores the role of humpback whale song heard outside of their traditional breeding grounds.</t>
  </si>
  <si>
    <t>Vu_2008_no_pub-page1.pdf</t>
  </si>
  <si>
    <t>Tian Xu</t>
  </si>
  <si>
    <t>Effect of Branding and Store Size on Homogenous Products Prices at Natural and Traditional Grocery Stores</t>
  </si>
  <si>
    <t>Natural food industry sales increased from $8.6 billion in 2002 to $15.9 billion in 2006, and analysts projected the growth to continue for the rest of the decade. This study examined the effect of store size and store type on product prices at natural and traditional grocery stores. Using 55 homogenous products found in both natural and traditional grocery stores, a survey of 95 stores in both the Greater Los Angeles and San Francisco Bay Area was undertaken. The price index of products indicated that price of products at small stores cost 5.20% more compared to the prices at big stores (p &lt; 0.01); and no statistical difference existed between product prices at natural and traditional stores (p = 0.18). In addition, the stores were further categorized into big natural, small natural, big traditional, and small traditional grocery stores in order to compare store type and store size simultaneously. The result indicated that only price difference of 3.90% existed between the products at small natural food stores and the products at big natural food stores (p &lt; 0.01). No statistically significant price difference existed between the price of products at big traditional and small traditional grocery stores (p = 0.59). Thus, the result showed that in order to maximize utility natural food consumers should shop at big natural food stores and consumers at traditional grocery stores can either shop at big or small traditional grocery stores.</t>
  </si>
  <si>
    <t>Xu_2008-page1.pdf</t>
  </si>
  <si>
    <t>https://www.ocf.berkeley.edu/~pkmendez/envsci/projects/2008final/</t>
  </si>
  <si>
    <t>Zahrah Ali</t>
  </si>
  <si>
    <t>The dose and time dependent regulation of IGF-1R in MCF-7 breast cancer cells by indole-3-carbinol</t>
  </si>
  <si>
    <t>Breast cancer is the most common cancer among women. The development and progression of cancer cells can often be attributed to problems with cell signaling pathways, including pathways of growth, differentiation, proliferation, and apoptosis. The IGF (Insulin-like Growth Factor) pathway is one such pathway where signaling can contribute to breast cancer cell survival. The side effects and drug resistance associated with current treatment options have led to research regarding the potential of phytochemicals as a treatment option for cancer. Indole-3-Carbinol (I-3-C) is a promising phytochemical found in cruciferous vegetables. Research has shown consistent results regarding a positive correlation between cancer prevention and the consumption of such phytochemicals. Reverse-Transcription (RT) PCR and Western Blot analyses were used to examine the potential effects of I-3-C on the IGF pathway. A decrease is observed in the transcript levels of IGF-1R with increasing doses of I-3-C. This indicates that I-3-C can be used to decrease, or eliminate, the activity of the MAP kinase pathway (of the IGF pathway), hence decreasing proliferation of tumorigenic MCF-7 cells.</t>
  </si>
  <si>
    <t>Briggs-page1.pdf</t>
  </si>
  <si>
    <t>David Briggs</t>
  </si>
  <si>
    <t>Analysis of Macrocentrus ancylivorus as a Natural Enemy of the Sunflower Moth, Homoeosomae electellum</t>
  </si>
  <si>
    <t>The sunflower moth, Homoeosomae electellum, is a particularly problematic sunflower pest in the Western and South Western areas of the United States. Natural enemies of H. electellum have been partially excluded by the significant morphological differences between wild and agricultural sunflowers, leaving some specialist parasitoids, like Dolichogenidea homoeosomae, only effective at parasitizing sunflower moth in the wild setting. This project looks at the foraging behavior of a generalist parasitoid, Macrocentrus ancylivorus, on sunflower moth-infested sunflowers, to see if other possibilities for the use of natural enemies for sunflower pest management exist. Experimental trials showed that M. ancylivorus does not have a significant behavioral response to sunflower type (wild versus agricultural), or a significant behavioral response as a result of experience. These results were unexpected based on the findings of similar studies. M. ancylivorus did, however, respond to sunflower damage as a result of herbivore activity. More studies concerned with the responses of generalist and specialist parasitoid to sunflowers might elucidate the causes of differences between the behaviors of different parasitoids in the same setting.</t>
  </si>
  <si>
    <t>Ali_Zahrah-page1.pdf</t>
  </si>
  <si>
    <t>Jenny Cleary</t>
  </si>
  <si>
    <t>The Effects of NaCl on Germination in Suaeda californica (Chenopodiaceae)</t>
  </si>
  <si>
    <t>Wetlands benefit the environment in many ways by helping with flood control, water quality, and providing habitat. Many wetlands were lost because of direct conversion by humans or threat by invasive species. Recent concerns have now called for the reversal of these damages by restoring native vegetation. Salinity is a critical environmental factor in salt marsh wetlands for determining seedling survival for many species. The effect of salinity on germination on an endangered native California plant, Suaeda californica, was addressed in this research. S. californica seeds were exposed to concentrations of 100 to 500 mol m-3 NaCl to determine the optimal salinity range for germination. Seeds showed no appearance of a radicle in any of the salt concentrations. Seeds were then recovered in distilled water for 10 days. Percentage recovery of germination ranged from 15-30%. The implication of this research shows that more research needs to be done on seed dormancy to understand the requirements of breaking dormancy. Moreover, wetland restoration efforts for S. californica do not seem promising when seeds are not germinating in salt concentrations of the habitat.</t>
  </si>
  <si>
    <t>Cleary-page1.pdf</t>
  </si>
  <si>
    <t>Angela Freitas</t>
  </si>
  <si>
    <t>Unequal Opportunity in Environmental Education: Environmental Education Programs and Funding at Contra Costa Secondary Schools</t>
  </si>
  <si>
    <t>Unequal opportunity in education threatens to deprive low socio-economic status (SES) students of quality schooling in all subject areas. This study investigates the relationship between the SES of students at public high schools and the time and funding those schools spend on one specific subject area, environmental education. Surveys of environmental science teachers and science department chairs at Contra Costa public high schools showed no significant correlation between SES and hours of student involvement in a school’s environmental education opportunities. Interviews with principals and district financial officers revealed that as SES of students at a school increases, the absolute amount spent on environmental education increases while no significant correlation was shown with the amount spent relative to total budget. Surveys showed that though schools characterized as low SES provided approximately the same amount of environmental education hours as high SES schools, they only spend about one-fifth the amount of money on those programs. Although better funding allows high SES schools to spend a larger dollar amount than low SES schools on environmental education, low SES schools manage to provide comparable amounts of environmental education hours possibly due to student funding and motivated faculty.</t>
  </si>
  <si>
    <t>Freitas-page1.pdf</t>
  </si>
  <si>
    <t>Britney Crystal Gallivan</t>
  </si>
  <si>
    <t>Effects of Increased Seasonal Rainfall on Soil- and Leaf Litter- Microarthropods in a Northern California Grassland</t>
  </si>
  <si>
    <t>Climate change models have predicted that due to anthropogenic global warming precipitation is expected to noticeably increase. This change in precipitation could have a plethora of effects on many organisms and through food web interactions alter entire ecosystems. Because soil- and leaf litter- microarthropod presence is reliant on soil moisture and because entire ecosystems are dependent on their ability to make nutrients available, it is important to understand how these organisms may be affected by an increase in precipitation and how this change may impact the ecosystem. It has yet to be determined during what seasons we should expect this precipitation increase to take place so three treatment plots of control, increased winter water addition, and increased spring water addition were created in a Northern California Meadow. After treating the plots for six years soil cores were taken on May 20, 2006 and the microarthropods contained within these soil cores were extracted with Berlese funnels and sorted based on their morphospecies. To determine if water addition could alter microarthropod communities of the meadow environment this study measured microarthropod abundance, morphospecies richness, number of unique morphospecies, and morphospecies biodiversity as indicators in determining if any relationships were different among the three treatment types. This study found there to be no statistical differences among any of these indicators and concludes that precipitation at the increased rates we expect from global warming may have no affect on microarthropod communities.</t>
  </si>
  <si>
    <t>Gallivan-page1.pdf</t>
  </si>
  <si>
    <t>Mihai Giurgiulescu</t>
  </si>
  <si>
    <t>Analyzing Immigrant Environmental Behaviors in the Arizona Tourism Industry</t>
  </si>
  <si>
    <t>There is little agreement on the relationship between the environmental behaviors of immigrants and those of native-born citizens in the U.S. Hunter (2000a) claims attitudes are similar, while Pfeffer and Stycos (2002) show divergences in specific types of behavior. This study starts with the premise that there is a difference between the environmental behaviors of immigrants and native-born residents working in the tourism industry in Tucson, Arizona. I hypothesize that immigrants are more likely to engage in environmentally-conscious behavior that has more to do with individual action, such as limiting personal consumption, and less to do with group action, such as political activity. I then suggest that the difference can be explained by series of factors quantifying background experiences; among these, time of residency in Arizona, attitudes about the physical environment, preference for leisure activities, and awareness of environmental risk are analyzed in detail. Principal Components Analysis first reduces the collinearity of the behavior responses, which are subsequently used in ANOVA and multiple regression to test for differences among categories of background factors and to account for shared effects respectively. Results show immigrants differ from U.S. citizens in behavior, but that the difference works oppositely than hypothesized (group behaviors are preferred over individual behaviors). It was also found that background factors cannot explain the aforementioned difference, though in some cases (env. risk) results are statistically significant. Findings from an improved approach may prove important in influencing immigration policy, as well as reevaluating the relationship between the environment and an economy dependent on foreign-born labor.</t>
  </si>
  <si>
    <t>Giurgiulescu-page1.pdf</t>
  </si>
  <si>
    <t>Lauren Grand</t>
  </si>
  <si>
    <t>Pruning Decreases Incidence of White Pine Blister Rust Infection in Sugar Pine</t>
  </si>
  <si>
    <t>White pine blister rust (Cronartium ribicola) is a major pathogen causing the dramatic decrease in populations of sugar pine trees (Pinus lambertiana) in the Sierra Nevada. This study presents pruning as a management tool to decrease the incidence of the blister rust on sugar pine. During 2000, pruning was implemented on uninfected trees at Blodgett Forest. Six years after pruning, the number of infected trees that were pruned was compared to the number of infected trees that were unpruned. The results show that 46% of the unpruned trees were infected and 26% of the pruned trees were infected. These results indicate that pruning can decrease the chances of sugar pine contracting blister rust. Tree volume was also recorded in order to study how pruning affects tree growth. The results of this study show no significant decrease in productivity of the pruned sugar pine. This research suggests that pruning may be an important tool in the maintenance and restoration of sugar pine in the Sierra Nevada.</t>
  </si>
  <si>
    <t>Grand-page1.pdf</t>
  </si>
  <si>
    <t>Sarah Hon</t>
  </si>
  <si>
    <t>How the Presence of Bikeways affect Bicycle–Motor Vehicle Collisions: A San Francisco Bay Area Case Study</t>
  </si>
  <si>
    <t>Throughout the US, policies are being passed and funding is continually increasing to encourage the construction of bike facilities, yet few studies have researched the efficacy and safety differences between bikeways and roads and between the different classes of bikeways. This study examines whether the presence of bike paths (Class I), lanes (Class II) and routes (Class III) reduces injury rates from bicycle incidents involving motor vehicles. Using 2005-2006 car-bike collision police records from five Bay Area cities, the exact location of the accidents are pinpointed on GIS (Geographic Information System) maps. Seven analyses are completed that evaluate accidents among cities, classes, mid-block travel and intersections, while controlling for variability in bicycle population and the bikeway length to road length ratios. Results show that bikeways are associated with a decrease car-bike collisions rates when traveling mid-block, an increase in collisions when entering intersections, and no significant difference between accident rates when traveling on a bike lane or bike route. Findings suggest that more funding and attention be directed toward the intersection accident phenomenon on existing bikeways, and toward public education of vehicular bicycling skills.</t>
  </si>
  <si>
    <t>Hon-page1.pdf</t>
  </si>
  <si>
    <t>Esther Huang</t>
  </si>
  <si>
    <t>Use of Fish Scales as Biosorbent for the Removal of Copper in Water</t>
  </si>
  <si>
    <t>Industrial effluents are the major sources of copper in the environment.  It is important to regulate copper levels in water because excess amounts of copper in the human body is associated with adverse health effect such as liver and kidney damage, anemia, schizophrenia, and Alzheimer’s disease.  Conventional copper removal methods are not environmentally friendly due to the increased level of chemical sludge, energy input, and nutrient requirements from the removal processes, and expensive due to the implementation of large infrastructure.  Biosorption is a better alternative to conventional copper removal methods. Studies have shown that using fish scales as a biosorbent was effective in absorbing lead, chromium and arsenic in water.  In this study, fish scales of Tilapia nilotica Linnaeus were used as a biosorbent in the investigation of copper sorption capabilities under different biosorbent to copper mass ratios and contact times.  With the use of a biosorbent to copper mass ratio of 13.5, 33.988% (SE=1.008%) of the copper was removed after two hours.  After eight days, 97.2% (SE=0.235%) of the copper was removed with the application of a biosorbent to copper ratio of 10.0.  Larger amounts of biosorbent added and longer contact times yielded higher sorption percentage</t>
  </si>
  <si>
    <t>Huang-page1.pdf</t>
  </si>
  <si>
    <t>Ali Kattan</t>
  </si>
  <si>
    <t>Composition of Generic and Host-Specific Bacteria in Feces of Specific Hosts using Culture and QPCR</t>
  </si>
  <si>
    <t>This study investigates the ratios of specific bacteria in fecal samples of several different hosts. These hosts are common sources of fecal pollution in watersheds and include horse, cow, dog, goose and human. To address the concentrations and variability of host-specific and generic bacteria of the host individuals the following measurements were made from the fecal samples: dry weight, QPCR of host-specific and generic bacteria, and culture-test for presence of E. coli and Enterococcus. The variability of these bacteria ratios was calculated using QPCR to give an estimate of the accuracy and sensitivity of the QPCR method for a contaminated watershed. Percent compositions were determined from each host using cycle threshold (Ct) values and supplemental dry-weight and culture-test data. Culture data results of the ratio of E. coli to Enterococcus of human and non-human sources confirm previous findings of ratios of Fecal Coliform to Fecal Streptococcus for human and non-human sources except for horse ratio. Culture data showed cows, humans and dogs to contain the highest E. coli concentration in their feces. Preliminary QPCR data of initial cell concentrations for total E. coli per gram dry weight for goose and dog do not correlate with initial cell concentrations for total E. coli from culture data. Future QPCR data for all bacteria is to be collected to give more accurate data.</t>
  </si>
  <si>
    <t>Kattan-page1.pdf</t>
  </si>
  <si>
    <t>James Kealey</t>
  </si>
  <si>
    <t>The Effect of Species Richness, Resource Availability, and Community Composition on Larval Recruitment in Marine Fouling Communities</t>
  </si>
  <si>
    <t>Larval recruitment into the invertebrate communities that occupy marine hard substrata (marine fouling communities) has received considerable attention in the ecological literature.  While many studies have focused on the effect of a single factor on determining recruitment, few have attempted to assess the relative biological importance of multiple factors simultaneously.  This study compares recruitment into naturally assembled fouling communities which differ by three factors: the area of their substrate that is initially open to larval recruitment (resource availability), the kinds of species they contain (community composition), and the total number of species they contain (species richness).  I found that while species richness and resource availability had no detectable effect on larval recruitment, species composition of the resident community was highly important.  Specifically, the anemone Metridium senile appears to be of profound (and varying) effect on larval recruitment.  In the early stages of the experiment, when all treatments contained unoccupied substrate available for recruitment, treatments with Metridium present received less recruitment; in later stages, communities with Metridium received greater recruitment.</t>
  </si>
  <si>
    <t>Kealey-page1.pdf</t>
  </si>
  <si>
    <t>Victoria María Klyce</t>
  </si>
  <si>
    <t>An Ecologic Study Investigating the Correlation between Breast Feeding and the Incidence of Leukemia</t>
  </si>
  <si>
    <t>Leukemia is the most common childhood cancer, with 3,000 children diagnosed in the US per year, and the treatment of which costs the federal government $1.4 billion per year. I tested the correlation between breast feeding for at least six months to the incidence of leukemia in an ecologic study where the units of analysis are the nine US Census regions. I did a qualitative analysis through GIS mapping of the data and scatter plot graphing of the data. I used a trendline and a two means analysis to quantitatively interpret the data.  The data were best explained by the two means analysis.  Once a large enough proportion of the population is breast feeding leukemia incidence significantly drops.  None of the high risk populations are confounding the relationship. I predict that higher breast feeding rates will continue to correlate with lower leukemia incidence.  Due to this finding and the other positive effects of breast feeding I would recommend all mothers to breast feed their children for at least six months.</t>
  </si>
  <si>
    <t>Klyce-page1.pdf</t>
  </si>
  <si>
    <t>Austin Jena Krause</t>
  </si>
  <si>
    <t>Charring Eucalyptus globulus as an alternative preparation technique for liquid scintillation counting used in 14C dating with subsequent tritium analysis</t>
  </si>
  <si>
    <t>Dendrochronology helps scientists gain a better understanding about the recent past. However, counting tree rings can only be applied to trees that have distinct rings, such as conifer trees and some hardwood trees. Liquid scintillation counting of radiocarbon of tree samples is one alternative to counting rings. Current standard preparation of wood samples for liquid scintillation counting involves a time-consuming and labor-intensive process of removing non-cellulose components. This study attempted to compare the cellulose preparation technique with a charred wood technique, a less intensive preparation method. Both techniques were used to date samples Eucalyptus globulus from the Berkeley hills in California. Preliminary results of radiocarbon dating using accelerator mass spectrometry were unable to provide a reasonable age of the E. globulus samples. Machine error was not the cause of these results, thus an unknown environmental factor has caused radiocarbon dating unreliable for this study and has made radiocarbon dating using liquid scintillation counting redundant. Subsequent tritium analysis of the Eucalyptus globulus wood samples using liquid scintillation counting were compared to a previous study by Byrne and Sihvola (2007) and results suggest that the addition of CaO may have caused the tritium activity levels to be lower in the study by Byrne and Sihvola. In addition, reconstructed activity levels in both studies generally follow the reported tritium emissions from the National Tritium Labeling Facility from 1969 to 2000.</t>
  </si>
  <si>
    <t>Krause-page1.pdf</t>
  </si>
  <si>
    <t>Jesus Lara</t>
  </si>
  <si>
    <t>The effect of prey diet on the feeding preference of Galendromus occidentalis (Acarina: Phytoseiidae) for Tetranychus pacificus and Eotetranychus willamettei (Acarina: Tetranychidae)</t>
  </si>
  <si>
    <t>The Willamette spider mite (WSM), Eotetranychus willamettei (McGregor) and the more damaging Pacific spider mite (PSM), Tetranychus pacificus (McGregor) are common pests in vineyards throughout the San Joaquin valley, California. Galendromus occidentalis (Nesbitt), a phytoseiid predator also known as the Western predatory mite (WPM), is used to suppress spider mite populations and has been identified as a more effective biological control agent for PSM than WSM. The objective of this study was to determine whether possible nutritional quality differences between PSM and WSM, evaluated through a comparison of the predator’s partial life history on the two spider mites, can account for WPM’s feeding preference for PSM. The development and fecundity results reveal that WPM’s feeding preference is not a result of host quality differences in this system and that WPM, in theory, is a suitable biological control agent for PSM and WSM. The implications of this finding and other possible reasons for the apparent preference of WPM for PSM in vineyards are discussed.</t>
  </si>
  <si>
    <t>Lara-page1.pdf</t>
  </si>
  <si>
    <t>Natalie J. Levy</t>
  </si>
  <si>
    <t>Bird Predation Decreases Arthropod Abundance and Biomass in Three Coffee Farms in the Blue Mountains, Jamaica.</t>
  </si>
  <si>
    <t>Shaded coffee farms can supply habitat for native biodiversity, especially forest birds attracted to over-story shade trees. However, short term profitability can encourage modern cultivation techniques with few to no over-story trees and little conservation value. Ecosystem services provided by arthropod-feeding birds could provide incentives for farmers to retain traditional, environmentally friendly cultivation techniques. This project focused on the impact of birds on arthropods in Jamaica’s Blue Mountains where the intensification of coffee agriculture threatens native biodiversity. To study this trophic interaction, in summer 2006, arthropods were sampled in 19 paired bird exclosures and controls on three coffee farms located in the Blue Mountains, at an elevation of ~1525 meters. I hypothesized that there would be a higher abundance and biomass of arthropods inside the bird exclosures, and that the difference between the exclosures’ and controls’ arthropod abundance would be positively correlated with higher amounts of shade cover. The results showed that the abundance and biomass of arthropods and arthropod herbivory were significantly higher in the exclosures than in controls. However the difference between the exclosures’ and the controls’ arthropod abundance was not significantly correlated with percent shade cover. These results indicate that birds are providing the farmers an ecological service by reducing arthropod abundance and biomass, but that the effect of bird predation on arthropods was not related to the amount of local shade cover at the site of predation.</t>
  </si>
  <si>
    <t>Levy-page1.pdf</t>
  </si>
  <si>
    <t>Vijay Limaye</t>
  </si>
  <si>
    <t>Soil moisture and N2O fluxes along a toposequence in Tennessee Valley, California</t>
  </si>
  <si>
    <t>The emissions of nitrous oxide (N2O) from soils are an important source of this greenhouse gas, which has a global warming potential 300 times greater than carbon dioxide. This study explored one of the major documented controls of soil N2O fluxes, soil moisture. Four sites forming a soil toposequence on a hill slope in northern California were monitored over five months for soil moisture and N2O fluxes. In this soil toposequence, factors affecting soil formation other than landscape properties were unchanged between sites, allowing for a subsurface moisture gradient without changing precipitation inputs. The major objectives were to identify whether subsurface moisture conditions regulated by topography correlated with N2O flux rates, and to determine the extent to which N2O flux rates displayed significant seasonal variability. Soil moisture was quantified using subsurface probes at each site. N2O fluxes were sampled using static gas flux methods and quantified using gas chromatography. While N2O flux rates varied significantly over time, there was no significant correlation between soil moisture and N2O flux rates. Soil moisture levels did not follow a consistent ranking by topographical position as predicted and were lower in magnitude than hypothesized. While this result conflicts with previous research, it suggests the importance of temporal variation in soil moisture, as well as seasonal precipitation and temperature patterns, in regulating soil N2O fluxes.</t>
  </si>
  <si>
    <t>Limaye-page1.pdf</t>
  </si>
  <si>
    <t>Leanne Maloney</t>
  </si>
  <si>
    <t>The Effect of Canopy Cover and Soil Conditions on Growth Rate of Mimulus aurantiacus and Rhamnus californica in San Francisco</t>
  </si>
  <si>
    <t>Although habitat restoration projects are becoming increasingly common, many of them do not include pilot studies which could potentially guide future restoration efforts. Local, native plants are currently being planted under a Monterey Cypress forest as part of a restoration project at Lands End, San Francisco, California. This is the first year of planting and the findings of this paper are meant to help guide plantings in future phases of the restoration project. The effect of canopy cover and soil type on the rate of plant growth of two of the native species, sticky monkey flower (Mimulus aurantiacus) and coffee berry (Rhamnus californica), was determined through planting seedlings in three plots under three levels of canopy cover (30%, 50%, and 80%), and varying soil types. Significant differences (p&lt;0.05) were found between different plots depending on the species. Both species had the highest growth rate in the plot with 80% canopy cover and with the highest pH (6.75), but neither followed a pattern where growth rate increased with increasing canopy cover or soil pH. Based on my results I offer suggestions for future plantings and also for follow up experiments that could help determine which factors have the greatest effect on rate of growth.</t>
  </si>
  <si>
    <t>Maloney-page1.pdf</t>
  </si>
  <si>
    <t>Jonathan Miller</t>
  </si>
  <si>
    <t>Determining the rate of used cooking oil output by the restaurant industry in the Salt Lake Valley, UT</t>
  </si>
  <si>
    <t>The amount of used restaurant oils diverted to biodiesel production in the United States is increasing due to growing consumer interest, the emergence of biodiesel cooperatives, and increased commercial capacity (NBB 2006). Biodiesel, a renewable fuel used as an alternative or additive to conventional diesel, offers several benefits: biodiesel burns cleaner than conventional diesel, it can be produced from multiple feedstocks, and the introduction of production facilities has been shown to result in a net increase in jobs and revenue for a given community (Van Dyne and Weber 1996). To determine an upper bound for the potential impact restaurant oils may have on the biodiesel market, a survey of 163 restaurants was conducted in the Salt Lake Valley. The primary purpose of the survey was to determine the rate of used oil disposal and the type of cuisine served at each restaurant, although some supplementary data was collected as well, such as the number of customers served. Extrapolating the amount of oil produced to the approximately 1640 restaurants that exist in Salt Lake County suggests that restaurants dispose of roughly 500,000 gallons of spent oils per year. This volume is enough oil to satisfy approximately 1/250 of the diesel demands of Salt Lake County and suggests that spent restaurants oils are at most a niche feedstock for biodiesel production.</t>
  </si>
  <si>
    <t>MillerJ-page1.pdf</t>
  </si>
  <si>
    <t>Trevor L. Miller</t>
  </si>
  <si>
    <t>Ticks Feeding on Animals Committed to Wildlife Rehabilitation Centers and Implications for Lyme Disease Ecology</t>
  </si>
  <si>
    <t>Lyme disease has become a significant infectious disease concern in the Western United States.  This study investigates the ecology and transmission of the spirochete causative agent of Lyme disease, Borrelia burgdorferi, in an area of Northern California, USA by examining the host selection of different tick species and life stages.  Ticks were collected from a wildlife rehabilitation center near the San Francisco Bay to investigate disease transmission and how it relates to tick and host animal ecology in the area.  Tick species, tick life stage, and host species were compared to infer their relationship to local Lyme disease transmission.  Despite lower than expected sample sizes, this study uncovered some evidence of novel host selection relationships, and provided an initial evaluation of this new parasite collection method.  This research has allowed for valuable insight into the enzootic maintenance and cycling of spirochete populations and the relative importance of different ticks and vertebrate hosts to this process.</t>
  </si>
  <si>
    <t>MillerT-page1.pdf</t>
  </si>
  <si>
    <t>Matt Petty</t>
  </si>
  <si>
    <t>Flow Visualization Through and Around Simplified Models of Biological Structures</t>
  </si>
  <si>
    <t>The morphology of an organism is a key factor in how well it performs a given task. The performance of a certain morphology may change radically under different environmental conditions. To gain an understanding of the interaction between a form and the fluid flowing past it, scale models can be built and several techniques for flow visualization employed. This study examines scale filtering arrays, constructed of flexible or stiff materials, under a range of conditions using a flow tank and 35mm camera. Leakiness, or how restrictive a filtering array behaves, is calculated for each test condition. The arrays protrude from a base plate, which our results indicate has the greatest effect on the flow characteristics through an array.</t>
  </si>
  <si>
    <t>Petty-page1.pdf</t>
  </si>
  <si>
    <t>Claudia Pingatore</t>
  </si>
  <si>
    <t>Halogenated Trace Gas Fluxes From Salt Pond Ecosystems</t>
  </si>
  <si>
    <t>Halogenated trace gases play an important role in atmospheric science change due to their potential to deplete stratospheric ozone. Consequently, international efforts are being made to mitigate anthropogenic contributions of these gases. The dominant atmospheric methyl halides, methyl chloride (CH3Cl), -bromide (CH3Br), and -iodide (CH3I), all have more known sinks than sources. To help identify missing sources, this study examines salt ponds, which have not yet been analyzed for methyl halide fluxes. Based on past studies, the unique environmental factors within salt ponds, including high bacterial populations, high salinity, and high sunlight exposure, suggest they could potentially be large sources of methyl halides. Vegetation, a typical contributing factor in halomethane production, is scarce in this ecosystem and thus provided an opportunity to separate that environmental variable. Air samples were collected over four locations with varying cover types (water, soil, vegetation) at the salt ponds of the San Francisco Bay National Wildlife Refuge. Samples collected using a static flux chamber were analyzed by gas chromatography-mass spectrometry. Other environmental variables, including temperature and soil moisture content, were recorded to note correlations. Fluxes were found to be unimportant relative to their global budgets in all samples. Thus, salt ponds do not seem to be major contributors to global fluxes of methyl halides.</t>
  </si>
  <si>
    <t>Pingatore-page1.pdf</t>
  </si>
  <si>
    <t>Robin Rothfeder</t>
  </si>
  <si>
    <t>The Relative Metaphysical Indicator: Linking philosophy and psychology to understand environmental behavior</t>
  </si>
  <si>
    <t>Why have humans so thoroughly degraded the global ecosystem, upon which our own livelihood depends? The answer put forth in this work is that dominant modern institutions share an implicit assumption of universal and personal disconnectedness. The cultural prevalence of this assumption has engendered widespread feelings of dissociation from, and destructive behaviors towards, the environment. To further investigate this theory, psychological surveys were administered to UC Berkeley undergraduates. A system of relationships between three variables was explored: metaphysical orientation (personal philosophy), affective connectedness to nature, and environmental behavior. As part of this battery of tests, a Relative Metaphysical Indicator (RMI) was developed to assess respondents’ beliefs about universal principles and human agency. Results showed (a) that the RMI is a reliable (alpha = 0.72) and empirically effective scale (b) that metaphysical orientation significantly correlates with feelings of connectedness to nature (r = 0.41) and environmental behavior (r = 0.29) (c) that connectedness to nature is a significant but partial mediator between philosophy and behavior, and (d) that explicitly metaphysical instruction has a noticeable influence on the basic beliefs held by students. These findings, which are commensurate with a developing body of similar scholarship in environmental psychology, imply that metaphysical assumptions are empirically accessible, and that how connected people feel to the environment is notably influenced by how connected they assume themselves to be. This elucidates the role of personal choice in efforts at reversing current destructive trends.</t>
  </si>
  <si>
    <t>Rothfeder-page1.pdf</t>
  </si>
  <si>
    <t>Shaun Rudolph</t>
  </si>
  <si>
    <t>Climate Change and its Effects on Plant and Consumer Stable Isotope Ratios in a California Grassland</t>
  </si>
  <si>
    <t>The global climate is rapidly changing due in part to anthropogenic activities. In addition to a general warming of the globe, annual precipitation levels in the Northern Hemisphere are predicted to rise. Increased precipitation has been shown to significantly affect plant and animal physiology and interactions. This study examines how an initial physiological response to increased precipitation in plants can affect feeding interactions and food quality in successive trophic levels. Grasshoppers (Camnula pellucida) and five of their food-plants (Eschscholzia californica, Rumex acetosella, Trichostema lanceolatum, Elymus glaucus, and annual grass dry litter) were sampled in manipulated rainfall plots in a large grassland meadow at the University of California’s Angelo Coast Range Reserve in Mendocino, California. I explore the effect that increased precipitation has on plant and herbivore interactions and the utility of stable isotope analyses for studying changes in trophic relationships in terrestrial food webs. Mass spectrometry indicated that 13C in plant tissues varied by watering treatment and not plant species type on the first collection date (July 7), but by the second collection date (July 30) 13C varied by plant species type and not by watering treatment. R. acetosella 13C composition varied significantly between control and spring rain treatments on the second collection date. All analyses of plant-herbivore pathways and 13C transmission efficiencies between trophic levels were found insignificant. These results contribute to our understanding of the effects that increased precipitation from climate change may have on species interactions.</t>
  </si>
  <si>
    <t>Rudolph-page1.pdf</t>
  </si>
  <si>
    <t>Kao Saechao</t>
  </si>
  <si>
    <t>Determinants of Recycling Behavior: A UC Berkeley Case Study</t>
  </si>
  <si>
    <t>Recycling lessens the need to extract the planet’s limited raw material resources. Understanding the factors that influence or promote recycling behavior can lead to more efficient recycling programs. Housing types are one examples of the many factors that can affect recycling. Residences halls (Res Halls), fraternities, and sororities are separate housing options on the University of California, Berkeley (UCB) campus. Each housing type presents a different environment and has a separate management for its recycling programs. Four categories of explanatory variables related to recycling behavior (internal motivators, external motivators, internal facilitators, and external facilitators) are examined to determine their influential value on student recycling for aluminum, plastic, and glass beverage containers. Self-reported recycling rates and assessment of each explanatory variable were attained through questionnaires given to student participants. Students living in Residential Halls were found to have higher recycling rates for all the different material types. However, the study did not reveal any consistent findings the relationship between housing type and student recycling rates.</t>
  </si>
  <si>
    <t>Saechao-page1.pdf</t>
  </si>
  <si>
    <t>Tyler Salman</t>
  </si>
  <si>
    <t>River Otter Predation on Brown Pelicans at a Lagoon in the Golden Gate National Recreation Area</t>
  </si>
  <si>
    <t>In 2006, river otters (Lutra canadensis) were seen preying on California brown pelicans (Pelecanus occidentalis) at Rodeo Lagoon in the Golden Gate National Recreation Area, CA. This predator-prey relationship has never before been documented, and calls for further investigation because of the endangered status of the California Brown Pelican. The correlation of timing between this change in the otters’ diet and the eutrophication (nutrient overabundance and deoxygenation) of the lagoon, a process associated with the death of larger fish and the main prey of river otters, implicates eutrophication as a possible cause of this predation. Through the collection and analysis of otter spraint from Rodeo Lagoon, both before and after the brown pelican migrated for the season, I determined how the diet of the river otters at Rodeo Lagoon has changed with the migration of the Brown Pelicans. Fecal analysis revealed the brown pelican to have become a substantial part of the diet of river otters at this particular site before pelican migration, though it is unclear if eutrophication has anything to do with it. These findings could, however, have consequences for the reevaluation of the endangered status of brown pelicans by identifying a new predator.</t>
  </si>
  <si>
    <t>Salman-page1.pdf</t>
  </si>
  <si>
    <t>Joel Scheingross</t>
  </si>
  <si>
    <t>Predicting species distribution of Sierra Nevada butterflies in response to climate change</t>
  </si>
  <si>
    <t>The conservation and management of biodiversity utilizes knowledge of the geographical distribution of species and the environmental changes that threaten species. Distributional modeling has been used to predict species ranges from limited data and the effects of environmental change. This study develops distributional models for two species of rare, alpine butterflies that are endemic to the Sierra Nevada, California and are important candidates for conservation. Two distinct modeling techniques (BIOCLIM and MAXENT) are compared to predict distributions for each butterfly based on bioclimatic variables averaged over 1950-2000 and future conditions based on a scenario of doubling atmospheric CO2. Results are compared by examining accuracy of prediction (with AUC and Kappa statistics) and spatial overlap of models. Both modeling techniques yield high prediction accuracy with similar values of AUC and Kappa for the study species. This suggests BIOCLIM and MAXENT are both valid modeling approaches for alpine organisms. Future climate models show the most suitable habitat moving towards areas of higher elevation and an overall reduction in alpine habitat within the Sierra Nevada. Such shifts in geographic distribution may have important implications for ongoing efforts to monitor and conserve alpine species.</t>
  </si>
  <si>
    <t>Scheingross-page1.pdf</t>
  </si>
  <si>
    <t>David Shen</t>
  </si>
  <si>
    <t>Rainwater Savings Potential of Prototypical Modular Extensive Green Roofs at UC Berkeley</t>
  </si>
  <si>
    <t>Green roofs are vegetated roof installations comprised of various tiers that provide plant support, drainage, and waterproofing. Extensive green roofs may provide environmental and economic benefits for UC Berkeley and help achieve UC system-wide and campus-specific environmental standards and goals, particularly through water conservation. To assess their potential, this study compares the rainwater savings of prototypical modular extensive green roofs with that of a regular gravel roof. The measures used for comparison are water detention and retention. Simulated precipitation patterns modeled after a local 25-year rainfall event were applied to roof treatments, and runoff rates and volumes were collected and analyzed. The results indicate that for the certain rain event, the extensive green roof modules are more effective than the regular gravel roof model at detaining and retaining water—for detention, 1) runoff from the green roof modules was delayed an average of nine minutes from the start of the rainfall events or more than three times longer than the gravel roof model, 2) the peak runoff rate from the green roof modules averaged 3.3 mL/ sec (about 60% of the rainfall intensity) or 35% less than gravel roof model; for retention, 3) the green roofs were able to withhold an average of 2708 mL (about 80% of the total rainfall) or two times more than the gravel roof model. However, this project only validated the practicality of using this green building technology at the university for water conservation; its relevant economic feasibility is crucial but uncertain.</t>
  </si>
  <si>
    <t>Shen-page1.pdf</t>
  </si>
  <si>
    <t>Alina Siu</t>
  </si>
  <si>
    <t>Comparative analysis of halophilic microbial populations at Lake Tyrrell, Australia</t>
  </si>
  <si>
    <t>The study of life at extreme environments helps us better understand the limits of where organisms can exist and how life adapts to survive. We are studying Lake Tyrell, south-eastern Australia, to gain information on life that survives in a specific extreme environment: evaporitic environments. Possible applications of studying the lake are evolution, biotechnology, and an analog for possible conditions on Mars and primitive Earth. A comparative analysis was conducted on halophilic microorganisms found in planktonic samples and microorganisms found in salt at Lake Tyrrell. As water evaporates from the lake, salinity increases and salt crystals form. When the crystals form, water is trapped within the matrix, and microbes can be found in these fluid inclusions. This study compares microbial populations trapped within salt crystals with previously studied halophilic microbial populations present free-floating in the lake. The DNA from two microbial populations were sequenced: planktonic populations and salt populations. From this, 16S clone libraries and an Archaea and a Bacteria phylogenetic tree with both populations was created. By attempting to study what halophiles are present in the salts through the sequencing of DNA, we have taken another step towards discovering what is viable in these salt crystals and thus what life can possibly survive in different and possibly new environments.</t>
  </si>
  <si>
    <t>Siu-page1.pdf</t>
  </si>
  <si>
    <t>Laura Swenson</t>
  </si>
  <si>
    <t>Proper Tire Inflation Increases Fuel Economy and Reduces Greenhouse Gas Emissions</t>
  </si>
  <si>
    <t>California has recognized the threat from global warming and has put forth legislation to curb greenhouse gas (GHG) emissions. Because transportation is the largest source of greenhouse gas emissions in California, regulating this sector could provide substantial benefits. Tire pressure has been shown to have a measurable impact on fuel economy, and thus has an impact on GHG emissions. Tire pressure is also easily monitored, corrected, and can produce savings for individuals through reduced fuel consumption. To determine the expected level of individual savings and statewide GHG reduction that might occur if every car in California had accurate tire pressure, I gathered data on tire pressure from car repair shops in Berkeley, California. I then established mathematical relationships between tire pressure, rolling resistance and fuel economy, and state data on automobiles to determine the impact that accurate tire pressure could have on fuel consumption and GHG emissions. My results show that individuals could expect $37-$77 of annual savings and that GHG’s could be reduced by 1.42%-0.69% statewide. My study provides useful information for legislators looking to find economical ways of reducing GHG’s. Reducing GHG emissions is an important goal due to the serious implications that global warming holds for the future and economic concerns are currently the largest obstacle to addressing this problem.</t>
  </si>
  <si>
    <t>Swenson-page1.pdf</t>
  </si>
  <si>
    <t>Kim Khanh Vu</t>
  </si>
  <si>
    <t>The impact of denitrification of alter vegetations and soils under precipitations treatments</t>
  </si>
  <si>
    <t>Nitrous oxide is a product of nitrification and denitrification. It can act as a powerful greenhouse gas to cause stratospheric ozone destruction in the stratosphere. This study examines the methods and patterns of nitrous oxide accumulation and the effects of disturbance, precipitation patterns, and vegetation on denitrification. The objective of this study is to understand how the denitrification of different precipitation levels and soil contents affect the nitrification and denitrification cycle, and to better understand the characteristics of nitrous oxide, especially in the process of denitrification of microbial communities. This experiment was conducted at Richmond Field Station’s glasshouse. Soil cores were used to collect samples. We measured levels of nitrous oxide and denitrifying enzyme activity (DEA) using the acetylene block assay. We also measured levels of nitrate, mineralization, and water moisture to understand how soil properties influence DEA.</t>
  </si>
  <si>
    <t>Vu-page1.pdf</t>
  </si>
  <si>
    <t>Megan Warren</t>
  </si>
  <si>
    <t>Recreation Disturbance Does Not Change Feeding Behavior of the Western Snowy Plover</t>
  </si>
  <si>
    <t>The Western Snowy Plover (Charadrius alexandrinus nivosus) is a small shorebird that has many scattered wintering populations along the Pacific Coast of the United States, including several in the Bay Area. This species has been listed as threatened since 1993 under the federal Endangered Species Act of 1973. For this study I measured disturbance rates, types, plover responses and feeding time in three different sites in the San Francisco Bay Area to explore the link between recreation disturbance and feeding behavior. I predicted that as frequency of disturbance increased, the birds would spend less time actively foraging and more time alert. However, data showed no significant relationship between feeding behavior and direct disturbance by human recreators. Instead, I now predict that recreation has a more indirect effect on the western snowy plover feeding behavior. Future research should focus on indirect effects of recreation, such as habitat disturbance and food source quality.</t>
  </si>
  <si>
    <t>Warren-page1.pdf</t>
  </si>
  <si>
    <t>Simon Wong</t>
  </si>
  <si>
    <t>The Long-Term Effects of Climate on the Respiration Rates of Recalcitrant Soil Microbes</t>
  </si>
  <si>
    <t>Changes in global climate have been linked to rising seawater levels and the extinction of many endemic and endangered species. However, one link that has not been thoroughly explored is the effect of long-term temperature increases on the microbes that inhabit recalcitrant carbon pools. I attempted to answer this question by extracting soil samples from two sites in Northern California and having the samples undergo a warm and cold treatment. The soil samples were placed in manually adjusted incubators to simulate global warming scenarios. During the nine month-long incubations, changes in Q10, which represented the rate of CO2 respiration per ten degree increase and acclimation patterns, were noted. In the end, it was seen that long-term incubations do significantly change the Q10 value from the accepted value of two. For the Blodgett samples the trends in Q10 values were highly variable. However, complications in testing methodology may have contributed to the variability seen. The Q10 values for Tonzi samples were more consistent, as the warm samples showed signs of acclimation and had significant deviations in Q10. From the ANOVA test on neither temperature nor location were a significant factors enough to contribute to the Q10 values seen.</t>
  </si>
  <si>
    <t>Wong-page1.pdf</t>
  </si>
  <si>
    <t>Jonathan Wright</t>
  </si>
  <si>
    <t>The Effects of Inorganic Nitrogen Deposition on Methane Effluxes from Tropical Forest Soils.</t>
  </si>
  <si>
    <t>Anthropogenic nitrogen (N) inputs to tropical forest ecosystems have increased and will likely continue to increase due to industrialization, urbanization, and development. Increased presence of N in the soil can alter the efflux of methane (CH4) across the soil-atmosphere interface. Molecular similarities between NH3 and CH4 allow NH3 to compete for sites on the methane monooxygenase (MMO) enzyme in methanotrophic bacteria, reducing CH4 oxidation rates in the soil and increasing diffusion rates of CH4 to the atmosphere. There is a need to quantify biological sources and sinks of CH4, particularly in tropical forest soils, as 25-35% of current climate forcing can be attributed to atmospheric CH4. I examined the effects of N fertilization in a lower montane rain forest and a lower montane wet forest, both part of the Luquillo Experiment Forest, Puerto Rico. Samples of soil gas efflux were collected using the static flux method for eight weeks in the summer of 2006. Between the second and third weeks, three of six plots in each forest type received 50 kg N/ha. High rates of nitrification could explain the absence of long-term effects. A short-term positive response in CH4 effluxes may have occurred in the higher elevation forest type, likely due to site differences in soil redox dynamics. Variable soil redox dynamics make quantifying the effect across an entire ecosystem difficult.</t>
  </si>
  <si>
    <t>Wright-page1.pdf</t>
  </si>
  <si>
    <t>Elaine Zhong</t>
  </si>
  <si>
    <t>Cleaner Captains: The Relationship Between Recreational Boater Knowledge and their Pro-Environmental Behaviors</t>
  </si>
  <si>
    <t>Recreational boating is a major industry in California that attracts over a million users each year. However, recreational boats and associated boating activities are also major sources of water pollution. As such, state and local agencies have sought to inform boaters about their activities’ environmental impacts and promote pro-environmental behaviors among the boating population.  To assess the level of boaters’ water pollution knowledge and their behavioral actions and to explore the relationship between boaters’ water pollution knowledge and clean boating practices, a survey was conducted among recreational boaters in the spring of 2007 at boat trade shows.  I hypothesized that recreational boaters with greater knowledge of water would perform clean boating practices more frequently than those without this knowledge.  Recreational boaters were asked to complete a survey containing water pollution knowledge quiz questions and self-reported behavioral questions.  After controlling for demographics and boating experience, results indicate that greater knowledge of water pollution, as measured in this study, is not significantly correlated with the frequent practice of pro-environmental boating.</t>
  </si>
  <si>
    <t>Zhong-page1.pdf</t>
  </si>
  <si>
    <t>https://www.ocf.berkeley.edu/~pkmendez/envsci/projects/2007final/</t>
  </si>
  <si>
    <t>Heather Belichesky</t>
  </si>
  <si>
    <t>Effects of Standardized Test Scores on Environmental Education at the Elementary Level</t>
  </si>
  <si>
    <t>Elementary environmental education is important in order to nurture students’ interest in the environment, and will promote environmentally positive actions later in life (California State Department of Education 1973). However, with the 2001 implementation of the No Child Left Behind Act, schools are evaluated according to their students’ performances on standardized tests, which do not incorporate environmental education. In this study, the amount and quality of environmental education was assessed through teacher surveys and interviews.  The results showed that schools with lower overall scores on standardized tests had less and lower quality environmental education.  Interviews showed that teachers at schools with lower Academic Performance Index (API) scores, spent more time focusing on lessons to increase their students’ test scores which limited time for environmental education, compared to teachers at schools with higher API scores.  Teachers at schools with higher API scores were motivated to teach environmental lessons because of personal and student interest rather than regulations. These results imply a need to train teachers or create curriculum that incorporateso6 environmental education in a manner that is also conducive to increasing students’ performance on standardized tests.</t>
  </si>
  <si>
    <t>belichesky-page1.pdf</t>
  </si>
  <si>
    <t>Anne Bozack</t>
  </si>
  <si>
    <t>Effect of Organic and Conventional Farming Practices on Quercetin Content in Spinach, Spinacia oleracea</t>
  </si>
  <si>
    <t>Positive stresses and limitations of nutrient accessibility inherent in organic systems may increase the biosynthesis of secondary metabolites relative to conventional systems. Since many secondary metabolites have antioxidant capabilities, the potential of agricultural conditions to increase their content in produce has implications for the health of individual consumers. In particular, the common antioxidant quercetin, present in spinach, Spinacia oleracea, has antihistamine and anti-tumor properties. Due to the beneficial properties of this compound, this study was designed to establish the influence of 5 treatments associated with organic and conventional farming on its content in spinach: 1) organic soil, 2) synthetic soil (with supplemental fertilizers), 3) synthetic pesticides, 4) simulated herbivory, and 5) synthetic herbicides. The content (mass per fresh weight) of quercetin and its glycocides rutin and quercitrin were quantified with high pressure liquid chromatography, HPLC. Rutin and quercitrin were not detectable in any of the samples. Quercetin was present with each of the treatments; however, its content did not differ significantly among them.</t>
  </si>
  <si>
    <t>bozack-page1.pdf</t>
  </si>
  <si>
    <t>Ingrid Burke</t>
  </si>
  <si>
    <t>Ash and Non-Ash Nitrogen and Moisture Levels in Whitaker’s Forest Canopy Gaps</t>
  </si>
  <si>
    <t>Creation of canopy gaps is an innovative forest management technique that provides space and light for new growth while maintaining the ecology and biodiversity of the forest. A current study on the canopy gap regeneration of giant sequoia (Sequoiadendron giganteum) in Whitaker’s Forest (southern Sierra Nevada Mountains, California) shows a marked difference in the size and vigor of seedlings growing in ash beds, which resulted from burning logging debris, compared with those growing in bare mineral soil. To investigate this difference, I collected soil and foliar samples, as well as soil moisture measurements, from both ash and non-ash areas of four 1-acre gaps. The soil and foliage samples were analyzed using extractable nitrate and ammonium tests. Soil sample nitrogen levels range from 0.1 ppm to 64.5 ppm, foliage samples range from 5 ppm to 650 ppm, and soil moisture readings range from –0.044% to 0.36%; none of the three shows statistically significant difference between ash and non-ash. Levels of soil nitrogen don’t appear to be related to those of foliar nitrogen, and nitrogen levels do not appear to be related to soil moisture. Neither ash nor non-ash areas in large gaps show the expected high moisture levels near gap center. This pilot study outlines the high variability in nitrogen and moisture levels in the system, and also illuminates the spatial scale at which the variability occurs. Future work can use these baselines to continue the examination of potential influences of ash on conifer regeneration.</t>
  </si>
  <si>
    <t>burke-page1.pdf</t>
  </si>
  <si>
    <t>Leah Butler</t>
  </si>
  <si>
    <t>Effects and Outcomes of Amicus Curiae Briefs at the WTO: An Assessment of NGO Experiences</t>
  </si>
  <si>
    <t>The World Trade Organization (WTO) operates on a strictly government-to-government level. Despite this, nongovernmental organizations (NGOs) attempt to influence the decisions of the WTO by using amicus curiae briefs. This study examines the ways in which NGOs use amicus curiae briefs to influence WTO decisions regarding international trade policy, presenting the motivations behind NGOs’ decisions to use amicus curiae briefs, the strategies used to submit the briefs, the relative merits of these strategies, and the outcomes and effects of brief submittal. A survey of 15 NGOs that submitted amicus curiae briefs to WTO dispute bodies from 1996 – 2006 reveals that NGOs were able to achieve a variety of procedural/participatory and substantive goals and found utility in submitting amicus curiae briefs despite procedural barriers. Although submitting amicus curiae briefs directly to the WTO offers NGOs the most autonomy and is the preferred method, funneling such briefs through WTO Member States resulted in increased brief acceptance and consideration. Moreover, gaining Member State support, attracting media attention, networking among NGOs, and working directly with the WTO had further advantageous effects. Until formal procedures are instated to guide the use of amicus curiae briefs at the WTO, NGOs can strategize brief submittal to achieve desired outcomes.</t>
  </si>
  <si>
    <t>butler-page1.pdf</t>
  </si>
  <si>
    <t>Hyojik Charles Lee</t>
  </si>
  <si>
    <t>Greener Office: Attitudes of Paper Consumers for Recycled Papers vs. Virgin Papers</t>
  </si>
  <si>
    <t>Quality of recycled paper has been improving and it is becoming more rival with the virgin papers. For about nine years, University of California, Press (U.C. Press) has been using virgin paper. Their previous attempts of switching virgin paper to recycled paper have created constant mechanical problems in copying machines and printers. Employees' continuous complaints about the quality of recycled paper eventually led U.C. Press to forgo its attempt. This study investigates current U.C. Press employees' view of recycled paper and the capability of recycled paper on copy machines/printers in attempt to shape the present attitudes and choices about recycled paper. To examine, all employees were asked to participate in an initial survey of their attitudes toward the recycled papers on subjective and objective views. Then, randomly designated printers and copy machines were loaded with recycled paper blinded from employees for one month. Final surveys were handed out to assess their experience of using the controlled paper. Results showed that the employees were inclined to switch the office paper to recycled papers because they were not able to differentiate two types of papers, and printers and copy machines showed minimal changes in performances.</t>
  </si>
  <si>
    <t>c-lee-page1.pdf</t>
  </si>
  <si>
    <t>Claire Chalmers</t>
  </si>
  <si>
    <t>Can Mulch Increase Predatory Arthropod Populations in Agricultural Crops?</t>
  </si>
  <si>
    <t>Integrated pest management describes management of agricultural pest populations without resorting to chemical pesticides. One way to reduce pest populations is to increase the populations of pests' natural predators. Previous research shows that using mulch as a ground cover decreases pest populations, and suggests that this decline is due to higher populations of natural predatory arthropods. To determine if this is actually the case, I measured the relative population sizes of seven species of predatory arthropods in mulched and unmulched broccoli and bean plots over a 10-week period. My analysis shows that, contrary to my hypothesis, mulch either has no impact, or has a negative impact, on the population sizes of predatory arthropods.</t>
  </si>
  <si>
    <t>chalmers-page1.pdf</t>
  </si>
  <si>
    <t>Angela Dombrowski</t>
  </si>
  <si>
    <t>The Effects Of Nutrients, Light and Insect Herbivory on Algal Biomass</t>
  </si>
  <si>
    <t>Algae are an important source of primary productivity in stream ecosystems, but the effect of nutrients on their growth, in relation to light limitation and herbivory is not well known in lotic systems. To better understand these two effects and the links between them, I examined the response of algal growth to light availability, nutrient availability and herbivory, by the use of nutrient diffusing substrates (nitrogen, phosphorus, and nitrogen + phosphorus) within the South Fork Eel River, Mendocino Co., CA. The study was conducted within nine streams with varying degrees of canopy cover. Of these nine streams, four were chosen to examine the effect of herbivorous insects on increased algal growth. Nutrient diffusing substrates were used to assess the effects of nutrients on algal biomass. To see if herbivores respond to the expected increase in algal biomass by increased consumption and presence, treatments allowing for herbivore inclusion were added. Chlorophyll-̑ (productivity) and ash-free dry mass (AFDM, biomass) data were analyzed via multiple regression. I concluded that nutrients, when alone and not in conjunction with one another, showed to have either an increased (N) or decreased (P) effect on algal productivity and biomass. In a Two-Way ANOVA, herbivores were not shown to reduce organic biomass in streams, nor did the data show them to have a significant preference towards nitrogen treatments. This could mean that either algal abundance does not play a role in grazer nutritional preferences, or that grazing of algae on nutrient treated substrates allowed other algae, not preferred by grazers, to colonize nutrient treated substrates.</t>
  </si>
  <si>
    <t>dombrowski-page1.pdf</t>
  </si>
  <si>
    <t>Eunice Yujung Lee</t>
  </si>
  <si>
    <t>The Spatial-Demographic Association Between Water Contact and Schistosomiasis Reinfection</t>
  </si>
  <si>
    <t>Despite the progress in controlling and eradicating schistosomiasis in disease prevalent areas, the disease has reemerged in some regions. Poor sanitation and waste treatment contribute to higher risk of disease transmission to humans and host snails. Snails were collected from irrigation ditches during the summer and GPS was used to create a ditch map for each village. Based on this information, and a survey of human parasitological examinations, a GIS was created. I used the GIS to assess the correlation between village prevalence mean eggs per gram and non-spatial and spatial predictors. I found village level human infection rate to be strongly associated with the number of infected snails and the average distance of infected snails from the residential area, with higher numbers of infected snails found close to the residential area in villages with high human prevalence. In addition, a spatial analysis of location and intensity of individual-level water contact patterns assessed individual-level human exposure to the parasite. The intensity of water contact and the individual-level exposures were not strong indicators for infection risk. The village-level results have implications for surveillance near residential areas. However, individual-level human water contact patterns must be further investigated.</t>
  </si>
  <si>
    <t>e-lee-page1.pdf</t>
  </si>
  <si>
    <t>Matthew Griffis</t>
  </si>
  <si>
    <t>Factors That Affect Student Regional Park Use</t>
  </si>
  <si>
    <t>This study examines the primary factors that limit or prevent use of nearby regional parks by undergraduate college students at UC Berkeley. Using a web-based survey of a random sample of UC Berkeley undergraduates, I explored eight factors that might play a role in limiting student regional park use: money, access to transportation, distance to park, environmental value, interest in park opportunities, free time, knowledge of park opportunities, and concern for safety. Chi-squared analysis showed that there is no significant association between park use level and money, access to transportation, environmental value, interest in park opportunities, free time, knowledge of park opportunities, or concern for safety, but there is a significant association between park use level and distance to park. Individual direct ranking of factors by respondents demonstrated that the largest perceived barriers to park use among non-park users are free time and knowledge of park opportunities, and the largest perceived barriers to park use among regular park users are free time and access to transportation. These results suggest that park management agencies should invest resources in publicizing park opportunities to increase interest and in increasing park access, possibly by increasing bus service to parks.</t>
  </si>
  <si>
    <t>griffis-page1.pdf</t>
  </si>
  <si>
    <t>Aaron N. K. Haiman</t>
  </si>
  <si>
    <t>Prey Selection of Cooper’s Hawks (Accipiter cooperii) Nesting in Urban Areas of Berkeley and Albany, California</t>
  </si>
  <si>
    <t>The Cooper’s Hawk is one of the few species of top predators that can persist in urban areas.  Little is known, however, on the dynamics between urbanization and the species that adapt and persist in these areas.  One requirement for the survival of Cooper’s Hawks in urban areas is prey availability.  To determine the prey species of the Cooper’s Hawk in the urban areas of Berkeley and Albany California, I analyzed the previously identified 579 prey remains of the 2002 breeding season.  To this dataset I added the 478 prey remains collected from Cooper’s Hawk nest sites during the 2003 breeding season which had not been identified.  In 2002, 16 species of bird and 3 species of mammal were found.  In 2003, 20 species of bird and 1 species of mammal were found.  Of these species, Rock Dove, Mourning Dove, and American Robin comprised ~80% of the biomass of their diet.  The percentage of non-native biomass of the diet was higher, on average, in more urban nests (~65%) than in park nests (~25%).  Most of this biomass was brought to the nest in the mid-section of the breeding season.  Determining how the Cooper’s Hawk is able to survive and reproduce in such close proximity to human activity and disturbance can lead to better management decisions with respect to this species and others in the future.</t>
  </si>
  <si>
    <t>haiman-page1.pdf</t>
  </si>
  <si>
    <t>Lisa Hauck</t>
  </si>
  <si>
    <t>The Effects of Stream Restoration on Habitat Quality</t>
  </si>
  <si>
    <t>Many stream restoration projects do not include a requirement for long-term monitoring after the project has been completed, resulting in a lack of information about the success or failures of certain restoration techniques. This study examines habitat quality of four urban streams – Wildcat Creek, Baxter Creek, Alhambra Creek and Peralta Creek – in the East Bay region of California before and after restoration to determine the success of the project. The studied streams were restored between one and six years ago using a variety of restoration techniques. Habitat quality was assessed in restored reaches of streams using the U.S. Environmental Protection Agency’s Rapid Bio-assessment Protocols and compared with information about, and photographs of, the stream before it was restored. Results of this study showed that while some aspects of habitat quality were improved at the studied sites, not all aspects of the restoration projects were successful in all cases. This study shows the importance of performing long-term monitoring after the completion of a restoration project. Monitoring can reveal whether or not habitat quality has improved, whether or not the goals of the project have been met and guide ongoing restoration efforts.</t>
  </si>
  <si>
    <t>hauck-page1.pdf</t>
  </si>
  <si>
    <t>Brian C. Hernandez</t>
  </si>
  <si>
    <t>Comparing Accuracy of Xylella fastidiosa Detection Methods in Sharpshooters</t>
  </si>
  <si>
    <t>Xylella fastidiosa, a gram-negative bacterium, is spread by a number of insect vectors that causes an array of agricultural diseases including Pierce’s Disease in grapevines. The bacterium’s recent spread by an invasive vector Homalodisca coagulata in southern California has caused a new epidemic of Pierce’s Disease throughout California’s vineyards. The goal of this study is to measure and compare the accuracy of three different laboratory techniques for the detection of X. fastidiosa. These techniques are: polymerase chain reaction-based vacuum extraction from H. coagulata mouthparts and foregut where the pathogen is harbored; plant culture using live transmission tests with H. coagulata as a vector; and insect head culture of H. coagulata. Plant cultures used from live transmission tests demonstrated the highest yield of positive detections of X. fastidiosa. Polymerase chain reaction-based vacuum extraction resulted in a low number of positives, and insect head culture was the most inconclusive method with no positives and many contaminations. Although live transmission tests proved to give the highest yield of positives, this process is the most time consuming of the three techniques. Polymerase chain reaction is the fastest method, and will be the most preferred once the errors in the protocol are fixed.</t>
  </si>
  <si>
    <t>hernandez-page1.pdf</t>
  </si>
  <si>
    <t>Geza Theodore Kisch</t>
  </si>
  <si>
    <t>Environment versus Development: Assessing Environmental Predictions and Economic goals in the Community Mine Continuation Agreements for Western Province, Papua New Guinea</t>
  </si>
  <si>
    <t>Environmental damage caused by the Ok Tedi mine in Papua New Guinea resulted in the largest class-action lawsuit ever to reach Australian courts. In response to this, the mining company produced the Community Mine Continuation Agreements (CMCAs), a series of opt-out compensation packages to villagers in exchange for legal indemnity for all environmental pollution. The validity of the CMCA environmental predictions was assessed to determine whether these predictions were based on previous scientific research. Field interviews with community leaders investigated the role of economic development in influencing communities to sign the CMCA. The CMCA environmental predictions were found to severely understate the likely environmental effects of the mine, consisting largely of best-case scenarios. Analysis of the interviews found that the promise of economic development was a key factor in the signing of the CMCAs, and that the decision to sign the CMCA was more a resolution in favor of immediate compensation and incremental environmental damage instead of a highly uncertain court case. Differing degrees of community strength and environmental damage and along the river and access to mine benefits played key roles in determining the decision and motivations in signing the CMCAs. This study may have significance in an upcoming court case re-examining the legal validity of the CMCAs.</t>
  </si>
  <si>
    <t>hiddenkisch-page1.pdf</t>
  </si>
  <si>
    <t>Richard Hunt</t>
  </si>
  <si>
    <t>Investigation of the algal toxicity of Triclosan (5-chloro-2-(2,4-dichlorophenoxy)phenol) and Triclocarban (3,4,4'-trichlorcarbanilide).</t>
  </si>
  <si>
    <t>Triclosan and Triclocarban are antimicrobial compounds that are present in several disinfectant hand-soaps currently on the market. The compounds have recently been found in surface waters, possibly due to soil runoff or ineffective waste water treatment. The motivation for this study stems from the lack of peer-reviewed published information on aquatic toxicity of these compounds, a rise in the use of these chemicals and that equally effective alternatives exist in the prevention of hand-washing related illnesses. This study investigates the algal toxicity of these compounds over a wide range of concentrations. The target organisms are green freshwater algae that were enriched from a local agricultural drain. Growth inhibition of the alga is measured using in-vivo chlorophyll a fluorescence. Results show that the IC50 of Triclosan is 1.1mg/L, 10 orders of magnitude higher than previous studies. This decrease in toxicity is likely due to a difference in the species of algae studied and suggests that local algae species are more resistant than originally thought.</t>
  </si>
  <si>
    <t>hunt-page1.pdf</t>
  </si>
  <si>
    <t>Sam Johnson</t>
  </si>
  <si>
    <t>Pine and Oak Response to Fire in the Sierra Nevada Foothill Savanna</t>
  </si>
  <si>
    <t>The pine-oak savanna of California's Sierra Nevada foothills has been greatly altered by the introduction of cattle grazing, exotic annual grasses and the suppression of fire. Fire is an important element of the disturbance regime of an ecosystem and is a common management tool for wildlands. Therefore it is important to understand the effects of fire on the growth rate of tree species native to this ecosystem. I used woody debris line-intercept sampling and Brown fuel transects to quantify fuels consumed by a controlled burn treatment at the University of California's Sierra Foothill Research and Extension Center (SFREC) in the northern Sierra Nevada mountains. I used the difference in ground fuels before and after the burn as a proxy for the fire intensity and compared the difference against tree diameter growth rates before and after treatment. Quercus douglasii and Pinus sabiniana both showed a significant negative difference in normalized rates of radial growth in the first year following the prescribed burn. I did not find a significant correlation between radial growth and fuels consumed on a sub-watershed scale. I developed a model to explain the relationship between woody debris and Brown fuel transects. This pilot study suggests that a more in-depth study is needed to understand the relationship between fire and tree growth here. Longer term trends can only be determined future measurements of tree growth. Further work needs to be conducted on the specific parameters which best suit the implementation of woody debris and/or Brown fuel transects in the savanna ecosystem.</t>
  </si>
  <si>
    <t>johnson-page1.pdf</t>
  </si>
  <si>
    <t>Michelle Kim</t>
  </si>
  <si>
    <t>Toxic Play: Addressing CCA-treated Wood Playground Structures in the City of San Francisco, California - an Environmental Justice Issue?</t>
  </si>
  <si>
    <t>Arsenic in chromated copper arsenate (CCA)-treated wood playground structures leaches to the surface of the wood and to the soil beneath it. Because it is a registered human carcinogen, the leaching arsenic poses a health risk to children who spend time on the contaminated playgrounds. The purpose of this study is to examine how this public health issue is being addressed and if certain populations are being exposed to CCA in the City of San Francisco. The study takes into consideration the municipal bureaucracy as well as the demographic features of the city’s communities in determining CCA-treated playground usage and renovation patterns. This investigation was accomplished through (1) interviews with city managers about the organizational processes through which these decisions are made and (2) the production of GIS-based maps that combine city demographics and CCA-wood play structure locations. This study attempted to resolve the question of whether an environmental justice issue is at large such that the environmental burden of CCA on playgrounds is disproportionately distributed throughout San Francisco. This study found San Francisco to have a management program in place that is collaborative between departments. The ratios of CCA-treated play structures to non-CCA-treated play structures in Asian, African-American, Latino, and White communities to be inconclusive, while the ratios significantly decreased when measured against increasing median family income. This study concludes that the availability of funding outweighs scientific assessment and community involvement when considering CCA-treated playground removal and replacement, and is a major factor that influences the remediation actions that can be carried out by city management.</t>
  </si>
  <si>
    <t>kim-page1.pdf</t>
  </si>
  <si>
    <t>Monika Krupa</t>
  </si>
  <si>
    <t>Carbon addition in the Form of Sucrose and Sawdust as a Method of Restoring Native Perennial Grasses in Two Coastal California Prairies</t>
  </si>
  <si>
    <t>The extensive conversion of California’s grasslands into communities occupied by Mediterranean annual grasses, and the nitrogen enrichment of areas in which native remnant populations still remain, have created a strong interest in employing labile carbon addition as a method of restoring and preserving the native perennial bunchgrasses that once dominated California’s landscape. Nitrogen enrichment has been shown to favor invasions of grasslands by annual species. Carbon addition to the soil may be used to temporarily decrease soil nitrogen availability, which in turn may decrease the competitiveness of exotic annual grasses, and thereby give native seedlings a greater chance of survival. This study examined whether the addition of labile carbon (in the form of sucrose and sawdust) reduced plant available nitrogen and increased native establishment in two coastal California prairies. In March 2006, sawdust and sucrose (400 g C/ m%) were added to plot that contained both native and exotic seedlings and measures of soil moisture and nitrogen levels were taken. I expect to find that carbon amended plots have lower net nitrogen mineralization and nitrification rates and lower ammonium and nitrate concentrations than unamended plots. At both sites, there was no significant difference in soil moisture levels between the two treatments. This implies that any differences in species composition can be attributed to differences in soil nitrogen levels rather than differences in soil moisture.</t>
  </si>
  <si>
    <t>krupa-page1.pdf</t>
  </si>
  <si>
    <t>Tami Lau</t>
  </si>
  <si>
    <t>Spatial and Habitat Overlap of Wild Turkeys and California Quail at Annadel State Park, California</t>
  </si>
  <si>
    <t>Wild turkeys (Meleagris gallopavo) were introduced to California in the early twentieth century for hunting.  Their range has increased rapidly since then and they are becoming a concern due to conflict and competition with native species.  The purpose of this study is to assess the potential for competition between wild turkeys and California Quail (Callipepla californica), a native game bird with similar habitat requirements, at Annadel State Park (Santa Rosa, California).  Using a modified distance sampling technique, I determined habitat type use and spatial overlap of the two species for October 2005 through April 2006.  I used Gower's Similarity Coefficient and a contingency table with a chi-square goodness of fit test to show that turkey and quail use different geographic areas of the park and different habitat types, suggesting the possibility of spatial separation and differentiation.  These results have a direct impact on the management of wild turkeys, particularly on government lands.  The eradication of wild turkey populations would be time-consuming and costly, as turkeys are extremely resilient.  If they are not causing any negative impacts on local species such as California Quail, as appears to be the case, perhaps they can be simply monitored for the time being and attention directed to other areas of concern in the park.</t>
  </si>
  <si>
    <t>lau-page1.pdf</t>
  </si>
  <si>
    <t>Shelly Lyser</t>
  </si>
  <si>
    <t>Water Temperature and Chytridiomycosis in Rana muscosa Larvae</t>
  </si>
  <si>
    <t>The fungal pathogen Batrachochytrium dendrobatidis, also known as chytrid fungus, has been implicated in amphibian declines worldwide.  Chytridiomycosis is a water-borne disease that interferes with osmoregulation in amphibian skin, and has the ability to rapidly wipe out populations.  Laboratory studies have shown that exposing adult frogs to elevated temperatures can reduce or even eliminate their infection.  My field study tests whether elevated temperatures can alter infection rates in frog larvae, which can be a vital reservoir for the pathogen.  Seventy-two tadpoles were removed from alpine lakes and placed in small pools with a density of twelve tadpoles per pool.  Half of the pools were left exposed to sunlight to allow the water to receive solar heating during the day, and the other half shaded to attempt to simulate temperature fluctuations similar to a lake.  An eight-degree difference in peak temperatures was achieved between the two groups and a 3.5-degree difference in the averages, however no significant change in infection level was found after two weeks of treatment.  These results suggest that higher or more sustained temperature increases are required to reduce infection in tadpoles.</t>
  </si>
  <si>
    <t>lyser-page1.pdf</t>
  </si>
  <si>
    <t>Susan Ma</t>
  </si>
  <si>
    <t>Toxic Bioassays: LC50 Sediment Testing of the Insecticide Fipronil with the Non-Target Organism, Hyalella azteca</t>
  </si>
  <si>
    <t>The use of the insecticide fipronil has dramatically increased in recent years, yet few studies have been performed compared to other popular pesticides. Although fipronil binds readily to organic carbon in soil, past studies have focused on fipronil toxicity in water but not the effects of fipronil toxicity in sediment. This study addresses the need for a broader range in fipronil toxicity research by using LC50 sediment testing to determine the acute toxicity of fipronil and its metabolite degradates, fipronil sulfone and fipronil sulfide, on the non-target organism Hyalella azteca. All pesticides were tested on two sediment combinations from different areas within California. Results showed that 9-day LC50 estimates were 227µg/kg for fipronil, 113µg/kg for fipronil sulfone, and 385µg/kg for fipronil sulfide in a San Pablo-Lake Anza sediment mixture. LC50 estimates for fipronil and its degradates tested in Ingram-Pacheco Creek sediment were 385µg/kg, 203µg/kg, and 485µg/kg, respectively. Although fipronil degradates are generally considered to be more toxic than its parent compound to freshwater invertebrates, only the LC50 for fipronil sulfone was found to be more toxic than the parent fipronil (by two-fold) while fipronil sulfide was found to be less toxic. LOEC and NOEC values support the conclusion that fipronil sulfone is toxic at lower concentration levels than the other compounds. This unexpected variability indicates that even within taxonomic groups, fipronil sensitivity may differ, underscoring the importance of exploring different variables such as sediment toxicity testing and use of different test species.</t>
  </si>
  <si>
    <t>ma-page1.pdf</t>
  </si>
  <si>
    <t>Ljubinko Miljkovic</t>
  </si>
  <si>
    <t>Effect of Rock Heterogeneity and Relative Permeability on CO2 Flow in Brine-Saturated Berea Sandstone</t>
  </si>
  <si>
    <t>A general consensus has been reached in the scientific community that large-scale anthropogenic emission of CO2 will continue to cause global warming of the earth’s lower atmosphere, which is expected to have the secondary effects of raising sea level, disrupting ecosystems, and increasing summer lengths, intensities, and heat-related mortality. One potential recourse is carbon-capture and sequestration (CCS) technology, which separates CO2 from the exhaust gas of fossil fuel burning electricity plants and stores it as a compressed supercritical fluid in deep saline aquifers. Existing CCS field experiments have failed to produce reservoirs of high CO2-saturation, and rock heterogeneity (spatial variations in rock permeability) is thought to be the cause. A greater understanding of the effect of heterogeneity on the saturation of CO2 is needed to better understand CO2 storage capacity. The research presented in this paper compares two TOUGH2 simulations of injected CO2 into a brine-saturated Berea sandstone core: one heterogeneous and the other homogeneous. Small, unstructured heterogeneity was found to have no impact on CO2 saturation. Further, this research determined experimentally the relative permeability curves for CO2 and brine in the heterogeneous Berea sandstone core using standard core-flooding techniques. The measured relative permeability data were then character-ized and input into a TOUGH2 numerical simulation of a homogeneous core to simulate the effects of heterogeneity. A homogeneous simulation was used to determine if such computationally simpler simulations, given proper relative permeability data, could simulate the behavior of more complex, heterogeneous experiments. Indeed, this enhanced model accurately simulated average CO2 saturation of the Berea core to within 2%, though the cross-sectional CO2 saturation profile differed due to localized variability in the Berea core.</t>
  </si>
  <si>
    <t>miljkovic-page1.pdf</t>
  </si>
  <si>
    <t>Lynette Mulvihill</t>
  </si>
  <si>
    <t>An Application of the Species Area Relationship to Coastal Californian Grasses</t>
  </si>
  <si>
    <t>The species area relationship (SAR) is an ecological method for measuring species
distribution within plant communities. What does it reveal about the differences in species
distribution when comparing mirco-site plant communities composed of bothe native perennial
and exotic annual grasses? This study analyzed 2 fixed plots, each 4 m 2, located within the
Golden Gate Recreational Area, in California. The organization of the plots followed a complete
nested design and was divided into a total of 256 cells, the smallest unit of area at 1/64m 2. The
numbers of species present were recorded at the smallest unit of area, which were then
aggregated into 8 different units of area and the mean species richness was calculated for each
size. This study finds a higher number of species in the native plot at the largest scale along with
greater slope value of the native SAR curve. It also finds that a greater rate of species increase
with plot size in the native plot, but a lower average absolute number at the smallest scale. The
resulting SAR curves reveal that the structure of an established native plant micro site
community follows the SAR relationship closer than an exotic annual plant micro site
community.</t>
  </si>
  <si>
    <t>mulvihill-page1.pdf</t>
  </si>
  <si>
    <t>Tracie Nelson</t>
  </si>
  <si>
    <t>Trampling Effects of Hiking and Mountain Biking in a Grassland Park</t>
  </si>
  <si>
    <t>Targeting the cause of trail degradation can be a challenging role for park managers if more than one user group frequents the trails. This study compared the effects of hiking and mountain biking across seasonal California grasses to determine the trampling that could occur just prior to the onset of the rainy season. Hiking and mountain biking traffic were experimentally applied to undisturbed grasses in thirty 6ft-long by 1-ft wide test lanes at Mullholland Ridge Open Space in Moraga, California. The traffic was applied in both pulse (one 40-pass treatment applied on a single day) and press (four 10-pass applications applied at biweekly intervals) forms along with a no-traffic control. Measurements of percent cover and vegetation height were taken to measure disturbance, and data on each were taken before treatments, immediately after treatments, and at two-week intervals thereafter to determine the initial impact and vegetative recovery. Hiking and mountain biking both caused a significant but statistically indistinguishable decrease in vegetation height, and, consistent with pre-wet season conditions, no significant recovery in the height of dormant grasses was observed for either treatment type. The two treatment types did not produce statistically significant differences in the percent plant cover, and neither appears to curb the emergence of new springtime grasses. These results indicate that the short-term effects of hiking and mountain biking may not differ significantly on undisturbed grasses.</t>
  </si>
  <si>
    <t>nelson-page1.pdf</t>
  </si>
  <si>
    <t>Mia Orsini</t>
  </si>
  <si>
    <t>Mortality and Predation of Olive Fly (Bactrocera oleae) Pupae on the Soil in a Davis, California Olive Orchard</t>
  </si>
  <si>
    <t>The olive fly (Bactrocera oleae), which plagues most olive-growing countries of the world, arrived in California in 1998. The larvae infest olive fruits, and even small populations can ruin entire crops. Many mechanisms of control have been developed for it, including chemical spraying and biological methods (parasitoid wasps). One avenue that has been largely overlooked is control of olive fly populations at the pupal stage. Most olive flies pupate on the ground underneath the trees, where they are potentially vulnerable to many elements. This study examined the effects of predation, climate, and soil-borne organisms (such as fungi, nematodes bacteria and other pathogens) on pupal mortality. To determine the contribution of these various factors to pupal mortality, I utilized a combination of observation and release-recapture of B. oleae pupae exposed to different conditions on the surface of the soil in an olive orchard in California’s Central Valley. By comparing recovery and emergence rates of pupae in four treatments of increasing exclusion, I determined that predation (up to 67% mortality) and climate (up to 83% mortality) both contribute significantly to pupal mortality, while soil-borne organisms do not. The main predators of B. oleae pupae were ants. This study has potential implications on the future of biological control in olive orchards, including suggestions for insecticide and/or herbicide application strategies to encourage generalist ground predator populations.</t>
  </si>
  <si>
    <t>orsini-page1.pdf</t>
  </si>
  <si>
    <t>Eric Panzer</t>
  </si>
  <si>
    <t>Attitudes Regarding Smart Growth of Local Leaders and Officials in Contra Costa County, California</t>
  </si>
  <si>
    <t>The ecological impact and sustainability of land use patterns and urban development are increasingly coming under scrutiny. The term ’smart growth’ has been introduced to describe alternative development patterns characterized by land conservation, transit options, and thoughtful regional integration. It is important to consider what impediments exist to its implementation—most notably at the local to sub-regional level, where stakeholders most directly influence development. This research examines attitudes regarding smart growth held by leaders within Contra Costa County, California, which contains a variety of environments and development types. Officials and leaders were individually interviewed to determine their personal attitudes regarding smart growth and their experience with it in their community. Informants were well informed and generally supportive of smart growth principles; but also expressed concerned with homogenous imposition of smart growth, restricted community involvement, and smart growth’s suitability for certain settings and demographics. This implies that smart growth may gain support by encouraging community input, allowing flexibility in its application, and by providing lifestyle choices more comparable to citizen’s current circumstances.</t>
  </si>
  <si>
    <t>panzer-page1.pdf</t>
  </si>
  <si>
    <t>Lori Parks</t>
  </si>
  <si>
    <t>Variation in the Perception and Use of Public Transportation in La Plata, Argentina</t>
  </si>
  <si>
    <t>The city and county of La Plata, Argentina have faced many challenges to sustainable transportation.  Despite a high reliance on public transit, the citizens are frustrated with the quality of bus service. To identify the variation in the frequency of bus use and opinions among different segments of the population, a survey was conducted in collaboration with the local NGO Fundación Biosfera during July and August, 2005.  Over 800 people were randomly selected from public areas throughout the county of La Plata.  The results show that females, students, younger people, and residents of communities surrounding the city are more likely to use the bus at least once per week.  Overall, the irregular bus service  is viewed as the main problem with transportation, particularly by the most reliant groups.  The lack of access to public transportation is also an important issue, especially for areas surrounding the city.  Safety is seen as a problem for children and the oldest age group.  Furthermore, over half of the respondents between the ages of 15 and 60 identified the bus fare as expensive.  The results suggest that increasing coordination over the management of the transportation system, implementing segregated bus lanes, investing in transportation infrastructure, and making the information on routes and schedules more available to current and potential users would create a more efficient, equitable and sustainable transportation system in La Plata.</t>
  </si>
  <si>
    <t>parks-page1.pdf</t>
  </si>
  <si>
    <t>Kimberly Seymour</t>
  </si>
  <si>
    <t>Variables Affecting Recreational Use Intensity and its Impact on Carnivore Populations in Parks and Reserves in the Bay Area</t>
  </si>
  <si>
    <t>Previous studies have shown outdoor recreation and exterior development negatively
impact wildlife in parks and reserves; however, the variation of recreational use intensity and the
relationship between external development and recreation has not been taken into account. This
study used GIS analysis to examine how several site attributes and landscape variables
contributed to the variation of recreational use intensity in several parks and reserves in Marin
County, all of which permit recreation. I used infractions issued to recreators by Park Rangers
from 2001 to 2005 as an indicator of recreational use intensity. In order to understand whether
variation in the intensity of recreational use impacts wildlife in the preserves, I compared
frequency of recreation to carnivore population densities within the parks and reserves, using
carnivore scat densities as an index of carnivore population densities. The final model showed
positive, significant correlations between recreational use intensity and trail density and the
number of suburban parcels within 500m of the preserve. This study did not find a significant
relationship between recreational use intensity and carnivore population densities, but further
research is warranted. The results of both aspects of my research may help park managers and
development planners anticipate intensity of recreational use and potential impacts on wildlife
and thus implement management that is in the best interest of protecting interior wildlife without
impeding external development.</t>
  </si>
  <si>
    <t>seymour-page1.pdf</t>
  </si>
  <si>
    <t>Oliver Slosser</t>
  </si>
  <si>
    <t>Evaluation of the Aesthetic Differences Between Organically and Conventionally Grown Spinach Available in Market</t>
  </si>
  <si>
    <t>There is a perceived difference for the consumer between organic and conventional food products available in markets, which can be attributed to many factors, including public attitudes, possible quality differences, or economics. Of these factors, for many consumers there is an assumed aesthetic difference between organic and conventional samples of the same product that weigh into their purchasing decision. Organic and conventional spinach from several sources was photographed digitally and the pictures were analyzed in order to apply a quality value for each sample. The quality values of the different forms of spinach were analyzed to see if there was a significant difference between the aesthetic qualities of different kinds of spinach. From the comparison of the photographs of the samples of spinach, there was no significant difference found between the damage and discoloration of the two types of spinach. Further analysis showed a possible difference between the damage and discoloration between spinach found in the farmers market and those taken from a market chain such as Andronico’s, but as the sample set had not been designed to analyze this it can not be said to be a significant one. This lack of difference in the aesthetic qualities between organic and conventionally grown could be ascribed to a high requirement of aesthetic quality imposed by markets on growers and could be seen at the grower level. An interesting area for further research may be to sample straight from growers in the same area and see if there is any aesthetic difference at that level, as well as seeing a difference between chain markets and grower’s markets.</t>
  </si>
  <si>
    <t>slosser-page1.pdf</t>
  </si>
  <si>
    <t>Akiyo Tsuchiya</t>
  </si>
  <si>
    <t>Carbon Monoxide Measuring in the University Garages</t>
  </si>
  <si>
    <t>Carbon monoxide (CO) is generally regarded as a critical indicator of air pollutants from car exhausts. Carbon monoxide gives human beings variety of health impacts. It causes a sudden death by inhaling high concentration. Its presence can be used to quantify the amount of air pollution, and as an indicator of air quality in the garages. This study investigated carbon monoxide concentrations in the three underground garages at the University of California, Berkeley. In each garage, a portable carbon monoxide monitor was used to record the concentration of carbon monoxide every 5 seconds. At the same time, temperature, numbers of cars leaving/entering, the loading docks and car occupancy, were measured in every 10 minutes. These variables were expected to affect on changing CO concentration. All concentrations collected in this study were below OSHA guidelines. Carbon monoxide concentrations varied greatly depending on the total number of cars, car occupancy and the loading dock. Truck idling was the only statistically significant explanatory variable contributing to increase in carbon monoxide concentration. If more trucks are idling inside a garage, the concentration of carbon monoxide will be higher to have more effect on people’s health.</t>
  </si>
  <si>
    <t>tsuchiya-page1.pdf</t>
  </si>
  <si>
    <t>Noli F. Valera, Jr.</t>
  </si>
  <si>
    <t>Measuring Hospital Capacity: Assessing the Emergency Capacity of Bay Area Hospitals in Times of Disaster</t>
  </si>
  <si>
    <t>As centers for emergency care, hospitals must be well-prepared in order to provide proper care for individuals in times of disaster. This is especially important during large-scale disasters where emergency cases are so numerous as to overwhelm a region’s capability to handle emergencies. This study examines whether or not hospitals possess the capacity to provide care for such an influx of patients. Also, this study examines the distribution of hospitals in the study area to determine if hospitals adequately serve their communities. A simulation model looks at the capacity of hospitals in Alameda and San Francisco Counties in relation to the different populations that each hospital serves. This model also examines the relationship of age and socioeconomic factors with hospital capacity. Results show that hospitals have the capacity to provide care for critical levels of injury in times of emergency. Furthermore, age and socioeconomic factors have only a minor correlation with hospital capacity distribution.</t>
  </si>
  <si>
    <t>valera-page1.pdf</t>
  </si>
  <si>
    <t>Andrew Wallace</t>
  </si>
  <si>
    <t>The Effect of National Park Visitation on Environmental Awareness</t>
  </si>
  <si>
    <t>The Environmental Protection Agency (EPA) currently emphasizes formal environmental education (i.e. in a classroom setting), but informal environmental education (e.g. visiting a National Park) may also be an effective method of environmental education. This study explores the influence of visiting National Parks, National Recreation Areas, and National Monuments during different school grades on environmental attitude (e.g. supporting conservation) and behavior (e.g. recycling), collectively termed "awareness." Telephone surveys of 106 randomly chosen Californian residents measured visitation history to aforementioned National Park Service (NPS) units, environmental awareness, and formal environmental education as a confounding factor. Those who visited NPS units scored an average of 9% higher on environmental awareness than those who had no visitation history.  There was a weak correlation between environmental attitude and behavior (r² 0.18). Those who visited NPS units scored significantly higher on environmental attitude, but there was no significant difference on environmental behavior. These results show that while visiting NPS units significantly improves environmental attitude, it does not improve behavior, and the time in one's life when one visits a unit affects neither attitude nor behavior. Therefore, there is no compelling argument for the EPA to require schools to send students to NPS units; however, visits should be encouraged because they might raise environmental attitude.</t>
  </si>
  <si>
    <t>wallace-page1.pdf</t>
  </si>
  <si>
    <t>Jennifer Wang</t>
  </si>
  <si>
    <t>All in One: Do Single-Stream Curbside Recycling Programs Increase Recycling Rates?</t>
  </si>
  <si>
    <t>There is current debate on the effectiveness and efficiency of residential single-stream curbside collection compared to multi-stream curbside collection. This study investigates whether there is an increase in tonnage of recyclables collected at the curb after switching from a multi-stream to single-stream program and discusses factors that may account for variances in magnitude. This three-case comparative study examined collection data from the cities of Fremont, Livermore, and San Leandro, located in the San Francisco Bay Area, all of which recently switched to single-stream. Recycling coordinators from these cities were able to provide monthly data on tonnages of recyclables and garbage collected at the curb from single-family homes. Multiple regression analyses showed that a single-stream program significantly increases the amount of recyclable materials set out at the curb. The observed differences in the magnitudes of increase between these cities indicate that other factors in the program impact recycling behavior as well. Examination of these curbside programs suggests that educational outreach to residents may be one of the greatest factors in maximizing recycling rates in a single-stream service. This study also found that switching to single-stream may not have a significant impact on reducing the amount of land-filled materials. There are also reasons for doubting the reliability and accuracy of the data, indicating that improvements upon methods of data recording in the recycling field need to be made in order to more accurately assess the efficacy of recycling programs.</t>
  </si>
  <si>
    <t>wang-page1.pdf</t>
  </si>
  <si>
    <t>Suk-Ann Yee</t>
  </si>
  <si>
    <t>Effect of a soil calcium addition on the extension and radial growth rates of American beech (Fagus grandifolia) saplings</t>
  </si>
  <si>
    <t>Since the industrial revolution, acid rain has caused the leaching of nutrients such as calcium from forest soils, resulting in declines in the health and biomass production of northern US hardwood forests (Likens 2004). To reverse the effects of calcium loss, scientists added 50 tons of wollastonite (CaSiO3) to the soils of a small watershed in Hubbard Brook Valley, NH in 1999. In July and August 2005, 100 American Beech (Fagus gradifolia) saplings were harvested, 25 from each of four sites: upper control, lower control, upper calcium and lower calcium. I recorded the age, height, and diameter for each sapling, and determined the yearly extension and radial growth rates for the last 15-20 years. Due to the occurrence of a winter ice storm at the upper elevations in January 1998, saplings in these sections (upper control and upper calcium), had significantly higher radial and extension growth rates as compared to saplings in the lower sections of the watersheds. Although increased calcium concentrations in leaf samples show that soil calcium is being taken up by the saplings, any impact of the calcium on growth rates is being drowned out by other local environmental factors (climate, site-to-site differences).</t>
  </si>
  <si>
    <t>yee-page1.pdf</t>
  </si>
  <si>
    <t>Idit Zarchi</t>
  </si>
  <si>
    <t>Re-routing Groundwater for On-Campus Irrigation</t>
  </si>
  <si>
    <t>The University of California Berkeley currently draws millions of liters of domestic Bay Area water per year for irrigation purposes. Re-routing water from de-watering sumps on campus to irrigation systems could potentially save the campus tens to hundreds of thousands dollars a year and reduce domestic water consumption. Three indicators were selected to test the feasibility of constructing a water-reclaim-for-irrigation system: water quality, sump flow rate, and a cost/benefit analysis. Test sites across campus were sampled during the dry and wet seasons to give a representative view of a year long cycle. Water quality analysis was contrasted to known irrigation standards, sump flow rates assessed in relation to campus demand, and campus experts consulted for costs and benefits associated with constructing such a system. The water appears to be of good enough quality to prevent health or environmental damage, water flow sufficient to sustain several large plots on campus, and costs projected to outweighed by benefits within a ten year frame. This study has shown that connecting de-watering sumps and wells to irrigation lines on campus is a feasible alternative to current domestic water usage according to the factors assessed.</t>
  </si>
  <si>
    <t>zarchi-page1.pdf</t>
  </si>
  <si>
    <t>Ricardo Zintzun</t>
  </si>
  <si>
    <t>Growth of Xylella fastidiosa at Different pH Levels of Xylem Sap</t>
  </si>
  <si>
    <t>Xylella fastidiosa is a xylem-limited bacterium that causes Pierce’s Disease (PD), which leads to mortality in grapevines. There have been recordings of symptomatic grapevines recovering from PD over winter, which led to speculation that X. fastidiosa is sensitive to seasonal shifts in temperature or pH (pH is a function of seasonality). This research analyzes the affects pH has on the growth of X. fastidiosa. X. fastidiosa was grown in xylem sap (extracted with a Scholander pressure bomb) and adjusted to pH levels 4, 5, 6, and 7. Two test were conducted to determine the affects pH had on the growth of X. fastidiosa. The first test had xylem sap pooled together from 3 different European grape cultivars (Vitis vinifera); Cabernet Sauvignon, Pinot Noir, and Sylvaner. The second test only used xylem sap from Cabernet sauvignon. Xylem sap that was adjusted to pH of 6 had the highest population count, while at pH 4 the bacteria died after 24 hours. Bacteria grown at pH 5 and 7 had similar population levels at nearly every sample time. Although X. fastidiosa showed different growth patterns for the two different test, there was a consistency in the affects pH has on X. fastidiosa growth. The natural pH of the xylem sap (pH of 6) proved to be the optimum for X. fastidiosa growth for all test conducted. Knowing how pH affects X. fastidiosa can lead to better methods in combating it, such as knowing which season to prune off infected grape vines, when to apply insecticides, or when the optimal time would be to inoculate grapevines for research purposes.</t>
  </si>
  <si>
    <t>https://www.ocf.berkeley.edu/~pkmendez/envsci/projects/2006final/</t>
  </si>
  <si>
    <t>Naoko Abe</t>
  </si>
  <si>
    <t>The Effect of Salinity on Bacterial Denitrification of San Joaquin Valley Agricultural Drainage Water</t>
  </si>
  <si>
    <t>The accumulation of salt, nitrate, and selenium in drainage water by intensive agricultural activity in the San Joaquin Valley is problematic to aquatic organisms and to agricultural production. The use of bacteria under anaerobic conditions has been demonstrated to be an effective method for nitrate and selenium removal. Nitrate removal is necessary for selenium removal. While it has been shown that denitrification occurs at the same rate in agricultural drainage wastewaters containing 8 to 22 g L-1 salt, it is unknown whether denitrification can be effectively performed at higher salt concentrations of 66 to 140 g L-1. Wastewater produced during reverse osmosis treatment is expected to contain up to 70 g L-1 salt and up to 120 mg L-1 N-nitrate. Two laboratory experiments were conducted with agricultural drainage water and reverse osmosis wastewater. First, denitrification was observed in agricultural drainage wastewater with NaCl additions. The denitrification rates at 66, 100, and 140 g L-1 of NaCl were significantly lower than at 22 g L-1 of NaCl (95% confidence of t-test). Second, similar procedures were used to determine the relative denitrification rate in reverse osmosis wastewater. Calculation of zero order kinetic constants showed that the reverse osmosis wastewater with its 33g L-1 salt content denitrified at a similar rate as 66 g L-1 NaCl. Although soluble reactive phosphorus and pH are considered as confounded factors to denitrification, the presence of both a significant level of phosphate and a near neatural pH level indicates both weren't factors to denitrification.</t>
  </si>
  <si>
    <t>Abe-page1.pdf</t>
  </si>
  <si>
    <t>Romesh Anketell</t>
  </si>
  <si>
    <t>Examining the Environmental Attitudes of Euro-American and African-American Mainline and Fundamentalist Protestant Pastors</t>
  </si>
  <si>
    <t>In recent years there has been increasing attention paid to religion in the United States, particularly to the division between mainline and fundamentalist Protestant Christians. There have been relatively few studies that have dealt with this division in regards to how these individuals view environmental issues. Existing studies have focused on individual parishioners rather than on the beliefs of individual pastors, who I assume for the purposes of this study are in positions of influence and leadership within the churches. Understanding the environmental attitudes of Protestant pastors and therefore the spiritual guidance parishioners receive may lead to an understanding of whether parishioners ultimately turn this guidance into action. This study examined the differences in environmental opinions between four groups of pastors: African-American mainline, African-American fundamentalist, Euro-American mainline, and Euro-American fundamentalist pastors. Individual interviews were conducted with each pastor to determine the level of overall concern for the environment and type of concerns the pastors exhibited. The mainline pastors interviewed exhibited a greater overall concern for the environment than did fundamentalist pastors. Both Euro-American fundamentalist and Euro-American mainline pastors exhibited a greater concern for global environmental problems than local problems. African-American mainline pastors also exhibited a greater concern for environmental problems than African-American fundamentalists, but this difference was minimal. The gap between fundamentalist and mainline was much more apparent in the case of Euro-American pastors. The clear differences between the fundamentalist and mainline pastors appeared to be related to the fundamentalist pastors’ strict interpretation of the Bible, while the more uniform responses of the African-American pastors might be a result of the importance of their common cultural heritage and experiences.</t>
  </si>
  <si>
    <t>Anketell-page1.pdf</t>
  </si>
  <si>
    <t>Brie Betz</t>
  </si>
  <si>
    <t>The Effect of Seagulls on Recreational Water Quality at Lake Calumet, Illinois</t>
  </si>
  <si>
    <t>The Lake Calumet region, located 12 miles south of Chicago’s downtown financial district, has experienced great industrial growth and decline over the last century and a half, and it has become an isolated sanctuary to ring-billed and herring gulls in recent years. With the slow departure of manufacturing facilities and the degeneration of the surrounding factory supported towns, city officials and locals have suggested turning the lake into a recreational attraction in hopes of community renewal. The lake is currently a gateway for many inland boaters to reach Lake Michigan, and so city planners hope that creating a public park on the lake will attract more nature and boating enthusiasts and in turn more development in the community. Due to the presence of Illinois’ largest gull rookery and the correlation of seagulls with heightened bacterial loads, this level of recreation may, however, be unsafe for people to use. After testing various water quality parameters on the lake, I concluded that Escherichia coli levels were highest at sites nearest to the gull rookery and with the lowest dissolved oxygen levels. The average E. coli load sampled surpasses the US EPA’s fresh recreational water standard of 126 cfu, and my results suggest that the presence of the state’s largest seagull population is currently preventing recreational use in the lake. My policy recommendation would be to prevent further recreational development on the lake at this time.</t>
  </si>
  <si>
    <t>Betz-page1.pdf</t>
  </si>
  <si>
    <t>Nicole Bishop</t>
  </si>
  <si>
    <t>Cost Effectiveness of the Class Pass</t>
  </si>
  <si>
    <t>The AC Transit Class Pass at UC Berkeley, an unlimited access pass to the Alameda County public transportation system, is provided to students of the University for a mandatory fee. This study examines the costs and benefits of the Class Pass system. Student focus groups and data from student surveys were used to determine student attitudes and modal choices. Emissions statistics, average operating costs, and parking data for cars and buses, as well as the change in amount and route of buses since the institution of the Class Pass are also used in quantifying the benefit to students, AC Transit, the community, and the environment. Results show that the monetary cost to the student body as a whole is greater than the average student benefit, but because of varied student attitudes, an increase in the mandatory fee could affect willingness to pay. An overall benefit to AC Transit as a result of guaranteed income is shown, but is somewhat diminished by illegal Class Pass sales. The benefits to the environment and community are generally positive because of decreases in car use with no significant increases in number of buses, resulting in fewer emissions. Implications of the study indicate that the Class Pass may be more beneficial if it was an optional fee, where only users would pay for the service.</t>
  </si>
  <si>
    <t>Bishop-page1.pdf</t>
  </si>
  <si>
    <t>Timothy C. Bonebrake</t>
  </si>
  <si>
    <t>Nest Site Selection in Forpus passerinus (Green-rumped Parrotlet)</t>
  </si>
  <si>
    <t>How fitness is influenced by habitat features within a landscape underlies source-sink concepts and is important to population dynamics and conservation. I relate productivity to habitat quality measured at microhabitat and neighborhood scales in a box-nesting population of Forpus passerinus (Green-rumped parrotlets) in Venezuela. At 106 nest boxes I measured vegetation cover, vegetative structure, water depth, water cover, and food availability and related them to measures of productivity (young fledged per year and young fledged per year used) and their components (annual number of young produced per nest, nesting attempts, probability of successful nest, and number of years used). Principal component analyses resulted in three factors indicating high canopy cover and ground cover, high vegetation counts from the ground to 2 meters, and high water cover and greater water depth respectively at both the microhabitat and neighborhood scales. Linear regression models of these factors on the measures of breeding productivity show that nests in more open neighborhood habitat with less vegetative cover produced greater numbers of fledglings than did boxes with more cover where more predation occurs. Also, boxes associated with greater water depths had lower predation rates. A habitat manipulation experiment showed that boxes more in the open had a higher survival rate and that predation may be the major cause in the formation of the observed patterns.</t>
  </si>
  <si>
    <t>Bonebrake-page1.pdf</t>
  </si>
  <si>
    <t>Caitlin Brickman</t>
  </si>
  <si>
    <t>Lay Delay in Four Temperate Passerines</t>
  </si>
  <si>
    <t>In many species of birds, the number of days between nest completion and the onset of egg-laying can vary dramatically. This ‘lay delay’ has been characterized for many species, but reasons for its occurrence are poorly understood. This study examines lay delay in four species of passerines, the western bluebird (Sialia mexicana), tree swallow (Tachycineta bicolor), violet-green swallow (Tachycineta thalassina), and oak titmouse (Baelophus inornatus), to determine if temperature, precipitation, wind speed, date of nest completion, or clutch size affect the delay. Nest boxes were checked daily to determine when nest-building ceased and egg-laying commenced. The difference between these two dates was considered to be the lay delay. Daily minimum and maximum temperatures, precipitation, wind speed, and clutch size were also recorded. Minimum temperature had the highest correlation with lay delay, showing very significant correlations for all species except the violet-green swallow. Total precipitation during delay had a significant correlation with lay delay for all species except the oak titmouse. Maximum temperature had a significant correlation with lay delay for the western bluebird and tree swallow, and wind speed correlated significantly with lay delay for the tree swallow and oak titmouse. Date of nest completion correlated significantly with lay delay for three of the species, indicating that individuals who complete their nests earlier in the season have longer delays. Clutch size, however, did not correlate significantly with lay delay for any species, signifying that environmental factors are most likely to affect the timing of onset of egg-laying. However, since ‘poor’ environmental factors also correlated significantly with date of nest completion, further research is necessary in order to determine whether seasonality in itself or specific environmental factors have the biggest affect on lay delay.</t>
  </si>
  <si>
    <t>Brickman-page1.pdf</t>
  </si>
  <si>
    <t>Christopher M. Briggs</t>
  </si>
  <si>
    <t>Contributions of Pinus Ponderosa Charcoal to Soil Chemical and Physical Properties</t>
  </si>
  <si>
    <t>Charcoal results from the incomplete burning of plant material and is found in most soil surface horizons, but little is known about its effects on soil properties. The objectives of this study were (1) to determine the chemical and physical properties of ponderosa pine charcoal produced under controlled conditions, (2) to compare the properties of the laboratory-produced charcoal to those of wildfire-produced charcoal after it had resided in the soil for a number of years, and (3) to determine how charcoal additions to soil affect soil properties. We collected our samples from a pine forest in the San Bernardino Mountains of southern California. We found that laboratory-produced ponderosa pine charcoal has a cation exchange capacity on the order of 20-30 cmol kg-1 and field-collected samples accumulate native cations on their exchange sites. Field-collected charcoal samples from immediately below the litter layer were much less water repellent (water drop penetration time &lt;10 s) than all other field-collected and laboratory-produced samples (water drop penetration time &gt;2 h). The laboratory-produced charcoal C/N ratio (644) was about three times larger than the field-collected charcoal ratio (196-263). Addition of finely divided charcoal to mineral soil significantly increased the available water capacity and darkened the soil. We conclude that charcoal is not simply an inert compound in soils. It may play an important role in determining the properties and behavior of some surface soil horizons.</t>
  </si>
  <si>
    <t>Huong Bui</t>
  </si>
  <si>
    <t>Why do truckers idle?</t>
  </si>
  <si>
    <t>Many of the 458,000 line-haul trucks (Heavy Class 7 and 8 of more than 26,000 lbs.) in the United States idle up to 40 % of engine run time on average, and this consumes approximately 875 million gallons of diesel fuels yearly. Consequently, idling imposes a high operating cost to trucking companies while simultaneously entailing a high cost to society in terms of health, environment, and national security. Although many studies have proven truck idling alternatives, such as truck stop electrification and auxiliary power units, to be cost effective, a large proportion of truckers are not motivated to adopt them. Despite the plethora of benefits gained in adopting an idling alternative, there remain barriers to implementation. In order to address national idling inefficiencies and develop effective approaches to encourage truckers to idle responsibly, it is necessary to understand truckers’ attitudes and behaviors and their effects on idling practices. Truckers’ attitudinal and demographic data collected by the UC Davis idling research team is analyzed to understand behavioral variables that affect idling practices. Contrary to past studies that stated that environmental attitudes affect behavior, truckers who identify pro-environmental attitudes do not exhibit higher idling hours than truckers who do not exhibit pro-environmental attitudes. Idling practice is independent of environmental concern. Truckers’ idling behavior was related to the amount of training they received on reduced idling. These results suggest that training for all truckers is necessary to reduce idling.</t>
  </si>
  <si>
    <t>Bui-page1.pdf</t>
  </si>
  <si>
    <t>Hans H. Chen</t>
  </si>
  <si>
    <t>An Analysis of Sustainability and Efficiency of the Middle Route of the South-North Water Transfer Project in China</t>
  </si>
  <si>
    <t>Water shortage has been a long-time problem in Northern regions of China. Since 1952 the Chinese Government has been developing a solution to this problem. The solution is known as the South-North Water Transfer Project, and is divided into three routes: east, middle and west. This paper presents a study on the middle route of the project. Past studies have shown that the middle route will face several problems: leakage, soil instability, and pollution. The purpose of this paper is to examine the project's sustainability and efficiency by quantifying the impact of the three factors mentioned above. Hydrological data of the region were collected and used in calculations to produce the results. Leakage is quantified by a water budget model, which consists of an equation that accounts for different variables such as precipitation and evapo-transpiration. Soil instability is quantified by predicting the amount of unstable soil that will enter the canal as debris or mudslide in a given period of time. Pollution is quantified by looking at the scores of water quality in the source of transfer and comparing them to standards set by government agencies. The study showed that 1) only during extreme dry and regular dry years will leakage become a serious problem during transfer, 2) soil instability will not be a problem in roughly 10 to 20 years, and 3) pollution will be a serious problem due to poor water treatment in the source of transfer.</t>
  </si>
  <si>
    <t>Chen-page1.pdf</t>
  </si>
  <si>
    <t>Jill Collins</t>
  </si>
  <si>
    <t>The Effect of Arsenic Exposure on Semiconductor Workers at the AXT Plant</t>
  </si>
  <si>
    <t>The exposure of American Xtal Technology (AXT) workers to gallium arsenic created concern for former and current employees of the company. When gallium arsenic enters the body the compound breaks down into gallium and arsenic. Arsenic is known to have carcinogenic qualities. Exposure to arsenic might have unnoticed health effects at first, however, possible long term effects such as cancer (Bates 1992) and reproductive illnesses (Swan 1995) have been known to be caused by arsenic exposure. For these reasons if a person has been continuously exposed to arsenic, long term health monitoring would be helpful to make sure the long term effects of the carcinogen are not appearing. This study begins the monitoring process by collecting surveys of former and current AXT employees analyzing this set of data to understand trends in the data including common health complaints and correlation of place of work and problems reported. It is found that there does not appear to be a significant difference between areas of work with high gallium arsenic levels of exposure and areas with lower levels. It is still recommended, however, to continue the medical monitoring for those that were exposed because effects of a carcinogen can appear years later and capturing those effects early is important for treatment.</t>
  </si>
  <si>
    <t>Collins-page1.pdf</t>
  </si>
  <si>
    <t>Elizabeth Forsburg</t>
  </si>
  <si>
    <t>The Impact of Livestock Grazing on Riparian Water Quality</t>
  </si>
  <si>
    <t>Numerous studies have shown that uncontrolled livestock grazing impacts stream bank stability, stream water quality, and can change, reduce, or eliminate vegetation in riparian ecosystems. This study, located at the California Sierra Foothills Research and Extension Center in Yuba County, extends prior research to determine if and how three grazing treatments, which have been continuously applied to the same watersheds from 1993 to 2005, affect water quality. Three different grazing treatments (no grazing, light-intensity grazing, and moderate intensity grazing) were applied randomly to the sites within three watersheds. Water quality was monitored over the course of six months water quality and the results were compared to the 1997 study in order to assess the long-term impacts of livestock grazing on water quality. Results established no significant differences in measured parameters among grazing treatments. This study demonstrates similar results to the 1997 study indicating that livestock grazing intensities at levels applied in this study does not greatly impact water quality.</t>
  </si>
  <si>
    <t>Forsburg-page1.pdf</t>
  </si>
  <si>
    <t>Kevin Gin</t>
  </si>
  <si>
    <t>Nematode Burdens in Rana muscosa</t>
  </si>
  <si>
    <t>Disease has been implicated as a major concern in population declines of the mountain yellow legged frog, Rana muscosa. The knowledge regarding parameters that increase susceptibility to infection and death by the fungal pathogen chytridiomycosis is understudied, yet desired to help implement effective conservation methods. This research presents an analytical study that correlates parasitic nematode burdens within the digestive tract to infection of frogs from three Sierra Mountain localities, Milestone basin, Sixty Lakes Basin and Cow Creek. A sample size of 121 frogs spanning the aforementioned sites was utilized. Dissection of the gastrointestinal (GI) anatomy of R. muscosa was used to quantitatively measure nematode densities at three locations, the stomach, duodenum and lower GI tract. The results show a significant difference between higher mean burdens at an infected site (Milestone Basin) and lower nematode means at an uninfected site (Sixty Lake Basin) as reflected by the non-parametric Wilcoxon rank sums and Kruskal-Wallis statistical tests. Higher densities of nematodes were also observed in the duodenum relative to the stomach and lower GI tract. All three locations were determined to be significantly different. Non-significance was observed with mean comparisons of seasonality, sex, and most lakes within each study site. Identification of a nematode species has signaled a new species of genus Aplectana within host frogs at Sixty Lake Basin. Thus, a relationship exists regarding numbers of nematodes and diseased specimens of R. muscosa.</t>
  </si>
  <si>
    <t>Gin-page1.pdf</t>
  </si>
  <si>
    <t>Stefanie Graeter</t>
  </si>
  <si>
    <t>Sterility in C. Fruticosa</t>
  </si>
  <si>
    <t>Graeter-page1.pdf</t>
  </si>
  <si>
    <t>Nicholaus K. Harris</t>
  </si>
  <si>
    <t>Assessment of New Approaches to Food Security in West Oakland</t>
  </si>
  <si>
    <t>Responding to a shortage of accessible, affordable, healthy food in West Oakland, new community food programs have formed in order to improve food security there. Going beyond the typical food bank, these programs have taken new approaches in the form of community gardens, mobile markets and local farmer’s markets. In the spring of 2005, I conducted an assessment based on interviews with program leaders and forty-five West Oakland residents to determine how the programs work, if they are improving resident access to food, how many residents are benefiting and what strategies may lead to future program improvements. Results suggest that residents are generally aware of how to eat healthily, but are unable to do so due to lack of proximity to vendors that stock those healthy foods. Many in the community used the farmers market, but few relied on the other community food programs. Location was an important factor, with those close to the farmer’s market and community gardens typically reaping the benefits more than their peers in other parts of the community. Implications of this study are that educational campaigns are necessary to inform West Oakland residents of new food options, and that access must be improved by placement of additional food programs in the community. Making healthy food convenient and affordable to purchase is the key to improving food security in West Oakland.</t>
  </si>
  <si>
    <t>Harris-page1.pdf</t>
  </si>
  <si>
    <t>Francesca Hopkins</t>
  </si>
  <si>
    <t>Human Influences on the Carbon Cycle in Secondary Tropical Forests</t>
  </si>
  <si>
    <t>Recently it has been proposed that reforestation of tropical pasturelands may be an effective way to sequester atmospheric CO2, but the effects of re-forestation on the soil C pool are not well known. In addition, there have been few studies of the effects of climate change and N deposition on tropical soils. We used a long-term incubation experiment to investigate the effects of impending climate change and atmospheric N deposition on the soil C cycle of a reforestation chronosequence (0, 10, 30, 80 years) on tropical pastureland in Cayey, Puerto Rico. Based on measured soil CO2 effluxes and their 13C/12C isotope ratio, we observed a faster rate of C cycling in the soils of the active pastures (0y) relative to all ages of forest regrowth. The forest ages showed no significant differences among themselves. A 10°C warming led to significantly higher CO2 fluxes at all sites, indicating that future climate change could generate feedbacks to elevated CO2 and thus lead to additional warming. Addition of a NH4NO3 to approximate 50kg/ha/y N deposition had no measurable effect.</t>
  </si>
  <si>
    <t>Hopkins-page1.pdf</t>
  </si>
  <si>
    <t>Haley Jones</t>
  </si>
  <si>
    <t>Non-Environmental Effects of the Bay Area Green Business Program</t>
  </si>
  <si>
    <t>The Bay Area Green Business Program (Program) certifies businesses in and around San Francisco that voluntarily improve their environmental performance by adopting green business measures. This research explored the non-environmental effects of the certification on businesses and whether or not the businesses’ savings in energy, solid waste, hazardous waste, and water had been implemented before or after certification. Addressing these issues is important because non-environmental effects may differ from those the Program intends to have and could potentially change non-certified businesses decision to seek certification. Knowing if the businesses adopted environmental performance measures before or after certification will help in understanding if the Program is improving the environmental performance of each business it certifies, or if the Program is “greening” the industry by giving certified businesses advantages over non-certified ones. Interviews were conducted with certified green automotive repair shop owners in Alameda County to answer the questions above. Results found the majority of certified shops paid lower utility bills, had a positive relationship with regulators, and benefited from the certification by being up to date on recent environmental standards and thereby avoided penalties from non-compliance. These effects may encourage non-certified shops to seek certification, but are not entirely consistent with non-environmental effects the Program intends to have on the businesses it certifies. Additional results found a majority of shops were practicing green business measures before certification, suggesting the Program does not improve the environmental performance of individual businesses, but instead changes the dynamics of the auto repair shop industry by giving certified shops advantages over non-certified shops.</t>
  </si>
  <si>
    <t>Jones-page1.pdf</t>
  </si>
  <si>
    <t>Sung Kim</t>
  </si>
  <si>
    <t>Analysis of Santa Clara Residents’ Electronic Waste Recycling Behavior</t>
  </si>
  <si>
    <t>Prior study showed that the most of Santa Clara residents are not aware of nearby e-waste recycling facilities. The existence of this annual clean-up campaign may give residents an opportunity to dispose of e-waste and limits their motivation to take e-waste to the recycling facilities. This study investigates the history of residents’ electric waste disposal habits and the city’s role in educating residents about recycling e-waste. Randomly selected residents in front of four popular electronic stores near Santa Clara are surveyed about their knowledge and behavior regarding e-waste recycling programs in Santa Clara City. The results show that residents who are uninformed about e-waste recycling programs in Santa Clara are more likely to dispose of e-waste during the city’s annual clean-up campaign. Although the city mails brochures and advertises on the city web site to motivate residents to participate in recycling program, I conclude that the city has not effectively educated residents. If the city is capable of putting more effort on educating residents and making it more convenient for residents to recycle e-waste, the city’s landfill space can be conserved and less toxic may be flowing into ecosystem around the city.</t>
  </si>
  <si>
    <t>Kim-page1.pdf</t>
  </si>
  <si>
    <t>Cindy Lau</t>
  </si>
  <si>
    <t>The Effect of Chemical and Physical Parameters on Populations of Three-spine Stickleback in Strawberry Creek</t>
  </si>
  <si>
    <t>The population of three-spined stickleback, Gasterosteus aculeatus, has fluctuated greatly during the past century in Strawberry Creek on the UC Berkeley campus. After the restoration of Strawberry Creek in 1989, efforts have been made to reintroduce stickleback into the creek. To determine how the stickleback were influenced by stream water quality and habitat quality, weekly stickleback counts were compared to water quality parameters and physical stream parameters. From late January to mid-March 2005, samples for chemical parameters (pH, electrical conductivity, turbidity, water temperature, and salinity) and nutrient levels (nitrate and phosphate) were made at four sites on the North Fork, three sites on the South Fork and one site at the Mainstem where both Forks meet. Physical stream parameters (epifaunal substrate, pool substrate, sediment deposition, channel flow status, bank stability, vegetative protection, and riparian vegetative zone) measurements and stickleback counts were also made once a week at each site. Correlations between parameters and stickleback population were made using regression analysis. Areas with higher measurements of habitat quality had higher densities of sticklebacks. Phosphate had a negative relationship with stickleback abundance yielding a p-value of 0.0368 while nitrate had a positive relationship with a p-value of 0.0035. Overall this study shows that physical habitat parameters need improvement in order to establish more areas in which sticklebacks can live because habitat parameters had more correlation with fish abundance.</t>
  </si>
  <si>
    <t>Lau-page1.pdf</t>
  </si>
  <si>
    <t>Kingman Lim</t>
  </si>
  <si>
    <t>Testing Consumer Knowledge and Opinion of Transgenic Foods in Alameda County</t>
  </si>
  <si>
    <t>Genetically Engineered (GE) food has come under harsh criticism. GE opponents point out possible adverse health effects, environmental and ecological damage from industrial monoculture farming, how biotechnology corporations are controlling the global food market and how government agencies are not sufficiently regulating GE foods. In response to the corporate assault on food security, activist groups are mounting public education campaigns and introducing ballot measures to ban GE foods from their communities. To assist the community organization GMO-Free-Alameda-County in their efforts to ban local GE crop cultivation, a survey was conducted to assess public awareness and opinion of GE foods. Because of conflicting discourse and a lack of unbiased information sources, it is important to assess the knowledge, opinion, and concerns local residents have about genetic engineering. Subjects were surveyed in Berkeley, Oakland, Hayward, Fremont, and Castro Valley, near food shopping areas, cafes, and restaurants. Results show that Alameda county consumers who know more about GE foods are generally more opposed to them, implying that educating uninformed consumers in Alameda will improve the chances of passing anti-GE legislation. Participants who relied on television and newspaper as their main sources of information had the lowest knowledge scores, suggesting that these channels do not sufficiently educate the public about GE food issues. These results can be used to help GMO-Free-Alameda-County plan educational strategies for Alameda County consumers prior to the proposal of a ballot initiative, as well as assist other communities in their efforts to ban GE crops.</t>
  </si>
  <si>
    <t>Lim-page1.pdf</t>
  </si>
  <si>
    <t>Cassandra Liu</t>
  </si>
  <si>
    <t>Leaf Litter Transport and Retention in the South Fork Eel River</t>
  </si>
  <si>
    <t>This study examines leaf retention within the South Fork Eel River. Leaf retention reflects the geomorphological and hydrological characteristics of the stream. Further leaf retention impacts the presence of macroinvertebrate functional feeding groups and thus affects the food web dynamics of a river ecosystem. The absence of leaf retention is an indicator to the consumption of predatory organisms, whether or not the source of food is terrestrial or aquatic. Release of Ginko biloba leaves upstream was used to examine leaf retention along the various tributaries of the South Fork Eel River. Comparing the drainage area of these tributaries and morphological characteristics, factors affecting leaf retention can be understood as well as the effect of retention upon organisms. Results indicate that the presence of large woody debris is a great indicator of leaf retention capabilities where as morphological characteristics of the habitat are not as strong. Retention is highly influence further by stream flow and velocity thus being affected seasonally.</t>
  </si>
  <si>
    <t>Liu-page1.pdf</t>
  </si>
  <si>
    <t>Sara Lopus</t>
  </si>
  <si>
    <t>Habitat Occupancy by Carnivorous Species in Relation to Urbanization</t>
  </si>
  <si>
    <t>The creation of urbanized areas on previously undeveloped land may affect species’
abilities to find suitable habitats. While some species may prefer to occupy habitat near
developed land, others may choose more rural habitat or be pushed toward a certain land type by
competitive exclusion with another species. Using baited track plates, I evaluated the habitat
occupancy patterns of the carnivorous community with respect to degree of urbanization within
Briones Regional Park in Orinda, California. I collected animal tracks at 16 study sites dispersed
throughout the park. Plates were placed at similar oak woodland sites, ranging from under 200m
to 2.5km in their proximity to urbanized land. Plates were each baited a total of four times with
approximately two days between bait replacements. Tracks were identified as those of gray
foxes, raccoons, skunks, domestic cats, and domestic dogs. Cats, raccoons, and striped skunks
exhibited significant correlations of habitat occupancy patterns based on degree of urbanization,
with less frequent raccoon appearances and more frequent cat and skunk appearances with
proximity to urbanization. These findings may imply that raccoons prefer rural habitats, while
cats and skunks prefer urban habitats. The study's findings are contrary to those of Prange and
Gehrt (2004), in which raccoons dominated urban and suburban mesopredator communities,
while the majority of skunks were found in rural regions.</t>
  </si>
  <si>
    <t>Lopus-page1.pdf</t>
  </si>
  <si>
    <t>Evan Lue</t>
  </si>
  <si>
    <t>Trade-Offs Between Insecticide Resistance and Development Time in Codling Moth</t>
  </si>
  <si>
    <t>Resistance against organophosphates in the codling moth, Cydia pomonella, is suggested to increase the development time between life stages. Such life history trade-offs are not uncommon, but may pose a threat to current pest management strategies. Differences in development time for susceptible and resistant populations will not only result in two distinct emergence peaks, but may also consequently force an alteration in the timing of pesticide applications. The aim of this study is to confirm a difference in development times between susceptible and resistant codling moths. A colony of each genotype was reared in a laboratory and adults were mated to produce eggs. Freshly laid eggs were stored in growth chambers at 55°, 70°, 80°, and 90°F. Lower developmental thresholds were found to be 50.41°F and 51.74°F for the susceptible and resistant colonies, respectively. Degree-days were calculated using a lower threshold of 50°F, and eggs were examined for hatch every ten degree-days. Organophosphate resistant codling moths were found to have longer egg-larva development times. The bimodal emergence pattern observed between these two colonies is of particular concern at cooler temperatures, spanning larger amounts of time between peaks. These differences imply that identifying levels of pesticide resistance in codling moth populations is an important consideration in assessing the utility of current degree-day models.</t>
  </si>
  <si>
    <t>Lue-page1.pdf</t>
  </si>
  <si>
    <t>Jordan Malin</t>
  </si>
  <si>
    <t>Sedimentation rate in the North Basin of Bolinas Lagoon, California</t>
  </si>
  <si>
    <t>Bolinas Lagoon exists as a haven for birds and marine life as well as an aesthetic addition to the West Marin communities.  The lagoon is decreasing in size and potentially will transform into a meadow.  This transformation poses a management dilemma of whether or not to dredge the lagoon.  This study was performed to determine the relationship between the sedimentation rate in the North Basin of Bolinas Lagoon to the population changes in the lagoon’s watershed.   In order to determine the sedimentation rate, sediment cores were extracted at the same sites as a previous set of cores (Knudsen et al, 1999) was taken.  The 1999 core depictions and descriptions also are marked with C-14 dates.  Knudsen et al.’s cores suffered from compaction but the core in this study resolves the compaction issue.  The stratigraphy, composition, and volume of the most recent cores will be compared to the information provided in Knudsen et al study to determine the sedimentation rate in the North Basin.</t>
  </si>
  <si>
    <t>Malin-page1.pdf</t>
  </si>
  <si>
    <t>Andrew Nguyen</t>
  </si>
  <si>
    <t>A Benefit-Cost Analysis of Ten Urban Landscaping Trees in Berkeley, CA</t>
  </si>
  <si>
    <t>A cost-benefit analysis was conducted for ten trees found in the City of Berkeley Inventory on urban forestry. Using models from previous analyses and studies, this study quantified the ecological benefits of energy conservation potential, atmospheric CO2 reductions, air quality impacts and rainwater runoff in economic and monetary terms for each of the ten species of trees: London Plane Sycamore (Platanus acerifolia), Purple Leaf Plum (Prunus cerasifera), Liquidambar (Liquidambar styraciflua), Camphor (Cinnamomum camphora), Chinese Elm (Ulmus parvifolia), Oriental Cherry (Prunus serrulata), Victorian Box Pittosporum (Pittosporum undulatum), Shamel Ash (Fraxinus uhdei), English Elm (Ulmus procera), Modesto Ash (Fraxinus velutina glabra). These benefit values were then weighed against the direct costs of tree purchase, pruning, debris removal, tree removal and watering. From the benefit-cost difference, Camphor had the highest benefits across the board in terms of energy savings, carbon sequestration, and pollutant cycling and rainfall reductions, and hence should be used as a preferential tree for urban landscaping.</t>
  </si>
  <si>
    <t>Nguyen_A-page1.pdf</t>
  </si>
  <si>
    <t>John Nguyen</t>
  </si>
  <si>
    <t>Lake Merritt Nitrogen Project Pinpointing Nitrate Contributions to Lake Merritt</t>
  </si>
  <si>
    <t>High-quality golf courses and cemetery landscapes require substantial pesticide and fertilizer applications, leading to concerns about their environmental impacts. Anthropogenic sources of nitrogen coming from highly fertilized lawns of the Claremont Country Club (golf course) and the Mountain View Cemetery, both located in the upper urban watersheds of Oakland, California, were hypothesized to be the major contributors of the nitrogen loading. A study was conducted to locate the origin of nitrogen loading into Lake Merritt from its contributing waterways. Runoff from the Claremont Country Club and the Mountain View Cemetery flows into Glen Echo Creek, the adjacent waterway that drains into Lake Merritt. This study includes monitoring nitrate levels above and below these sites in order to evaluate and locate the source of the nutrient load further downstream and in Lake Merritt. The golf course and cemetery management practices did not appear to be the main contributors of nutrient loading into Lake Merritt. High upstream concentrations of nitrate in Glen Echo Creek indicated contamination above these locations. However, monthly sampling also revealed increases in downstream nutrient concentration below these sites. Therefore, fertilizer applications and management practices at the Claremont Country Club and the Meadow Wood Cemetery appear to contribute some N loading, but much of the N loading above these two sites appear to contribute more to long-term stream and lake nutrient enrichment. Further research above the locations is needed to conclusively identify the major nutrient contributor to Lake Merritt.</t>
  </si>
  <si>
    <t>Nguyen_J-page1.pdf</t>
  </si>
  <si>
    <t>Pamela O'Leary</t>
  </si>
  <si>
    <t>Understanding Biomonitoring in Native American Communities</t>
  </si>
  <si>
    <t>Biomonitoring is a process used to determine whether or not humans have experienced negative health consequences from interactions with their environment. It can be used as a strong source of evidence in environmental justice situations and can be very useful in Native American communities. However, Native Americans may have cultural concerns with the scientific processes involving the sampling of their body tissues. Due to lack of resources, a tribe may need to work together with a nonprofit to undergo biomonitoring. When these stakeholder groups team up, problems can arise due to cultural misunderstandings. To determine under which circumstances biomonitoring meets the needs of Native Americans, Native Americans and nonprofit members were interviewed about their attitudes on biomonitoring. The interviewees were questioned about their original goals, unexpected challenges, outcomes, and suggestions for improvement. Two case studies were analyzed: 1) the Yu’pik tribe in St. Lawrence Island, Alaska, who underwent biomonitoring in 2001 and 2003; and 2) the Elem Pomo tribe of Clear Lake, California, who are considering undergoing biomonitoring in 2005. The study shows that the long term relationship between the nonprofit and tribe has a significant impact on the biomonitoring process. Tribes need to feel ownership of the data and receive results in a timely manner. A more culturally sensitive situation can be achieved for all stakeholder groups if Native American communities are fully informed and involved in all steps of the process.</t>
  </si>
  <si>
    <t>Oleary-page1.pdf</t>
  </si>
  <si>
    <t>Sean Pelham</t>
  </si>
  <si>
    <t>Boric Acids Activity as a Possible Repellant to the Argentine Ant</t>
  </si>
  <si>
    <t>With a greater emphasis being placed on organic farming as a means of production, more focus needs to be on chemicals such as boric acid and their potential as organic pesticides. This work aims to find the concentration at which boric acid may act as a repellant to Argentine Ants, ultimately determining how boric acid baits can be used as a means of ant population control, rather than repellants. Two separate studies in Napa used different approaches to analyze ant repellency. The first involved a series of six bait tubes each containing concentrations of boric acid from 0.0 to 1.0% in 25% sucrose solution, placed under their own vines, to ensure activity from individual colonies, and testing the general ant repellency of specific concentrations of boric acid. In the second study, all six individual concentrations were tied together and wrapped around the vine. Each “belt” had one colony that could choose from the six different boric acid concentrations, gauging the ants’ preference for one concentration of boric acid. The results of first portion of the study show that generally, an increase in the concentration of boric acid leads to fewer ant visits for the bait stations with high boric acid concentration, which means that ants could ultimately be avoiding toxic baits entirely at concentrations of 0.5 and higher.</t>
  </si>
  <si>
    <t>Pelham-page1.pdf</t>
  </si>
  <si>
    <t>Josh Pollak</t>
  </si>
  <si>
    <t>The Impact of Cool Duct Technology on Energy Use</t>
  </si>
  <si>
    <t>Solar-absorptive surfaces in urban environments cause a temperature increase known as the urban heat island (UHI) effect. Solar reflective coatings mitigate the UHI effect by reducing peak energy demand and increasing energy efficiency. This study examines the effects of “cool” white paint duct coatings on the energy efficiency of rooftop air conditioner units (RTUs). Two RTUs at Cal State University, Sacramento were fitted with sensors that recorded upstream and downstream air temperatures to determine the effect of the installation of the duct coatings. The temperature data were used to graphically analyze the performance of the coating on the RTU and to develop a heat transfer model.  The analysis examines how surface temperature, temperature difference between upstream and downstream, and air conditioner usage changed after the coatings were installed. A heat transfer model of convective, conductive and radiative heat flows was developed to evaluate the efficacy of the coatings across a wide array of conditions for different duct systems. The coated ducts reflected a higher proportion of solar radiation than uncoated ducts, which explains an approximate 10-15 °C drop in duct surface temperature post-retrofit. After the coatings were installed, there was approximately a 20 percent reduction in RTU use during peak demand. “Cool” duct coatings reduce the temperature difference between upstream and downstream by approximately 0.05 °C per linear foot of duct.</t>
  </si>
  <si>
    <t>Pollak-page1.pdf</t>
  </si>
  <si>
    <t>Uthman Ray IV</t>
  </si>
  <si>
    <t>Trout Habitat Assessment of Upper Codornices Creek for Steelhead Spawning</t>
  </si>
  <si>
    <t>In March of 2000, steelhead trout (Oncorhynchus mykiss) were discovered in the lower reaches of Codornices Creek, located in Berkeley, CA. The following year, Kier Associates evaluated the potential trout habitat throughout the stream. Kier concluded that the existing habitat in the upper reaches had the potential to sustain a large steelhead trout population. Kier also concluded that migration to the upper reaches was restricted by an impermanent fish barrier. This study consists of an in-depth assessment of the suitability of four sites in the upper reaches as potential trout spawning habitat, with the goal of localizing the optimal site. In this study, habitat was assessed weekly, and measurements of dissolved oxygen, water temperature, water velocity, and pool depth were analyzed. The study was conducted over a period of ten weeks during the winter of 2005, since steelhead trout spawning typically lasts from December until May. Results reveal that all four sites had pool depth below two feet, the minimum depth for primary pools. In addition, the temperature of the four sites went above optimal spawning conditions (10-13°C) after test week seven. Site 3 was determined to be slightly superior, although further research is mandatory before restoration efforts begin. Future studies to assess pool depth and temperature of existing trout habitat, comparison studies between existing trout habitat and potential habitat, embryo survival rates studies, and location of erosion sites are recommended before restoration begins.</t>
  </si>
  <si>
    <t>Ray-page1.pdf</t>
  </si>
  <si>
    <t>Lilly Schinsing</t>
  </si>
  <si>
    <t>The Effects of Temperature and Inoculum Concentration on Susceptibility to Infection by Phytophthora ramorum in Tanoak and California Bay Laurel</t>
  </si>
  <si>
    <t>Despite widespread concern about risk factors associated with Sudden Oak Death, little is known about the conditions that limit infection. This study examines the effect of temperature and zoospore concentration, two factors hypothesized to limit infection rates and the extent of disease caused by Phytophthora ramorum in tanoak (Lithocarpus densiflora) and intermediately resistant California bay laurel (Umbellularia californica). Three trees of each species were sampled in the fall of 2004 in Marin County, CA. Leaves were inoculated at concentrations 3.3x10, 3.3x10², 3.3x10³ and 3.3x10⁴ spores/ml, then incubated at ideal growth conditions (19 °C). In a separate experiment leaves were inoculated with 3.3x10⁴ spores/ml at temperatures 5 °C, 12 °C, 19 °C, 26 °C and 33 °C. To determine how lesion size varied within these conditions, lesion area was measured. Both experiments yielded leaf infection at all conditions, including the lowest concentration levels. Increasing zoospore concentration led to (a) statistically significant increases in infection rates and (b) increasing mean lesion sizes for both species. Infection rates in bay leaves were greatest at intermediate temperatures, although unexpectedly, relatively high infection rates were found at the highest and lowest temperatures. Significant differences in lesion size in bay were found between intermediate temperature groups and those at the extremes. Infection rates and lesion size in tanoak suggested an inhibitory effect of heat, but not of cold. These experiments demonstrate a remarkable ability of P. ramorum zoospores to infect leaves, even at suboptimal conditions.</t>
  </si>
  <si>
    <t>Schinsing-page1.pdf</t>
  </si>
  <si>
    <t>Paul Schlegel</t>
  </si>
  <si>
    <t>Community Garden Microclimate Analysis: Measuring The Effects of Evapotranspiration on Urban Climate Trends</t>
  </si>
  <si>
    <t>The climate of two gardens and one open space in West Oakland, CA were
monitored for three months in the Spring of 2005 for the purposes of this investigation.
Measuring air temperature and humidity every minute with HOBO H8 loggers, their data
was analyzed to show the extent vegetation affects the microclimates of the gardens.
Following the methods from previous studies of vegetation’s role in controlling air
temperature of Urban Heat Islands(UHI), a paired observation scheme compares each
garden against the control. To reduce compounding factors, eg- sky view factor, only the
measurements taken one hour before until one hour after sunset were analyzed. Each two
hour period was ranked for ideal sampling conditions(calm, sunny days) and divided into
two categories-before and after treatment of the control. From the regression equations,
slope was taken as the measure of cooling rate. The average cooling rate for each group
was then compared and statistically tested. Absolute humidity and air temperature
cooling rate increases demonstrate the degree to which evapotranspiration is responsible
for cooling effects. Quantifying this microclimate influence at sunset from direct
measurements, this experiment tests whether this method is able to quantify the cooling
rates and spatial persistence of those cooling differences.</t>
  </si>
  <si>
    <t>Schlegel-page1.pdf</t>
  </si>
  <si>
    <t>David Siddiqui</t>
  </si>
  <si>
    <t>Plastic Recycling and Public Perception</t>
  </si>
  <si>
    <t>While the triangle-shaped “chasing arrows” logo is widely believed to mean “recyclable,” it is actually part of the public domain and a product does not have to be recyclable in order to wear the logo. The vast majority of plastic packaging displays the logo while the recyclability of plastic is a complex and debatable issue. This study looks at how residents of Berkeley and Oakland perceive the recyclability of plastics, hypothesizing that most people rely primarily on the logo to ascertain recyclability and that more Oakland than Berkeley residents think all plastics are recyclable. Participants were given a survey regarding their recycling knowledge and habits and were asked to determine the recyclability of four plastic containers with different characteristics. Two trends dominated the results: 1) A very high proportion of people answered in accordance with the presence or absence of the logo, confirming the logo as a primary source of information on recyclability. 2) A very high proportion of people answered that all plastics are recyclable. This was indeed exhibited more in the Oakland residents, though not by a conclusive amount. Only 0.3 % of the participants were able to identify all four containers correctly, highlighting the need for education. Residents play a key role in the waste system and are faced with many choices regarding purchasing and disposal. These decisions need to be based upon a clear understanding of local and global production and disposal processes rather than a murky understanding based upon an unclear marketing tool.</t>
  </si>
  <si>
    <t>Siddiqui-page1.pdf</t>
  </si>
  <si>
    <t>Catherine Sweere</t>
  </si>
  <si>
    <t>Direct and Indirect Effects of Pisaster ochraceus on tide pool communities</t>
  </si>
  <si>
    <t>Pisaster ochraceus is a major predator in intertidal ecosystems in the western United States and may play a pivotal role in tide pool community distribution and diversity. The purpose of this study was to determine the effects of Pisaster presence on a dominant gastropod genus (Tegula), as well was the indirect effects on the tide pool community in Bodega Bay, CA. Short-term experiments were conducted that involved adding Pisaster to previously Pisaster-free pools and monitoring Tegula flee response. Long-term experiments were conducted by bagging Pisaster, attaching the filled bags within pools, and monitoring how presence alone affected the entire pool community (mobile species and percent cover of sessile species). The key factor in both short and long-term experiments was solely Pisaster presence, in both experiments Pisaster were unable to prey. Short-term experiments clearly (p&lt; 0.07) showed an immediate Tegula flee response with the addition of Pisaster into pools. Long-term experiments showed a decline in Tegula abundance and in mobile species richness and diversity in treatment pools. No change was seen in sessile species richness or diversity over the course of the experiment. This study suggests Pisaster has a clear direct effect on Tegula and other mobile species while indirect effects on sessile species may not occur.</t>
  </si>
  <si>
    <t>Sweere-page1.pdf</t>
  </si>
  <si>
    <t>Mario Tabares</t>
  </si>
  <si>
    <t>Analyzing Environmental Racism in Richmond, CA: A case study of the United Heckathorn toxic site</t>
  </si>
  <si>
    <t>This work attempts to analyze how the issue of environmental racism has unfolded in Richmond’s historical context; particularly focusing on how the toxic site, United Heckathorn has affected the surrounding community before and after it’s listing on the EPA’s National Priority List. Interviews and census data analysis were used to explain the context in which environmental racism has developed. Interviewing Richmond residents within the proximity of United Heckathorn and relevant environmental justice organizers provided information such as: United Heckathorn awareness, health accounts, and most importantly indirect/direct challenges that perpetuate environmental racism. Census data analysis showed the gradual increase in African American, Asian, and Latino population, while simultaneously the decreasing white population from 1970-1990. Although most interview participants were completely unaware of United Heckathorn’s existence, they provided rich accounts of general ‖toxic experiences‖ throughout the city of Richmond. Over time, Richmond residents have ‖normalized‖ their environmentally degrading living conditions and consequently contributed to the unawareness of alternative situations. Their unawareness of United Heckathorn is also attributed to their poor access to environmental information resulting from weak communication between environmental organizations and communities of color. I concluded that more time and effort should be placed on increasing communication between the two and provided possible solutions that could possibly bring about an effective environmental change.</t>
  </si>
  <si>
    <t>Tabares-page1.pdf</t>
  </si>
  <si>
    <t>N. Alison Toy</t>
  </si>
  <si>
    <t>Water Hyacinth Adaptation to Higher Saline Levels</t>
  </si>
  <si>
    <t>One of the world’s most noxious pests, water hyacinth (Eichhornia crassipes) causes many ecological, physical, and economical problems. Water hyacinth growth occludes waterways, lowers the amount of sunlight available to other aquatic organisms, and reduces aquatic activities. This plant shows the amazing ability to live in toxic waters and tolerate extremes of nutrient load, pH, and temperature. The reach of water hyacinth is limited by high saline levels. Water hyacinth is unable to establish itself and proliferate at saline levels greater that 6 ppt. However, previous research believes that the water hyacinth will soon adapt to life at a higher saline level. Some researchers believe this process is already underway. I believe there exists a new ecotype that morphologically looks like any traditional water hyacinth plant, but is genetically adapted to aid the plant’s ability to grow increasingly salt tolerant. This experiment took place in a greenhouse, and plants in an early growth stage were placed in either a nutrient solution (control) or a salt solution (test). The saline levels tested were 5, 6, and 7 ppt. For each salt level, the plants were tested for four different lengths of time; 7, 14, 21, and 28 days. Results indicate that beyond the oligosaline level (&gt;5 ppt) plants will experience damage and the mesosaline level (&gt;7 ppt) will impede growth. These results will be useful in assessing the possibility of a new ecotype as well as the use of salinity as biological prevention for reducing water hyacinth growth.</t>
  </si>
  <si>
    <t>Toy-page1.pdf</t>
  </si>
  <si>
    <t>Kim X. Tran</t>
  </si>
  <si>
    <t>Human Dimensions of Urban Deer-related Vehicle Accidents in Berkeley, CA</t>
  </si>
  <si>
    <t>The neighborhoods of Berkeley, California are an excellent habitat for the Columbian black-tailed deer (Odocoileus hemionus columbianus). Despite a large number of deer-related car accidents in Berkeley, the associated economic and health costs have yet to be adequately addressed by government agencies. Participation from neighborhood residents and wildlife experts is necessary to develop a public-approved contemporary wildlife management plan. Surveys were administered to 50 residents from high, medium, and no accident areas (N = 150) to measure public perceptions of causes of accidents, public opinion of animosity towards deer, and public opinion of different potential management plans. Results indicated 61% of surveyed residents believed accidents occurred due to people driving fast. Of the residents who disliked deer, 82% of residents were involved in accidents. Of the residents who liked deer, 89% was not involved in accidents. Residents favored humanitarian forms of acceptable management plans, with 83% of residents approving Light Reflectors and 73% of residents approving public education programs. Even though 21% of residents approved of hunting, 91% of hunting-approved residents have been in an accident. Results support the hypothesis that people who have bad experiences with deer are more likely to dislike deer than those without bad experiences and that residents with more negative experiences with deer tend to support more lethal forms of management. Speed bumps and road signs may be the most effective and environmentally friendly management plan. However, cost/benefit studies should be researched to see if the management program will be feasible and efficient.</t>
  </si>
  <si>
    <t>Tran-page1.pdf</t>
  </si>
  <si>
    <t>Nancy Vuong</t>
  </si>
  <si>
    <t>Monitoring the water quality of Strawberry Creek, CA.: comparative study on different sites to address health issues</t>
  </si>
  <si>
    <t>Strawberry Creek runs through the University of California, Berkeley and in the past, it was degraded due to urban and campus development. This project looked at changes in water quality starting from the upper North Fork, through the Berkeley campus, and into western Berkeley. From November 2004 to February 2005, measurements of pH, conductivity, turbidity, dissolved oxygen, water temperature, nitrate, chlorine, and E. coli were taken at four location along Strawberry Creek to determine the effects of precipitation and location of each site. In this research, parameter such as nitrate, turbidity, and E. coli were also used to address human health concerns. The pH was unaffected by precipitation and sites. Turbidity levels at all sites exceeded the EPA standard on both rainy and non-rainy days. On non-rainy days Nitrate levels at most sites were below the EPA standard. The data showed that there were a correlation between turbidity and nitrate. Nitrate levels were highly correlated with dissolved oxygen. There were higher levels of E. coli on rainy days than on non-rainy days. E. coli levels starting at Site 2 showed an increasing trend downstream on non-rainy days. Chlorine Total remained in a steady range on both rainy and non-rainy days, but higher levels at Site 3 due to pipe leakage of drinking water. Most parameters were affected by precipitation and significantly differ in most sites, which resulted in certain areas being more polluted and more unsafe for human usage.</t>
  </si>
  <si>
    <t>Vuong-page1.pdf</t>
  </si>
  <si>
    <t>Phillip Wunder</t>
  </si>
  <si>
    <t>Water Hyacinth: Assessing Recovery from Salinity Induced Stress</t>
  </si>
  <si>
    <t>Water hyacinth, Eichhornia crassipes, recognized as one of the world’s most noxious aquatic invasive species is currently invading the San Francisco Bay Delta. Although water hyacinth can tolerate a wide range of environmental conditions, salinity is known to limit its spread in estuaries and tidally influenced streams suggesting that a better understanding of water hyacinth’s tolerance to salinity may facilitate its control. While extensive information exists on the salinity levels needed for water hyacinth mortality (6.0-8.0 ‰), virtually no information exists on water hyacinth recovery when the plant experiences temporary exposure to lethal levels of salinity. This study determined the recovery ability of water hyacinth as a function of three factors: exposure duration, salinity level, and recovery time. Water hyacinth were exposed to salinity levels of 5.0 ‰, 6.0 ‰, and 7.0 ‰ for 7, 14, 21, and 28 day periods. After exposure the water hyacinth were allowed 7 and 14 days to recover in non-saline environments. Wet plant weight and leaf chlorophyll were used as indictors of water hyacinth health. The multiple linear regression of weight on salinity, exposure duration, recovery, and interactions explained 77% of the variability in weight and was highly significant (p&lt;0.0001). Recovery did not significantly affect leaf chlorophyll. Recovery rates were greatest for water hyacinth experiencing the shortest exposure times at the lowest salinity levels. This study determined that the base level needed for water hyacinth mortality where no recovery would occur is an exposure of 21 days at 7 ppt salinity.</t>
  </si>
  <si>
    <t>Wunder-page1.pdf</t>
  </si>
  <si>
    <t>Cheryl Yee</t>
  </si>
  <si>
    <t>Road Surface Pollution and Street Sweeping</t>
  </si>
  <si>
    <t>Street surface pollution is a source of water and air quality degradation in urban areas. Street sweeping is practiced in most urban areas to remove debris and sediments from roads and to reduce pollutant export to the natural environment. The objective of this study was to investigate the environmental effects of not performing street cleaning in the urban environment. The cites of Berkeley and Oakland in California have an “Opt-Out” Program, which has allowed citizens to opt out of having street cleaning services performed on their streets. The composition of road dusts and sediments on opt-out streets were compared to that of those on streets that are swept. For streets that are swept, the before and after effect of street sweeping was also examined. Samples of road sediments were collected from street surfaces and analyzed for metal and polyaromatic hydrocarbon (PAH) pollutant loads. Pollutant levels on road surfaces were found to be site specific. Some opt-out streets have distinctly higher levels of sediments and/or pollutants, while others do not. Discontinuation of the Opt-out Program will likely contribute to some reduction in road surface pollutants, but not to a large extent. Though there does seem to be some environmental concern associated with the Opt-out Program, there is no immediate need to discontinue it.</t>
  </si>
  <si>
    <t>Yee_C-page1.pdf</t>
  </si>
  <si>
    <t>Justin Yee</t>
  </si>
  <si>
    <t>A Case Study on the Greening of Crossroads Dining Commons</t>
  </si>
  <si>
    <t>The Bay Area Green Business Program is designed to recognize businesses that voluntarily comply with environmentally friendly standards by issuing certification to those that demonstrate an annual reduction in garbage, water, gas, and electricity use. This study investigates whether the certification program for Crossroads Dining Commons (CDC), the largest student dining facility at U.C. Berkeley, is an effective tool to promote increased efficiency in resource use. Comparisons of monthly water, natural gas, and electric bills with two non-certified campus dining commons, Unit 3 and Foothill, were made. The averaged monthly differences before and after certification showed a 25 % decrease in water use differences, 3 % in electricity use differences, and a 500 % increase in natural gas use differences. Graphical analysis shows seasonal trends and an annual increase in amounts of resources used at CDC despite participation in the certification program, except for natural gas use, which decreased 67 % on average from before and after certification. Statistical analysis using the BACI model (Stewart-Oaten et al. 1986) showed significant differences in average water and natural gas consumption after certification. There were no statistically significant changes in electricity use after certification in either of the two comparisons. The results indicate that the certification program is a suitable investment to yield an increase in resource use efficiency for the remaining dining facilities at UC Berkeley. This conclusion has financial and environmental implications for businesses considering certification, and also for governments seeking to increase efficiency and resource conservation through legislation and policy.</t>
  </si>
  <si>
    <t>Yee_J-page1.pdf</t>
  </si>
  <si>
    <t>Christina Yeung</t>
  </si>
  <si>
    <t>Permeability of the Berkeley Central Campus Runoff Curve Numbers</t>
  </si>
  <si>
    <t>Urbanization changes a watershed’s response to precipitation. Impervious surfaces such as buildings, streets, parking lots, driveways and sidewalks prevent stormwater from soaking into the ground, increase water flow into streams, and degrade aquatic habitats. In support of the Berkeley Long Range Development Plan, my research looked at the runoff curve number, a metric of impermeability based on soil type, land use and vegetation cover. This research provided a necessary first step in the process of moving towards the goal of “no net increase in runoff”. An impervious surface ratio index and a GIS layer of runoff curve numbers were created to aid analysis of the impact of urban development on the UCB campus. Results show that the campus has a composite curve number of 69 and a 30 feet buffer from the creek of 62. Comparing natural land cover and current state of campus impermeability, results indicate that various land use type in developing the Berkeley central campus is significant enough to have an effect in influencing overall surface runoff volume.</t>
  </si>
  <si>
    <t>Yeung-page1.pdf</t>
  </si>
  <si>
    <t>Brian A. Yu</t>
  </si>
  <si>
    <t>Consumer Attitudes Towards Genetically Modified Foods: A Comparison between Sweden and San Francisco</t>
  </si>
  <si>
    <t>In comparison to European Union markets, where bans and protests have limited availability, genetically modified (GM) foods have entered United States supermarkets with little public opposition. This study compared attitudes towards GM foods in San Francisco versus Swedish consumers to determine if a difference exists. Previous studies have concluded that a difference exists although no study has directly and comprehensively compared the US with European attitudes. A short survey, modified from a questionnaire-based study conducted by Magnusson and Hursti (2002) in Sweden was administered to 112 people between January and April outside grocery stores in San Francisco. The results indicated similar trends in attitudes in San Francisco and Swedish consumers, although there were important distinctions in issues of health, control over consumption, and profit. Similar to Magnusson and Hursti's study, men had more positive feelings towards GM products than women. San Francisco consumers had less moral doubt about eating GM foods than Swedish consumers although both were equally willing to purchase GM foods if they were healthier, better for the environment, cheaper, and better tasting. San Francisco participants scored considerably lower than their Swedish counterparts in the knowledge about biology and genetics. Within San Francisco, age and education seemed to have no effect on consumer attitudes. Additionally, a consumer's belief in the percent of "GM foods" in a supermarket had no bearing on their attitudes. Gender was the only indicator that had an effect on consumer attitudes as women were more negative towards GM foods than men.</t>
  </si>
  <si>
    <t>Yu-page1.pdf</t>
  </si>
  <si>
    <t>Lydia Ausberry</t>
  </si>
  <si>
    <t>A Comparative Analysis of Electronic and Chemical Pest Repellent</t>
  </si>
  <si>
    <t>Recently it was argued by pest control manufacturer that repellents using high
frequency sound for insect invasions are superior to the conventional chemical sprays and
treatments. High frequency sound is known to repel certain insects and other animals, and
permethrin is a common household pesticide also with repellent properties. It is important for
the general public to know differences in repellent effectiveness and toxicity. This study
compares the efficacy of the two top selling repellents, the Weitech 0615, a toxin-free high
frequency sound device, and Cutter Bug Free Backyard, using permethrin. Each repellent was
tested separately in backyard testing sites as prescribed on their labels. To attract nocturnal
insects, a fluorescent light was set up near a white tarp. This study focuses on and analyses
product failure, which is defined as the approach of an insect to the repellent-treated area. The
number of these insects not repelled was tabulated as well as the insect type. The results show
that both methods are effective in repelling insects compared to the area that was not treated, but
the sound based product was not proved more effective than the chemical-based repellent. These
findings provide some insight into the complexity of different repellent methods, and the
compromises and tradeoffs involved when using synthetic chemicals versus alternative forms of
repellent.</t>
  </si>
  <si>
    <t>Ausberry-page1.pdf</t>
  </si>
  <si>
    <t>Gina Marie Benigno</t>
  </si>
  <si>
    <t>The Effect of Bat Guano on the Forest Litter Invertebrate Food Web</t>
  </si>
  <si>
    <t>River derived nutrients can be transported over long distances into terrestrial
systems by mobile predators. Insectivorous bats that feed over rivers and roost in redwood trees
are one such vector. Guano associated invertebrate communities occurring in tropical caves are
well documented, but the influence of guano in invertebrates in forest systems has not yet been
studied. For this study, research was conducted in Northern California to test the hypothesis that
nutrients deposited as bat guano in redwood tree hollows are incorporated into the terrestrial
invertebrate food web. Experimental additions of bat guano were made in selected tree hollows.
Invertebrates were collected in pitfall traps in and around control and experimental tree hollows
for two months after guano deployment. Stable isotope analysis will be used to compare δ15N
values of these invertebrates. Preliminary results indicate that in the week after addition of bat
guano, total number of invertebrates declines. This decline is driven by a decrease in the most
abundant species of collembola, mite, and diptera. Further analysis is needed before conclusive
results can be stated. This research will establish weather bat guano subsidies play a role in
forest invertebrate food webs as they do in cave systems, and it may help establish a new link
between river and forest food webs.</t>
  </si>
  <si>
    <t>Benigno-page1.pdf</t>
  </si>
  <si>
    <t>Dipti Bhatnagar</t>
  </si>
  <si>
    <t>Uprooting Forests, Planting Trees: Success of Compensatory Afforestation Measures Mitigating the Deforestation for the Sardar Sarovar Dam, India</t>
  </si>
  <si>
    <t>Large dams, found on practically all the major rivers of the world, have been criticized
for negative environmental, social and economic consequences. This study assesses the success
of a process known as Compensatory Afforestation, a measure to mitigate the deforestation of
13,000 hectares of forest land, caused by inundation of land by the Sardar Sarovar Dam on the
Narmada River in western India. Tribal people and peasants living in or near these forests,
traditionally use the forests as an important community resource for firewood, medicinal herbs,
forest produce, etc. The mitigation process involves tree plantations carried out on 13,000
hectares of land to compensate for the forests lost to flooding. The methodology used for the
study included a combination of interviewing villagers, village heads, government and forest
officials; visiting plantation sites to cross check interviewees claims; and analyzing government
documents. It was found that each region displayed different shortcomings in the planning and
implementation of CAF. However, results varied widely between different regions. Some sites
had healthy plantations, albeit undesired monoculture plantations of invasive species. Other sites
had unhealthy plantations with almost no tree cover and no protection. Still other sites have
plantations in a different ecological zone from the submerged forests. Hence, the main
conclusion of this study is that valuable forests are being lost to inundation by the dam, but they
are not being compensated satisfactorily, as laid out by the government’s own mitigation policies
described in its environmental management plan.</t>
  </si>
  <si>
    <t>Bhatnagar-page1.pdf</t>
  </si>
  <si>
    <t>Bhumi Bhutani</t>
  </si>
  <si>
    <t>Management of Reproductive Health Among Women From the Indian Subcontinent</t>
  </si>
  <si>
    <t>Women’s reproductive health issues are often overlooked in South Asian societies.
Previous research indicates that unreliable sources, such as friends and family, are often used as
a primary outlet by South Asian groups to answer questions about their reproductive health. Past
observations made while working in an obstetrician’s practice show distinct differences in
behavior, perception, knowledge, and attitude between South Asian women and Non-South
Asian women. However, due to the recent acculturation of South Asians in the United States,
there is limited information regarding the management of reproductive health among this group
in the United States (Mukherjea 2003, pers. comm.). This study resembles a Knowledge,
Attitude, and Practice (KAP) study that compares the management of reproductive health among
South Asian women and Non-South Asian women. This question has been tested using a
questionnaire which addresses the following topics: a) socio-economic status, b) contraceptive
use, c) fertility, d) sexually transmitted diseases, reproductive tract infections, and e) source of
information on reproductive health. Approximately 400 questionnaires were completed by South
Asian women and Non-South Asian women located in obstetrician/gynecologist offices in the
Bay Area of Northern California. Results indicate marked differences in how South Asian
women manage their reproductive health when compared with non-South Asian women. South
Asian women are often accompanied by their husbands on their visits to the OB/GYN. They
also rely on their husbands as a prime source of information regarding their reproductive health,
although they are more educated and come from high income groups. Differences between these
two groups may indicate the need to provide reproductive health services in a manner that is
sensitive to the socio-cultural needs of South Asians.</t>
  </si>
  <si>
    <t>Bhutani-page1.pdf</t>
  </si>
  <si>
    <t>Tiffany Bock</t>
  </si>
  <si>
    <t>Greenhouse Gas Emissions and the Decommissioning of Hydroelectric Dams</t>
  </si>
  <si>
    <t>Greenhouse gas (GHG) emissions from hydroelectric dams are often portrayed as
nonexistent by the hydropower industry and have been largely ignored in global comparisons of
various sources of electricity. This work examines the role of decommissioning hydroelectric
dams in GHG emissions. Accumulated sediments in reservoirs contain elevated levels of carbon,
which may be released to the environment as CO2 and CH4 upon decommissioning of the dam.
The sediment accumulation rate and the volume of sediment are estimated for six of the ten
largest hydroelectric reservoirs in the United States. The carbon content of the sediments is
estimated and calculated in terms of the global warming potential (GWP) of the sediments per
kWh of power produced by the plant in its lifetime. The estimated potential warming effects of
each of the eight power plants ranged from 3.57gC/kWh to 10.95gC/kWh. A table is presented
comparing these potential global warming effects to those of other sources of electricity. This
comparison demonstrates that GHG emissions from the decommissioning of hydroelectric dams
are significant compared to emissions from other phases of the lifecycle. The amount of
greenhouse gases emitted by the sediments upon decommissioning of the dam should not be
ignored, and should be taken into account when considering the construction and relicensing of
hydroelectric dams. Hydroelectricity is viewed as a clean, renewable source of energy. It is
important, however, that the GHG emissions at the decommissioning of the dam be included in
these views, and hydroelectricity be treated as another precursor for climate change.</t>
  </si>
  <si>
    <t>Bock-page1.pdf</t>
  </si>
  <si>
    <t>Lucy Brining</t>
  </si>
  <si>
    <t>Single Nucleotide Polymorphisms and Incidence of Lymphoma</t>
  </si>
  <si>
    <t>Lymphoma is the fifth most commonly diagnosed cancer in the United
States and incidence levels are increasing with little new information on possible
causes. Several cancers are known to be associated with genetic aberrations. This
study investigates the relationship between developing lymphoma and genetic
aberrations known as single nucleotide polymorphisms (SNPs), found in the MIF,
CY1PA, APM1, and LEP genes. SNPs are single nucleotide base changes within a
gene, whose presence is posited to interfere with the genes function. The study tested
whether the presence of one or more of the SNPs in question and the interactions
between two SNPs increases the risk of developing lymphoma. To investigate the
hypothesis, DNA was isolated from 1,236 controls and subjects, with the subjects
being cancer patients and analyzed for presence of the four SNPs using Real-Time
PCR analysis. The data were tested for Hardy-Weinburg equilibrium to determine
normalcy of the data set and analyzed using chi-squared analyses looking for
associations between the presence of the SNPs and lymphoma. Results are expected
to show that the presence of two of the SNPs will have synergistic interactions and
are associated with the development of lymphoma. In addition, the results might
show the presence of at least one of the SNPs correlates with the development of
lymphoma. Findings from this study could serve as potential biomarkers for cancer in
the future.</t>
  </si>
  <si>
    <t>Brining-page1.pdf</t>
  </si>
  <si>
    <t>Ryan A. Buckley</t>
  </si>
  <si>
    <t>Water Use Characteristics of College Students</t>
  </si>
  <si>
    <t>The water use characteristics of undergraduate college students are of paramount
importance in the effort to save potable water supplies. Although literature describing
residential water use and price elasticities of water is available, there are no studies of college
students’ water use. This study finds how much water college students can save with existing
technology by analyzing water audit data self-administered in March and April 2004 by
students in an environmental science lecture at the University of California at Berkeley.
Students were assigned a graded water audit that collected 29 data points on housing type;
basic demographics; and use of faucets, toilets, showers, and clothes washers. Fourteen
regressions were run with ten control variables on total water consumption. Data was clustered
at residence-specific and residence-type levels. Direct payment of the water bill was found to
reduce water consumption by just over 8000 gallons per year and being raised in Los Angeles
County contributed approximately 4500 gallons per year. Average water consumption was
found to be 80 gallons per person per day. Over half of this water was used in showers, where
students spend an average of 15 minutes washing themselves each day. This study finds that
there is no significant difference in water use among the three surveyed housing types. This
study concludes that residence managers can save over $45 per person per year simply by
installing standard low-flow water use devices.</t>
  </si>
  <si>
    <t>buckley-page1.pdf</t>
  </si>
  <si>
    <t>Jack Cheng</t>
  </si>
  <si>
    <t>The Effects of Salinity on Water Hyacinth (Eichhonia crassipes)</t>
  </si>
  <si>
    <t>The water hyacinth’s ability to cope with various ecosystems has been the primary
reason why it has been so successful in infesting fresh and brackish waterways. The high
productivity and absorption capacity of the hyacinth causes damage by obstructing navigation,
impeding drainage, destroying wildlife resources, and reducing outdoor recreation. This study
examines the productivity of water hyacinth at different salinity. The experiment was conducted
in a greenhouse with eighteen 15L tanks (one control and five treatments replicated three times)
over seven days. Each tank contained water, nutrients, and salt. Salinity concentration for the
control was 0 ppt while the treatments had concentrations of 0.5 ppt, 2.25 ppt, 4.5 ppt, 9 ppt, and
18 ppt. Leaf number, length, width, and plant color were measurements were taken three times a
week as a measure of growth and health. The results from this study suggest that water hyacinth
cannot survive past a salinity concentration of 9 ppt. Any salinity level above the oligosaline
range (0.5 ppt-5 ppt) appears to weaken and damage the hyacinth. Information from this study
would be useful in assessing the risk of water hyacinth infestation and possible methods of
control. Future research can look at a longer study period as well as a finer gradient of salinity
concentrations.</t>
  </si>
  <si>
    <t>Cheng-page1.pdf</t>
  </si>
  <si>
    <t>Rilene Chew</t>
  </si>
  <si>
    <t>Spatial Data Analysis as a Means of Risk Assessment of Schistosomiasis in Sichuan Province, China</t>
  </si>
  <si>
    <t>Accurate measurements of exposure are critical to developing adequate public health intervention with
human schistosomiasis. Current exposure measurements, which include duration of water exposure,
time of water exposure, and body surface area (BSA) exposed, do not show any significant
relationship between intensity of infection (eggs per gram of stool, epg) and water contact data. To
address this discrepancy, ArcGIS and ArcHydro tools were used to generate a continuous ditch
network and flow direction map of Minhe village in Sichuan Province, China and examine the effect
of including cercarial concentrations in current exposure models. One “space matters” map was based
on actual snail data collected by Sichuan Institute of Parasitic Disease (SIPD) and Spear’s Research
Group based in UC Berkeley’s School of Public Health; another “space doesn’t matter” map was
based on an assumed random distribution of snails and cercaria across the ditch network. While
statistical analysis is not referenced here, current results indicate that using actual snail data and
cercarial concentration potentially depict a pattern of ‘hot-spots,’ or areas of higher infection risk, as
opposed to risk maps based on randomization which assume an even distribution of risk. Such data
suggests there may be more effective ways in advising infected populations as to how they can lower
or eliminate their infection rates. Accurate knowledge of high-risk sites also allows for more efficient
and focused public health interventions. Further statistical study of the contribution of cercarial
concentrations to schistosomiasis exposure models should be conducted.</t>
  </si>
  <si>
    <t>Chew-page1.pdf</t>
  </si>
  <si>
    <t>Min L. Choy</t>
  </si>
  <si>
    <t>A comparison of the effects of regulated and non-regulated hydrologic regimes on fine sediment deposition and benthic macroinvertebrate distributions</t>
  </si>
  <si>
    <t>This study examines how fine sediments deposited in streams in the Santa Clara
Valley of California affect the density and composition of benthic macroinvertebrates commonly
used as water quality bioindicators. The focus is on the three insect orders Epheroptera,
Plecoptera and Trichoptera (EPT) because they are considered generally intolerant of stream
pollution. Excess fine sediments (&lt;2mm) alter the substrate composition by filling in interstitial
spaces and coating surfaces, thereby changing habitat suitability for aquatic organisms including
salmonids and macroinvertebrates. Dams may affect fine sediment levels in streams because
regulated flows have less capacity and competence to move fine sediment. The present study on
six streams addresses whether regulated flow and non-regulated flow sites have different
amounts of fine sediment and if EPT metrics differ among the two flow regimes. Five
collections were made at each site using a Hess sampler with a 500 µm mesh net. A nested
analysis of variance showed regulated flow sites to have significantly (p&lt; 0.05) higher amounts
of fine sediment. EPT richness was also significantly different at regulated flow sites. EPT
richness and density were negatively correlated with the amount of fine sediment present. This
polygonal distribution shows that fine sediment is a limiting factor in EPT richness and density.
In addition, due to the difficulty of measuring fine bed sediments, the study examined whether
turbidimeters can substitute as a quick field method for estimating fine bed sediment. Results
show a curvilinear relationship between fine bed sediment and turbidity (r = 0.77, p&lt;0.01).</t>
  </si>
  <si>
    <t>Choy-page1.pdf</t>
  </si>
  <si>
    <t>Mark Conolly</t>
  </si>
  <si>
    <t>Modeling the water budget and salinity concentration of Walker Lake while increasing ecosystem health by way of desalination or water reallocation</t>
  </si>
  <si>
    <t>The current Walker Lake ecosystem is suffering from rising Total Dissolved Solids
levels that are threatening complete fish mortality. The Walker River Basin stretches from the
eastern slopes of the Sierra Nevada Mountains in California to the arid desert of western Nevada
and is a crucial stopping point for migrating birds, such as the Common Loon and the White
Pelican, coming across the great basin. Since the 1880’s, agricultural water diversions upstream
have reduced freshwater inflow considerably, some years the lake receives no inflow. As a result
the Walker Lake’s level has dropped dramatically, and TDS levels have jumped from 2,500
mg/L to about 12,400 mg/L in 1996. The effect of the increase in salinity increases mortality of
the threatened species, the Lahontan Cutthroat Trout (Oncorhynchus clarki henshawi), which
damages a cornerstone of the ecosystem’s food chain. The LCT population is maintained through
artificial propagation at an offsite hatchery, but complete population die off will occur when the
lake water reaches 16,000 mg/L TDS which could occur in as little as 3 drought years. This
research approach is to set up four different water budget scenarios to predict the lake’s salinity
after 20 years. I will compare these options on economic, environmental, and policy grounds.
The budget scenarios include four possible lake management strategies: 1) No change in strategy
with current average inflow, evaporation rate, and a water deficit; 2) desalination; 3) a water
rights transfer to add Walker River inflow to the lake; and 4) a hybrid approach including
desalination and a water rights transfer. To help alleviate the environmental problems associated
with the high salinity on the lake’s fishery, I will investigate in this study whether or not
desalination can serve as an economically viable solution to the detrimental effects of increasing
TDS levels in Walker Lake. However, there is debate as to whether or not this is a sensible
option, economically, when compared with the proposed non-technical option of reallocating
water rights--the ecological value of the lake and the economic productivity of Walker River
Basin agriculture must be considered.</t>
  </si>
  <si>
    <t>Conolly-page1.pdf</t>
  </si>
  <si>
    <t>Courtney W. Davis</t>
  </si>
  <si>
    <t>Seedling Germination and Salinity Tolerance in cordgrass: Spartina foliosa and Spartina alterniflora x foliosa Hybrids</t>
  </si>
  <si>
    <t>An exotic cordgrass species, Spartina alterniflora, hybridized with the native
cordgrass, S. foliosa, after its 1970s introduction into the San Francisco (CA) estuary.
Hybrids are spreading rapidly throughout the Bay, potentially altering the estuary
ecosystem, which supports more than a million shorebirds including the endangered
California Clapper Rail. Previous studies were conducted on the salinity tolerance of the
plants in both individual species and hybrids between the two, however; the salinity
tolerance of the seeds had not been previously studied. The goal of this study was to
determine the salinity tolerance of the seeds in both the native and hybrid species. Twelve
hybrid cordgrass plants were selected based on their experimentally determined salinity
tolerance (assessed using end-of-experiment biomass, conduced at UC Davis), their
ability to produce seed, and their genetic background (ranging from 0% to 93% S.
alterniflora). Two S. foliosa individuals were collected from a restored tidal marsh in
San Francisco Bay, genetic analysis indicated was uninvaded by hybrids. No genetic
analysis was preformed on the seeds. There were 2 pre-germination treatments (low and
high salinity) and 3 germination treatments (low, medium, high salinity) (= 6 treatments).
Results show that the pre-germination environments do not have an effect on the seeds.
The germination environments do, however, affect the seeds and an increase in salinity
leads to a decrease in germination. Parent clones also affect the salinity tolerance of the
seeds. These results could have enormous implications for the future of native S. foliosa
and the species that it supports.</t>
  </si>
  <si>
    <t>Davis-page1.pdf</t>
  </si>
  <si>
    <t>Halliday Dresser</t>
  </si>
  <si>
    <t>Feral Pig (Sus scrofa) Soil Disturbance in Henry Coe State Park, California</t>
  </si>
  <si>
    <t>Exotic feral pigs (Sus scrofa) exist at increasing densities in California's oak
woodlands, where their disturbance of the soil in the course of gathering roots and grubs
constitutes a major change in disturbance regime and hence a management problem. In the
summer and fall of 2003, I gathered data on feral pig soil disturbance and its associated habitat
by walking a series of transects across Henry Coe State Park, a wilderness area in which a
trapping program to control the feral pig population had recently begun. By comparing my data
with data gathered in 1982 on the same transects, I determined: 1. That pig rooting has declined
significantly between the two years of data-gathering; and 2. That this reduction was greater in
the wetter of the two large watersheds of the study area. The implications for management are
that, at least in this central California location, trapping feral pigs is an effective method of
controlling their soil disturbance in the short term, and that it is evidently more effective where
less precipitation is received. The ecological implication is that pigs may be concentrating in
wetter areas, and thus estimates of pig population based on observation of those areas are likely
to be faulty.</t>
  </si>
  <si>
    <t>Dresser-page1.pdf</t>
  </si>
  <si>
    <t>Amanda Driscoll</t>
  </si>
  <si>
    <t>PCR detection of Schistosoma japonicum cercariae: a potential tool for the field</t>
  </si>
  <si>
    <t>Despite decades of prevention and control efforts, the water-borne parasitic
disease schistosomiasis remains endemic in 74 of the world’s developing nations. Five
species of the Schistosoma trematode are pathogenic to humans; S. japonicum is the
infective agent of schistosomiasis in China and the Philippines. The purpose of this
research is to develop a sensitive and specific technique for the detection of S.
japonicum’s larval life-stage (known as cercariae) from water samples. In the field, this
will potentially provide a direct measure of the cercarial hazard of irrigation ditch water
in villages within China’s Sichuan Province. Endemic for schistosomiasis, these
agricultural communities are currently being monitored and assessed for local variations
in risk by a study at UC Berkeley’s School of Public Health. To detect free cercariae
from water samples, a qualitative polymerase chain reaction (PCR) assay has been
developed targeting regions of the retrotransposon SjR2 for amplification. Samples of
cercariae obtained from a laboratory population of snail intermediate hosts were assayed
following DNA extraction to test the technique. The results demonstrate that the PCR
assay is capable of detecting the presence of as little as one cercaria in a water sample,
and is not inhibited by additional organic matter contaminants such as those found in
local creek water. Further modifications for the field setting will allow this methodology
to be tested at the study sites in question. This research was conducted with the assistance
of Jennifer Kyle, a graduate student in Dr. Eva Harris’ laboratory in the School of Public
Health, Division of Infectious Diseases.</t>
  </si>
  <si>
    <t>Driscoll-page1.pdf</t>
  </si>
  <si>
    <t>Elizabeth Eklund</t>
  </si>
  <si>
    <t>Changing Perspectives: The Attitude of the Scientific Community Toward Wildlife As Shown in the Recorded Population Patterns of Ravens and the Crows in the Bay Area</t>
  </si>
  <si>
    <t>There exists a discrepancy in the portrayal of the common raven (Corvus corax)
and the American crow (Corvus brachyrhynchos) in popular culture and published literature.
Descriptions from the beginning to middle of 20th century depict the habitat of these two species
as remote or rural, while contemporary studies give them a place in the urban landscape. To
understand these patterns, original field notes stored in Museum of Vertebrate Zoology at
University of California, Berkeley were analyzed using an environmental history approach.
Journal entries of observations in the San Francisco Bay region were closely examined. It was
found that while raven and crow populations likely have shifted over this period, the unique
attitudes and perspectives of the biologists have also changed and appear to have a significant
impact on the data set. Early observers (1911-1960) took notice of the Bay Area, acting as
careful naturalists early on and casual collectors later. By the 1960’s field biologists began
spending less time in the Bay Area, causing the number of raven and crow sightings plummet,
while a trend of creating focused studies begins to appear before the 1970’s when almost no Bay
Area data was available. By the 1980’s a new attitude of stewardship had emerged, and more
local focus reappeared. Data from the 1980’s shows a small presence of ravens and crows in
more urban settings, indicating that the change occurred during the gap from the late 1960’s to
1980. Data indicates that the cultural patterns of the scientific community influenced
observations of crows and ravens.</t>
  </si>
  <si>
    <t>Eklund-page1.pdf</t>
  </si>
  <si>
    <t>Lela Fischer</t>
  </si>
  <si>
    <t>The Effect of Molasses Concentration on Bacterial Treatment of Selenium in Agriculture Waste Water in the San Joaquin Valley</t>
  </si>
  <si>
    <t>In the San Joaquin Valley, selenium concentrations in agricultural waste water
have become a serious concern as an environmental pollutant causing birth defects and
death in birds, small mammals, and fish. One method of lowering the concentration of
selenium in the agriculture discharge is to use biological treatment. A pilot treatment
system was developed at Panoche Drainage District using local bacterial strains in
reduction ponds to minimize the amount of selenium being discharged into the San
Joaquin River. In order to keep operation costs down and determine optimal growth for
the bacteria, this project examines how molasses substrate concentration and trace
nutrient additions for bacterial growth change the total selenium reduction. Three
different concentrations of molasses (0.1g/L, 0.2g/L and 0.4g/L) were prepared in
triplicate using influent collected at Panoche and processed at Lawrence Berkeley
Laboratory. These samples were analyzed periodically (4 or 7 days) in a controlled
environment, using atomic absorption spectrometry to determine selenium
concentrations. Final results for varying concentration of molasses between 0.1g/L,
0.2g/L and 0.4g/L did not differ for total selenium concentration. Nor did the total
selenium concentration of 0.4g/L with trace nutrient buffer differ from the other
concentrations of molasses. Total selenium reduction averaged ten percent from the
initial concentration. These results did not meet expectations. Previous experiments had
a reduction of eighty percent under similar conditions. This implies that at low
concentrations of molasses inadequate carbon is available for maximum bacterial growth
and therefore selenium reduction.</t>
  </si>
  <si>
    <t>Fischer-page1.pdf</t>
  </si>
  <si>
    <t>Anna Frankel</t>
  </si>
  <si>
    <t>A Cost Efficiency Analysis of Energy Options for the Dow Wetlands Classroom</t>
  </si>
  <si>
    <t>Dow Chemicals has proposed to build an educational facility located on its wetland
preserve site in Antioch, California. A diversified energy supply mix has been considered for the
classroom building and Dow has a unique opportunity to incorporate renewable energy into the
new classroom design. California’s energy crisis demonstrates the need for renewable energies,
decreasing the dependency on non-renewable resources such as carbon producing fossil fuels
that are limited and unsustainable. This study uses HOMER, an energy analysis software, in a
comparative analysis to calculate which combinations of renewable and traditional energy
sources would be the most cost effective for the wetlands, identifying the pros and cons of the
different mixes. HOMER integrates various costs and technology data with important site
specific data like climate and local economic costs. Unquantifiable environmental factors such
as habitat destruction and wildlife disturbance are incorporated into the analysis, encompassing
the full range of environmental and economic variables operating in the decision making process.
Careful evaluation of energy services and environmental effects integrated with cost efficient
analysis from HOMER revealed that a combination of photovoltaic modules, batteries, and
converters would best serve the Dow Wetlands site. Even though renewables are more
expensive than other technologies, their non-economic benefits outweigh the economically
cheaper grid option. These findings will be presented to Dow in hopes of influencing site
planning and design. Investing in renewable energy projects like the Dow classroom can help to
offset future problems that may arise from traditional sources of energy.</t>
  </si>
  <si>
    <t>Frankel-page1.pdf</t>
  </si>
  <si>
    <t>Andrea Fuller</t>
  </si>
  <si>
    <t>A History of Food Insecurity in West Oakland, CA: Supermarket Location</t>
  </si>
  <si>
    <t>Within the last 30 years, the issue of food security has been important in the discussion
of poverty in the United States. Inner cities have been prime locations where the lack of access
to healthy food for low-income residents has been evident. West Oakland, a region of Oakland,
California mainly populated with low-income families and individuals is a community
experiencing food insecurity. This study investigates local food access, with regard to
supermarket and convenience store locations. This study is not an assessment of West Oakland’s
food insecurity, but an examination of when major transitions occurred in local history leading to
the present state of food insecurity. Comparison of population size and supermarket and
convenience store location is used to locate possible times of transition, beginning with 1940.
Linking local history and the perspectives of community elders to numeric data exhibits strong
evidence that food access became a community wide problem before the late 1970’s and early
1980’s. The late 1970’s and early 1980’s have been noted to be the major transition point for the
majority of inner cities researched in food security, due to supermarket relocation out of these
communities. Identifying another transition time and mechanism may be helpful in prevention of
food insecurity for similar communities and may be useful in aiding communities working
toward food security.</t>
  </si>
  <si>
    <t>Fuller-page1.pdf</t>
  </si>
  <si>
    <t>Malancha Ghosh</t>
  </si>
  <si>
    <t>Resolving Conflict between the State Government Agencies of Orissa and Local Residents through Forest Management Programs.</t>
  </si>
  <si>
    <t>Joint Forest Management and Community Forest Management are programs in
India created to empower local communities with hope of decentralizing authority from
the state to community stakeholders. Instead, what resulted is limited empowerment of
local residents, land alienation, and violation of rights to life and livelihood. This study
explores whether Joint Forest Management is better than Community Forest Management
in regards to resolving the conflict between the Orissa forest department and local
residents. Secondary literary research was conducted solely on Community Forest
Management and Joint Forest Management. The sources come from Madhu Sarin, N. C.
Saxena, and Angana Chatterji, scholars and environmental activists with great expertise
in this topic. Additional sources include published documents from the following
organizations: Asia Forest Network, Community Forest International, CIFOR, Society for
Promotional Wasteland Development, and Vasundara. Public reaction, against these two
programs, was mapped in the form of social movements, petitions, formation of
committees and organizations, etc. and also the actions taken in response, such as
amendments, committees, etc. The final public reactions to the actions are my measure of
success. Results show that Community Forest Management has made amendments to
their program that are more successful at creating compromise between the Orissa forest
department and local residents. However, an analysis on public reactions to the
amendments to these programs needs further study. Creating a harmonious relationship
between Orissa forest department and local residents is crucial in order to implement the
goals of these management programs.</t>
  </si>
  <si>
    <t>gosh-page1.pdf</t>
  </si>
  <si>
    <t>Denise Antonia Grab</t>
  </si>
  <si>
    <t>Distribution of Adult Aquatic Insects in the Cosumnes River Floodplain</t>
  </si>
  <si>
    <t>Emerged aquatic insects can play a major role in terrestrial food webs. Often the
location of these insects affects the foraging behavior of terrestrial insectivores such as birds and
bats. Not only the location of emergence, but also the patterns of insect dispersal are relevant in
interpreting energy flows from aquatic insects to terrestrial insectivores. One calendar year of
emergence trapping at the Cosumnes River floodplain—a Nature Conservancy restoration site in
California’s Central Valley—has yielded a set of insect emergence data. However, little is
known about the distribution of these insects by wind or flight. This study addresses the aerial
distribution of emerged aquatic insects at the Cosumnes floodplain using “sticky” traps and
compares this distribution to the emergence levels of various sites on the floodplain. Results
showed that sampling date, trap height, site, and distance from water all had significant effects
on insect abundance, but only date and height significantly affected insect biomass. Sampling
date had the most significant effect on abundance and biomass. Moreover, many interactions
between the variables had significant effects on abundance and biomass. This suggests that
further study is needed in order to understand the true impact of each variable on insect
distribution, especially in the face of temporal variability. Understanding the factors that affect
the distribution of insects in the Cosumnes floodplain may aid scientists in interpreting
insectivore foraging behavior and help the Nature Conservancy to make management decisions
that will help insectivore species targeted in reserve restoration efforts to thrive.</t>
  </si>
  <si>
    <t>Grab-page1.pdf</t>
  </si>
  <si>
    <t>Vaughn Grigsby</t>
  </si>
  <si>
    <t>Possible Effects of Larger Vehicles on the CO2 Mitigation of Compact Hybrid Vehicles in California</t>
  </si>
  <si>
    <t>This project investigates whether the increase in larger, less efficient vehicles in
California over the next twenty years will adversely effect carbon dioxide mitigation despite
clean technology improvements in compact vehicles. Given different projections for our states
population growth, I assessed the overall carbon dioxide mitigation effects of clean vehicle
technology given various rates of growth and efficiency improvement across compact vehicles,
sport utility vehicles, and commercial transportation. California is the most prolific of all states
with regards to automobile travel and commercial vehicle usage. Californians have an average
of one vehicle for every two persons in the population. As a response to the increasing number
of vehicles in the state, California is also on the forefront of environmental legislation for
mitigation of pollutants such as carbon dioxide and other ozone depleting substances found in
smog. However, as our burgeoning population continues to grow, the number of vehicles on the
road will increase as well as the consumption of fuels and the polluting effects of burning these
fuels. The sport utility sector (SUV) has been the fastest growing sector of the automobile sales
in the United States for the past ten years. SUVs although much more efficient than in earlier
times, have lacked the clean technology investment of smaller compact vehicles. Compact clean
technologies have been successful in California, but not as prolific as SUV sales. My scenarios
illustrated that environmental gains of compact hybrid technologies are significantly offset by the
lack of clean technology in larger vehicles and the overall increase in the number of large
vehicles in California. This indicates a need for significant attention for both the high growth
rate of larger vehicles as well as the efficiency of large vehicle engines.</t>
  </si>
  <si>
    <t>Grigsby-page1.pdf</t>
  </si>
  <si>
    <t>Theresa Hendrick</t>
  </si>
  <si>
    <t>Differences in Rhizopogon Colonization on Pines in the Eastern Sierra Nevada</t>
  </si>
  <si>
    <t>Rhizopogon is a genus of hypogeous fungi that forms mutualistic associations
with many members of the Pinaceae. Rhizopogon maintains spore viability after large-
scale disturbances such as stand-replacing fire and is abundant in soil after such
disturbances. It provides much of the inoculum necessary for post-fire rehabilitation of
pine seedlings and therefore is a key element encompassing fire ecology. Bioassaying
pine seeds in soil can successfully capture Rhizopogon. Pinus muricata (Bishop pine) is
the preferred pine to bioassay with because it is fast growing, able to capture Rhizopogon
in high frequency, and requires little preparation time before planting. Preliminary data
from this study shows that Bishop pine is more frequently colonized as compared to the
other pines used. In this study Bishop pine was bioassayed to determine whether it could
provide a set of similar fungi that colonize the root tips of the native tree populations in
the Eastern Sierra Nevada. These native tree populations consist of Pinus jeffreyi (Jeffrey
pine), Pinus lambertiana (Sugar pine), and Pinus contorta (Lodgepole pine). Samples of
Rhizopogon were obtained directly from the roots of each individual pine in the bioassay
containers and screened by ITS-RFLP and unknown Rhizopogon species were further
sequenced. I anticipate that similar sets of Rhizopogon will be obtained from Bishop,
Jeffrey, and Lodgepole pines while Sugar pine, because of its differences in lineage, may
capture a slightly different set of Rhizopogon.</t>
  </si>
  <si>
    <t>Hendrick-page1.pdf</t>
  </si>
  <si>
    <t>Talli Hogen</t>
  </si>
  <si>
    <t>Highly classified...public information? Environmental racism in environmental impact statements</t>
  </si>
  <si>
    <t>Federal law requires environmental impact statements (EISs) for agencies involved in
any action that could significantly impact the environment. Enacted in 1994, Executive Order
12898 required that EISs ensure that minority populations are not disproportionately affected by
adverse environmental impacts. This study addresses environmental racism issues in the
structure of California Department of Transportation (Caltrans) EISs, and how attention to these
issues has changed with time and with proportion of minorities in the affected communities. I
expect that the quality of all EISs has improved over the past 25 years, but that EISs for high-
percentage minority communities are still of lower quality. Data was collected using a checklist,
with criteria that check for environmental racism; documentation on publication year and
demographic statistics was included. Higher scores denote better attention to potential
environmental racism issues. N=40 for the years 1980-2004. EIS scores appeared to be highly
correlated to the date of publication (ANOVA, α=0.05), but not to the percentages of minorities
in the communities affected. Overall, EIS scores have increased over time. Score improvement
since 1994 is increasingly greater (z-test, α=0.05) with a larger percentage of minorities in the
affected population. Certain areas, such as inclusion of racial census information, and involving
community members in developing mitigation measures, still need improvement. Caltrans has
achieved equalization of environmental justice scores among different population types affected,
although environmental justice scores were generally still fairly low. Attention to some specific
issues, such as public access to the documents, was found to be insufficient.</t>
  </si>
  <si>
    <t>Hogan-page1.pdf</t>
  </si>
  <si>
    <t>Amy Ip</t>
  </si>
  <si>
    <t>The Effects of Colpoda inflate Predation on Pseudomonas syringae in Bean Phyllosphere</t>
  </si>
  <si>
    <t>Pseudomonas syringae has caused brown spot disease and frost damage to a variety of
commercial crops, such as snap bean. Previous studies have indicated that abundant populations
of P. syringae cause plants to be more susceptible to pathogenic harm. This exploratory study
considered how protist predation may increase the fitness of bean leaves and thus the whole
plant. The chosen predator species, Colpoda inflata, a common soil ciliate, is known to be
capable of surviving on the phyllosphere. Bean leaves were inoculated with P. syringae and with
or without C. inflata. The effects of predation were measured by enumerating bacteria and protist
populations. P. syringae populations were counted with spiral plating. Results are showed that P.
syringae populations are maintained at steady levels in the presence of protist predation.
However, visual health and brown spot counts indicate protist predation does not eliminate
brown spot disease from bean plants. While protozoa presence may not reduce disease risk, this
study suggests that microbial communities containing protist and bacteria can coexist in the
phyllopshere. Further studies are needed to understand the mechanisms of epiphytic microbial
communities.</t>
  </si>
  <si>
    <t>Ip-page1.pdf</t>
  </si>
  <si>
    <t>Adnan R. Iqbal</t>
  </si>
  <si>
    <t>A Physical Habitat Assessment of Alameda Creek used to Determine the Suitability for Reintroducing Native Fish Species.</t>
  </si>
  <si>
    <t>Adjacent land use to a creek, such as urban development, alters the natural
hydrological conditions of many streams often resulting in the degradation of water quality,
physical habitat, and biotic integrity of the ecosystem. In particular, native fish populations are
heavily dependent upon favorable characteristics of a healthy stream (i.e. channel flow status,
riffle/pool variability, sediment deposition, available cover, etc.) This paper summarizes
qualitative data on overall stream health collected from Alameda Creek, a 30-mile long urban
stream in the East Bay Area, California. The data help determine whether Alameda Creek has
suitable physical habitat quality required for the successful reintroduction of native fish species
including Steelhead trout, Coho Salmon, and Chinook salmon. Habitat requirements varied
amongst various native fish life history stages. Data was collected monthly (February – April) at
nine sites along the stream based on type of adjacent land use (Urban, Auto/Rail Overpass, or
Natural). Ten parameters of stream health were evaluated using an EPA Habitat Assessment
Field Data Sheet and each site was assigned a numerical value according to overall health.
Qualitative habitat assessment data revealed that stream health was extremely poor near
Auto/Rail sites, fairly poor near urban development, and quite healthy in natural areas. Thus,
Alameda creek has many areas suitable for successful fish reintroduction (i.e. natural and some
urban areas), but overall Alameda Creek has unsuitable physical habitat needed for thriving fish
populations. Overall, the data collected strongly suggest that site-specific restoration measures
are needed in order to improve the ecological condition of Alameda Creek.</t>
  </si>
  <si>
    <t>Iqbal-page1.pdf</t>
  </si>
  <si>
    <t>Michiko Ishisone</t>
  </si>
  <si>
    <t>Gas Flaring in the Niger Delta: the Potential Benefits of its Reduction on the Local Economy and Environment.</t>
  </si>
  <si>
    <t xml:space="preserve"> Nigeria flares 17.2 billion m3 of natural gas per year in conjunction with the
exploration of crude oil in the Niger Delta. This gas flaring expends huge amounts of energy and
causes environmental degradation and disease. Even though oil has become the center of current
industrial development and economic activities, the links between oil exploration and
exploitation processes and the incumbent environmental, health, and social problems in oil
producing communities are not well known. This paper examines the potential benefits of a gas
flaring reduction on the local economy and environment, including the projected benefits of
utilizing associated gas. Also, the carbon monoxide level of ambient air was collected at four
villages, and other emissions related to flaring evaluated through related research. The results
show that the reduction of gas flaring can improve human health and the environment. This
paper concludes that the local livelihood in the Niger Delta can be significantly improved by
promoting a shift from flaring the associated gas to collecting it for use as a gaseous fuel and for
electricity generation. Although political feasibility poses a significant hurdle, economic and
energy initiatives need to be strongly integrated with other policies that promote development.</t>
  </si>
  <si>
    <t>Ishone-page1.pdf</t>
  </si>
  <si>
    <t>Todd Jones</t>
  </si>
  <si>
    <t>Power and the Environment: Unpacking Land Use Development in San Diego</t>
  </si>
  <si>
    <t>Southern California, and the city of San Diego in particular, has become well known
for its application of a certain type of land use commonly known as ‘sprawl.’ This type of land
use or land development is widely recognized as particularly environmentally insensitive as it
tends to irreversibly alter large tracts of land, generally changing the landscape of a region.
Recently however, the city of San Diego has implemented programs and other land use policies
which have challenged its ‘growth-oriented’ reputation. Its system of land use procedures and
comprehensive environmental and conservation regulations have put San Diego at the fore of
what is often called ‘smart-growth’ planning. Yet, in 2001 a large development proposal called
Rancho Encantada was passed by the San Diego City Council. The project involves the
construction of almost 1,000 homes on the urban periphery. In this paper I attempt to explain the
Rancho Encantada project in its socio-political context. I seek to discover what characterizes the
context of land use and development (macro-scale environmental change) in San Diego, to
illustrate the effect of these characteristics on land use, and to identify the mechanisms of these
effects. I argue that a particular land use can be explained by the socio-political circumstances of
the land resource. I have developed a specific theoretical approach for this study which is
heavily influenced by work in the field of political ecology. I have organized the ‘socio-political
context/environment’ variable into an index of indicators comprising language, history, ideology,
and power relations. My results show that land use and development in San Diego is indeed
largely explained by specific environmental/contextual factors which are procedural, social,
political, economic, historical and linguistic in nature. This study shows as well that the socio-
political environment in San Diego comprises components which act to both constrain and
facilitate development interests. Finally, I offer a model for the use of open, undeveloped land
resources in San Diego. The model can work to show the general evolution of land development
on a particular scale, but only with the more detailed research which is needed to identify
mechanisms and how they are related, both of which may vary on a project-by-project basis and
certainly by locality.</t>
  </si>
  <si>
    <t>Masayoshi Kanai</t>
  </si>
  <si>
    <t>Media’s Coverage of the Hybrid Prius in Japan</t>
  </si>
  <si>
    <t>In 1997, Toyota introduced the first mass-produced hybrid electric vehicle, the
Prius, in Japan. In 2003, they introduced the second generation of the Prius. The sales of
the latter have been considerably stronger than those of the former. It is assumed that
newspapers played an influential role in these increased sales. Consumer behavior theory
recognizes that the media affects consumers. Thus, if there was a change in the ways
newspapers portrayed Prius, this may have been a cause of the sales increase. The objective
of this study is to analyze the ways newspapers reported on the vehicle in 1997-98 and
2003. Articles related to the Prius were collected from two leading newspapers in
Japan. Content analysis was done on these articles to find the frequencies of selected
features such as environmental, economic, driving, and others. Next, text analysis was
performed to determine the attitudes that the articles showed toward those features. This
study indicates that newspapers reported on the Prius as an expensive eco-car
between1997-98, but in 2003, they had portrayed the vehicle as an eco-car with good driving
quality. The reporting of driving quality improvement seems to play a role in bridging the
price gap between Prius and the conventional vehicles. However, in their comparisons of the
prices, the newspapers fail to recognize the reduction of air pollutants as a factor that justifies
high cost, despite the fact that the newspapers did recognize the high environmental quality of
the Prius.</t>
  </si>
  <si>
    <t>Kanai-page1.pdf</t>
  </si>
  <si>
    <t>Daniel Keck</t>
  </si>
  <si>
    <t>Patterns in Reproductive Litterfall along an Elevation Gradient in a Tropical Forest</t>
  </si>
  <si>
    <t>The ecological impacts of global climate change have become increasingly well-
documented recently. Tropical ecosystems may be particularly sensitive to small climatic
changes due to their relatively constant, aseasonal climates. This study sought to investigate the
effects of climate change on reproductive litterfall production in a tropical forest. The study site
was situated along a 330 m elevation gradient in a humid Puerto Rican forest. The elevation
gradient and the corresponding 1°C temperature gradient were used as a proxy for potential
climate change. Litterfall was collected for eight years at 12 sites along the elevation gradient
spanning four distinct forest types. The litter was then sorted into four fractions, dried, weighed
for mass, and analyzed for carbon and nutrient content. This study focuses on the fraction of the
litter containing reproductive structures including fruits, flowers, and seeds. Differences in
magnitude as well as temporal patterns of reproductive litterfall support the classification of the
cloud forests as distinct forest types. Overall, the forests displayed a significant negative
relationship between elevation and reproductive litterfall mass. Reproductive litterfall
production decreased significantly during the course of the study in all of the forest types, but the
temporal patterns in each forest type varied dramatically. These results suggest that small
climatic changes may significantly alter reproductive patterns in tropical forests. Changes in
reproduction are likely to have significant impacts on ecosystem function. It is likely that any
climatic changes that do occur will differentially affect the forest types described in this study.</t>
  </si>
  <si>
    <t>Keck-page1.pdf</t>
  </si>
  <si>
    <t>Jane Kim</t>
  </si>
  <si>
    <t>Evaluation of California's environmental science education curriculum</t>
  </si>
  <si>
    <t>Presently there is a dearth of information about High School level
environmental science education. Exactly what topics should be covered in an
environmental science class is disputed. Current California schools use a curriculum
designed with the singular goal of conditioning students to pass the Advanced Placement
exam. To date, few studies have quantitatively measured how students interact with the
current AP environmental science education system. Using standardized tests, this study
attempts to quantitatively measure how well students learn environmental science topics.
Participants in this study completed a demographical questionnaire which asked
questions about study habits and primary language. Students also took the Children’s
Environmental Awareness and Knowledge Scale Exam once in the fall as well as once in
the spring. The AP students also took tests modeled after the multiple choice portion of
the AP exam. This study’s guiding hypotheses were that performance is a strong function
of primary language, and that class size and time spent studying are of secondary
importance. The study found that performance was, contrary to the hypothesis, not a
function of primary language. The study also found that students in larger classes
performed better. To obtain better results this study should be repeated such that a
student’s questionnaire is associated with his or her exams. Particularly, future studies
should carefully examine the relationship between scholastic performance and other
factors such as race and economic status. These studies may lead to positive changes in
California’s environmental science curriculum.</t>
  </si>
  <si>
    <t>Kim frontpage-page1.pdf</t>
  </si>
  <si>
    <t>Audrey Krompholz</t>
  </si>
  <si>
    <t>Correlation of the Incidence of Brown Spot Disease and Effectors of Quorum Sensing</t>
  </si>
  <si>
    <t>Brown spot disease has recently emerged as a source of economic loss for bean
farmers worldwide. The disease is caused by Pseudomonas syringae, an epiphytic bacteria that
exhibits quorum sensing behavior, which creates necrotic brown spots on pods and leaves that
are not aesthetically pleasing. Bacteriocidal applications reduce the severity of the disease but
farmers and researchers alike seek cheaper, more environmentally friendly alternatives.
Researchers are currently examining how to disrupt the unique characteristics of P. syringae
quorum sensing behavior. Quorum sensing enables bacterial cells to take on properties of a
biofilm, thereby becoming more resistant to desiccation, more stress tolerant, and better able to
survive stress on leaves than more solitary cells. This research project evaluates the correlation
of the incidence of brown spot disease and effectors of quorum sensing. It is hypothesized that if
quorum sensing increases survivorship of P. syringae, then epiphytes that activate quorum
sensing should be more abundant on diseased leaves. Bacteria from both healthy and diseased
leaf surfaces are cultivated, then tested for the ability to inhibit or activate quorum sensing in P.
syringae. Chi-Square tests indicate that bacteria from diseased leaves are more likely to activate
and inhibit quorum sensing. T-tests indicate that both inhibited and activated bacteria from
healthy leaves have significantly smaller magnitudes of expression than inhibited and activated
bacteria from diseased leaves. These results link quorum sensing behavior to disease occurrence
and further research may reveal a potential method of biocontrol against brown spot disease.</t>
  </si>
  <si>
    <t>Krompholz-page1.pdf</t>
  </si>
  <si>
    <t>Ja-Ming Emily Lee</t>
  </si>
  <si>
    <t>Perceptions of Global Warming: An Environmental Justice Approach in West Oakland</t>
  </si>
  <si>
    <t>The motivation for this study was to use an environmental justice framework to
address the perception of climate change among communities of color and low-income
individuals. The environmental justice movement has demonstrated that these communities are
disproportionately impacted by environmental and health hazards, compared to the general
public. Recent literature has shown that these same communities are more vulnerable to climate
change events, and have greater exposure to industrial and automobile emissions that contribute
to global climate change. It is necessary, therefore, to address disadvantaged communities’
concerns and opinions about climate change. In this study, I hypothesize that disadvantaged
communities lack knowledge of a specific climate change issue—global warming—because they
lack access to information. Through a series of focus groups, I explore the perceptions of global
warming among West Oakland, California residents. Results show that participants have
extensive knowledge of local environmental problems and familiarity with certain global
problems, but less knowledge of how local problems relate to global warming. A perception
gradient also exists among participants that ranges from a minimal to in-depth understanding of
how local actions relate to global warming. These results indicate that West Oakland residents
are cognizant and concerned about the effects of environmental pollution, but lack access to
information to connect local problems to global warming’s effects. I conclude that policymakers,
scientists, and civil society engaged in climate change issues need to specifically address this
local-global connection through the involvement of disadvantaged communities in climate policy
discussions.</t>
  </si>
  <si>
    <t>Lee-page1.pdf</t>
  </si>
  <si>
    <t>Nancy Ellen Levine</t>
  </si>
  <si>
    <t>Size and Frequency data of Lottia gigantean at the James Fitzgerald Marine Reserve, Moss Beach, California</t>
  </si>
  <si>
    <t>The James Fitzgerald Marine Reserve is one of the most biologically diverse marine
reserves in Northern California. Although it has been a marine reserve since 1969, there is no
readily available baseline data for many of the organisms at the reserve. Because intertidal
habitat is subject to significant human disturbances this study aims to measure the effects of
anthropogenic disturbance in order to contribute to the preservation of the biodiversity of the
area. Size and frequency data for the limpet, Lottia gigantean was collected in order to gather
representative baseline data and determine the effect of human disturbance in different areas
along the reef. This particular species is subject to poaching and, due to its unique behavior, can
be indicative of intertidal health. L. gigantean is very territorial; depressed habitat availability
can lead to an increase in the abundance of smaller limpet species. Shell lengths and frequency
data gathered from different parts of the reserve classified as light and heavy visitor impact
intensities were compared. Mean shell lengths did not differ with varying degrees of human
impact. Predator impact is thought to have a significant effect, but should be investigated in
greater detail. A significant difference was found between mean shell lengths of the two heavily
impacted areas. Ranger presence is thought to influence this difference. This study also aids in
the biological assessment of the James Fitzgerald Marine Reserve and can supplement future
studies in this under-explored habitat.</t>
  </si>
  <si>
    <t>Levine-page1.pdf</t>
  </si>
  <si>
    <t>Health and Dietary Practices as Indicators of Ecological Awareness</t>
  </si>
  <si>
    <t>Although the global food system causes many environmental problems, industrially
grown food continues to be produced and consumed. Heavily processed foods which travel long
distances contribute to a range of health problems. Not everyone is aware of the environmental
problems associated with the global food economy. The environmental impact of dietary
practices can be quantified via the Ecological Footprint Quiz. This study focuses on health and
dietary practice as proxies for environmental awareness, and is designed to detect any correlation
between preferred health care system, dietary practices, and Ecological Footprint size. Three-
hundred sixteen (316) UC Berkeley students were surveyed. Data shows that students who favor
western allopathic medicine have higher energy diets consisting of more processed, resource-
intensive food, and have a higher food EF size. These results help to understand how a broader
ecological awareness affects various lifestyle choices that impact the environment. These
findings illuminate the importance of educational programs informing people about the global
food system and how a shift towards a local food economy would benefit both human health and
the environment.</t>
  </si>
  <si>
    <t>Eden Mann</t>
  </si>
  <si>
    <t>Accumulation of Lead in Soil from Waste-derived Commercial Fertilizer</t>
  </si>
  <si>
    <t>Non-nutritive metals from industrial waste are recycled into fertilizer as a cheap
method of disposal. Soil naturally contains traces of heavy metals; however, the repetitive
application of fertilizers containing these heavy metals may result in accumulation of lead to
levels that may have toxic consequences for all life forms. This study estimates and compares
accumulation of lead in agricultural soils from waste-derived commercial fertilizers under new
California regulations by calculating the time it will take to reach USEPA standards for
hazardous concentrations of lead under different worst-case scenarios and also for specific real-
life crop examples. Grain, root, and vegetable crops were compared in the worst-case scenarios.
Fertilizer usage was based on high-end phosphate nutrient requirements for each of the
categories. Tillage depth and soil densities were specific to California soils. It was assumed the
maximum allowable concentration of lead under the new California regulations was present in
the fertilizer. The specific crop examples in various California counties were compared: bell
pepper in Kern, onions in Riverside, and grapes in Napa. Variables such as fertilizer use and
tillage depth were specific to local growing practices; soil density was specific to the location of
the crop. The results show that lead poses a negligible risk of accumulating to toxic
concentrations within the next 100 years under the worst-case scenarios and the specific crop
scenarios. Therefore, new California standards for lead in fertilizers may be adequate; however,
states without regulations may want to set standards for lead in fertilizer to prevent rapid
accumulation to hazardous levels.</t>
  </si>
  <si>
    <t>Mann-page1.pdf</t>
  </si>
  <si>
    <t>Juan Carlos Mendoza</t>
  </si>
  <si>
    <t>Effects of Salinity on Alfalfa Seedling Growth in the Imperial Valley</t>
  </si>
  <si>
    <t>The Colorado River Water Agreement of 2003, which allows for the long-term
transfer of water from the Imperial Valley to the San Diego region, will have negative effects on
the production of water intensive crops, particularly alfalfa. The shift in production from high
water intensive to low water intensive and high labor intensive crops has angered local Imperial
Valley farmers. Farmers are currently devising alternatives to return water supplies back to the
Imperial Valley in order to maintain current levels of alfalfa productivity. Further acquisition of
water by the Imperial Valley may lead to decreased alfalfa production because of the saline
nature of the irrigation water. This study examines the effects of salinity on alfalfa seedling
growth in the Imperial Valley. The experiment will determine the point at which alfalfa growth is
significantly reduced by increased salinity. Four seed varieties were planted and measured
against varying salinity concentrations (330, 565, 895, 1240, 1550 mg/L). Plots were irrigated
with the various salt concentrations and analyzed in the field for differences in height. Growth
measurements were obtained throughout the experiment’s two month duration and analyzed for
variance of growth. The results show that alfalfa productivity is severely hindered by the
irrigation of water with a salinity ≥ 895 mg/L. Farmers will have to expand their search for
alternative water supplies in order to maintain agricultural sustenance of alfalfa production.</t>
  </si>
  <si>
    <t>Mendoza-page1.pdf</t>
  </si>
  <si>
    <t>Patrick Nichols</t>
  </si>
  <si>
    <t>Hydrologic Investigation of Concrete Flood Control Channel at UC Berkeley’s Richmond Field Station</t>
  </si>
  <si>
    <t>The Richmond Field Station Natural Restoration Project is a five year
multimillion dollar effort. The first stages involve the remediation of polluted marsh
lands, then the restoration of the upland prairie habitat, finishing with the adjacent
channel. The concrete flood control channel is slated to become a free flowing creek and
riparian corridor by the restoration planners at the university. The dynamics of this
system must be understood to properly design a restoration, or creation plan since
historically no creek existed there. This study assesses multiple aspects of the concrete
channel to determine its health and qualifications for restoration. We calculated flow
measurements at various intervals along the channel using velocity observations and the
known cross sectional areas. We observed the depths creating a predictive relationship
between depth and flow. Water quality characteristics: dissolved oxygen, turbidity, and
conductivity were measured on a weekly basis for three months during the winter/spring
of 2004. This information is used to help answer the question of what is the health of this
system with regards to these variables, and what are its hydrological characteristics.
Results show a consistent base flow of about 1 cubic foot per second with a peak flow
around 152cfs. A linear relationship exists between depth and flow. The slope of the
channel water surface is about 0.36%. The water quality parameters were indicative of a
healthy system. The results of this project provide a base of knowledge for future
investigation.</t>
  </si>
  <si>
    <t>Nichols-page1.pdf</t>
  </si>
  <si>
    <t>Matthew R. Oden</t>
  </si>
  <si>
    <t>Temporal Trends and Spatial Distributions of Polynuclear Aromatic Hydrocarbons (PAHs) in the San Francisco Estuary 1993-2001</t>
  </si>
  <si>
    <t>Polynuclear aromatic hydrocarbons (PAHs) can be generated through combustion of
fossil fuels, forest fires, and are found in raw petroleum. Some are know to be carcinogenic and
mutanegenic. This study was conducted to assess the temporal trends, spatial distributions,
seasonal variation, and sediment quality guideline violations of PAHs in surface sediments
between 1993 and 2001 in the San Francisco Estuary, CA. Surface sediment samples were
collected biannually during the wet and dry seasons from 26 sampling stations and were
separated and quantified using gas chromatography-mass spectrometry technique to determine
PAH contaminant levels for 14 PAHs. Contaminant levels at some stations consistently violate
the National Oceanic and Atmospheric Administration’s (NOAA) sediment quality guidelines.
Multiple PAH contaminants were found to be significantly ( alpha &lt;0.05) increasing or
decreasing at various sites during the study period. Hydrodynamically similar Bay segments
South Bay and Central Bay differ significantly in PAH levels from the Estuary Interface, San
Pablo Bay, Suisun Bay, and the Rivers. Seasonal variation is detected and shows that the wet
season has higher total PAH contaminant loads than the dry season, which is most likely due to
atmospheric deposition of airborne PAH from combustion sources into watersheds that get
washed into the Estuary. A multivariate model describes total PAH loadings using the dependent
variables segment and percent fines (R2=0.64). The overarching results reveal that some areas of
the Estuary have consistent contamination and need more proactive management to confront
higher levels of contamination, whereas other parts are showing improvements.</t>
  </si>
  <si>
    <t>Oden-page1.pdf</t>
  </si>
  <si>
    <t>Ryan Southwick</t>
  </si>
  <si>
    <t>Discourse, Context, and Consequence: An Analysis of the Discourses of Biodiversity and nature in Three Popular Magazines</t>
  </si>
  <si>
    <t>Biodiversity and nature are portrayed differently in many discourses, and thus can
have many potential effects on people’s views of them. Different material will have different
discourses of biodiversity and nature based on what the desires of the people or person
promoting that view are. I studied the discourses of biodiversity and nature in three popular
magazines; National Geographic, Field and Stream, and Travel and Leisure. The discourses
found in these magazines were coded using the biodiversity discourses defined and analyzed by
Stephen Kellert. The types of discourses found differed from magazine to magazine, and all of
the discourse distributions differed substantially from Kellert’s distribution of the US public’s
ideas of biodiversity and nature. The magazine discourse distributions also differed between
magazines. No two discourse distributions, Kellert’s or the magazines’, were statistically
similar. Statistically significant results of this were calculated using chi-square analysis testing.
I wanted at first to do this research to gain insights on why the magazines use the discourses they
do to represent biodiversity and nature, and what consequences those discourses have. However,
I could not do that without first examining what discourses the magazines use, and how often.
So the results of my research are a stepping stone to that future goal of discovering what it is that
media does to influence the public on biodiversity and nature, why they do it, and the
consequences those actions have.</t>
  </si>
  <si>
    <t>Southwick-page1.pdf</t>
  </si>
  <si>
    <t>Kaarle Strailey</t>
  </si>
  <si>
    <t>Leafminer Impacts on Photosynthetic Ability of Populus tremuloides</t>
  </si>
  <si>
    <t>In recent years, one of the dominant tree species of the boreal forests of North
America, Populus tremuloides, has experienced increased leaf mining herbivory. On a landscape
scale this leaf damage manifests as a change of the canopy from green to silver in late spring.
The catalyst for this change is predation of the mesophyll tissue of these leaves by the newly
hatched cohort or generation of leaf “mining” insect larvae. While no studies have been
published investigating the effects of this mining on leaf function it has been assumed that
damage caused by these miners inhibits the plants overall ability to photosynthesize. Historically,
outbreaks of these larvae have not been frequent enough to cause significant die back of P.
tremuloides. However, a recent series of warm winters has allowed more adult insects to
overwinter, leading to a number of high intensity outbreaks. I found a reduction in
photosynthetic ability of mined leaves of P. tremuloides in aspen stands surrounding Fairbanks,
Alaska. A loss of up to 75% of leaf photosynthetic ability was detected for highly damaged
leaves. Mining on undersides of leaves was found to have a more detrimental impact than
mining on the top surface. This is attributed to the tissue structure of leaves and possible damage
to stomata and changes to volume of interstitial space in spongy mesophyll tissue in lower parts
of the leaf that may increase photorespiration. The impact of sustained leaf damage on stand
health has yet to be determined. However, prolonged high intensity herbivory may contribute to
tree death, and climate projections for continued warming suggest this stress may intensify in the
future.</t>
  </si>
  <si>
    <t>Strailey-page1.pdf</t>
  </si>
  <si>
    <t>Pauling Sun</t>
  </si>
  <si>
    <t>Public Awareness of Plastic Recycling in Berkeley and Oakland</t>
  </si>
  <si>
    <t>With the unique characteristics of being light weighted and long durability, plastics
become convenient products to the society. Unfortunately, plastics production uses
nonrenewable resources, which may not be economically viable in the long run. One of the
current alternatives is recycling. Domestic plastic recycling is difficult to accomplish because
of the differences in individual awareness, habits and lifestyles. Once understand these
differences, improvements of the current recycling program can be made. This study focuses on
comparing cities of Berkeley and Oakland on how much the public knows about plastic recycling
in their cities and the level of plastic recycling participation. Approximately 200 surveys are
being collected in front of two separate supermarkets for each city on two consecutive weekends.
Analyzed surveys do not support the first hypothesis, which proposed city of Oakland has the
better knowledge of plastic recycling code than Berkeley. By using Chi-Square analysis, the
result shows no significant difference between Berkeley and Oakland. (p = 0.7905). Another
Chi-Square analysis tests the second hypothesis, which states that city of Berkeley has a higher
level of plastic recycling participation. Result also shows no significant difference (p = 0.7418)
base on the sample population. These findings are important to show that cities locate next to
each other behave similarly even though they do not recycle exactly the same materials.
Therefore, by influencing the adjacent cities to recycle more plastics, the nation-wide plastic
recycling rate may increase and the dependency on nonrenewable resources to produce virgin
plastics may decrease.</t>
  </si>
  <si>
    <t>Sun-page1.pdf</t>
  </si>
  <si>
    <t>Jennifer Taylor</t>
  </si>
  <si>
    <t>Effects of Childhood Location and Environmental Education on Wildlife Knowledge</t>
  </si>
  <si>
    <t>Urban sprawl in the San Francisco Bay Area has increased dramatically in recent
decades. As new housing and office developments reduce the amount of open space in the
region, people begin to lose their connection to their environment and to the wildlife that lives in
this open space. This study examines how growing up among areas of open space and being able
to participate in formal environmental education programs and informal environmental activities
in open space affects what people know about Bay Area wildlife. A self-administered survey of
307 visitors to Bay Area city, county, regional, and state parks was used to acquire the data.
Survey participants were given knowledge scores based on their responses to five wildlife related
questions. This study concludes that people who spent their childhood in a suburban area have
the highest wildlife knowledge score compared to those from rural, small town, or city
backgrounds. A significant relationship was found between knowledge score and past
participation in formal environmental education programs in local, state, and national parks.
Knowledge scores were also significantly higher with increased frequency of participation in
informal environmental activities. This study concludes that people do learn more about wildlife
when they are able to interact with open space. Therefore, urban sprawl needs to be managed so
that open space, along with the wildlife living within it, is preserved for future generations to
maintain a connection to Bay Area wildlife.</t>
  </si>
  <si>
    <t>Taylor_J-page1.pdf</t>
  </si>
  <si>
    <t>Sara May Taylor</t>
  </si>
  <si>
    <t>Effect of Urban Sprawl on the Diversity of Bird Species in Bay Area Parks</t>
  </si>
  <si>
    <t>Population growth in the San Francisco Bay Area has led to significant urban
sprawl. Although habitat destruction has been quantified in the past, the mechanisms
through which biodiversity is influenced by different levels of urbanization and how such
effects can be quantified and analyzed have been largely unexplored. The effects of three
different levels of urbanization associated with urban sprawl (urban, suburban and rural) on
avifaunal diversity were examined using three different methods of analysis. Nine parks
were selected, three for each level, based on adjacent human population density. Data were
collected in the spring, when each site was visited for three two-hour sessions. Methods of
data analysis used were: (1) a diversity index and richness value for each park (2) a ratio of
generalist species to specialist species present in each park and (3) a diversity index for three
regions within each park (the edge, the interior and areas near human disturbance). These
methods were employed to determine diversity and special differences based on level of
urbanization and region within each park. A significant difference was found between
urban/suburban and rural park diversity indices, however no difference in richness was found
between parks. A positive correlation was found between the generalist to specialist ratio
and adjacent human population density, demonstrating a significant increase in generalist
species with increases in population. Differences in diversity were found between park
regions, showing urban parks have higher diversity at their edges, and a higher number of
generalists near human disturbance, than rural parks.</t>
  </si>
  <si>
    <t>Taylor_S-page1.pdf</t>
  </si>
  <si>
    <t>Kathalyn S. Tung</t>
  </si>
  <si>
    <t>The Effectiveness of Mechanical Control of Water Hyacinth (Eichhornia crassipes)</t>
  </si>
  <si>
    <t>One of the most invasive species in the world, the water hyacinth (Eichhornia
crassipes) overruns waterways and ecosystems, causing a number of ecological, physical, and
economic problems. Water hyacinth mats decrease water quality by reducing the amount of
available sunlight for aquatic organisms, leading to reduced photosynthesis rates and dissolved
oxygen levels. Blockage of waterways disrupts boating, fishing, and other water activities. A
lawsuit filed against the California Department of Boating and Waterways resulted in restricted
use of the herbicide 2,4-D for control. An alternative mechanical method of regulating water
hyacinth overgrowth offered a solution to the chemical control lawsuit. Through random
sampling in sites within the control and treatment areas, the effect of the AquaTerminator, a
shredding machine, on the water quality of the Dow Wetlands Preserve in Antioch, California
was observed. Density counts and water quality sampling of nitrate, phosphate, dissolved
oxygen, temperature, salinity, and pH were assessed nine times at each site. Water quality
analysis indicated a slight decrease in overall water quality, and plant density exhibited more
than 50% plant regeneration from water hyacinth fragments. Seasonal variation and tidal
fluctuations influenced the study’s trends. Tidal fluctuations also pull shredded material out,
encouraging further spread of water hyacinth to the connecting San Joaquin River. Comparisons
of water quality parameters prior to and following shredding using the BACI method
demonstrated the inefficiency of the AquaTerminator as a means of water hyacinth control. This
study offers a preliminary understanding of the effects of an alternative in water hyacinth
control.</t>
  </si>
  <si>
    <t>Tung-page1.pdf</t>
  </si>
  <si>
    <t>Nicole Ureda</t>
  </si>
  <si>
    <t>Sediment LC50 Analyses of the Pyrethroid Pesticides Cyfluthrin, Deltamethrin, and Lambda-Cyhalothrin</t>
  </si>
  <si>
    <t>Pyrethroid compounds are quickly becoming popular replacements for increasingly
regulated organophosphate pesticides. Many of the newest pyrethroids have not undergone
thorough toxicity testing, however, a fact that underscores their potential dangers and has
repercussions in the development of both pesticide policies and practices. Additionally, many
pyrethroids have been analyzed for toxicity in water, an unsuitable test medium given the high
hydrophobicity of the compounds and their preferential adhesion to organic carbon in aquatic
sediments. This study sought to address the inadequacies in pyrethroid toxicity research by
determining the LC50 levels of the pesticides deltamethrin, lambda-cyhalothrin, and cyfluthrin in
sediment tests, following EPA protocol and using the test species Hyalella azteca. Additionally,
all pesticides were tested in sediment samples from two different Central Valley, CA, locations,
and their LC50 levels compared to those from a previous test run with a third sediment sample.
Each of the pesticides’ LC50 levels were standardized against sediment total organic carbon
(TOC) levels, using linear regression, to see if a direct relationship between the two could be
found. Data analysis yielded LC50 values and trends comparable to those from similar sediment
tests run with different pyrethroid compounds. Regression analyses were able to confirm the
existence of a linear relationship between LC50 values and TOC for cyfluthrin only. The
emergence of this sediment toxicity data provides pesticide industry representatives and
regulators with a better understanding of the environmental implications of pyrethroid use, and
more realistic standards against which pyrethroid exposure limits may be set.</t>
  </si>
  <si>
    <t>Ureda-page1.pdf</t>
  </si>
  <si>
    <t>Brian Walker</t>
  </si>
  <si>
    <t>Accretion and Elevation Change Monitoring in a Remediated Tidal Marsh</t>
  </si>
  <si>
    <t>In response to years of pollution from a neighboring chemical company, The
University of California is currently managing a remediation project at the UC Richmond Field
Station Tidal Marsh. The recently excavated, cleaned, and re-graded soil on tidal marsh is being
replanted. In the long term, restoration biologists hope that this area will be home to the
endangered species, the California Clapper Rail and the Salt Marsh Harvest Mouse. This study
will help planners to determine where to plant elevation sensitive plants by attempting to answer
the following questions: 1) What is the rate of elevation change of the UC Richmond tidal marsh
in the month following initial exposure to the tidal influence of the San Francisco Bay? 2) Is
there a correlation between sediment accretion and the elevation change of the marsh? The
change in elevation is detected at four points along six transects in the marsh using poles as
reference points. Accretion is measured using small plates placed next to each pole, such that
sediment captured weekly by the plate is considered to be accretion in the transect area. No
significant relationship could be found between accretion and elevation change, while accretion
varied significantly according to the relative elevation of the marsh. Rainfall events are shown to
correlate significantly with accretion events and should be considered closely by restoration
biologists.</t>
  </si>
  <si>
    <t>Walker-page1.pdf</t>
  </si>
  <si>
    <t>Scott Wise</t>
  </si>
  <si>
    <t>Effect of a Split Rail Fence on Trail Use Compliance &amp; Off-Leash Dogs in Tilden Park</t>
  </si>
  <si>
    <t>An increasing number of parklands require owners to keep their dogs on-leash,
thereby concentrating off-leash dogs in shrinking recreational habitat and increasing their impact
on these parklands. Off-leash dogs trample parkland vegetation, which damages stream banks
because the behavior leads to increased erosion and results in higher sediment loads in the rivers
and streams; sediment can be detrimental to aquatic animals. To reduce this behavior, the East
Bay Regional Park District (EBRPD) constructed a two-rail high split rail fence along sensitive
areas of Wildcat Creek with the objective of decreasing the number of dogs on the bank and in
the creek. However, no studies have actually gauged whether this type of fence reduces the
number of on and off-leash dogs, their owners as well as regular park visitors leaving designated
trails. Quantifying the effectiveness of this fence is important for future treatments in impacted
parklands because the money may be better-spent pursuing alternative, more effective options.
In order to quantify human and dog behaviors before and after fence construction, 95 hours of
observational data were collected at Wildcat Creek’s heavily impacted Nook Pool. The fence
did significantly decrease the overall non-compliance of trail users (p = 0.0038) and their pets (p
= 0.0441).</t>
  </si>
  <si>
    <t>Wise-page1.pdf</t>
  </si>
  <si>
    <t>Lauren Baker</t>
  </si>
  <si>
    <t>Nesting Habitat and Selection of the Marbled Murrelet in Central California</t>
  </si>
  <si>
    <t>Old-growth forests have been widely destroyed and fragmented in the Pacific
Northwest over the last several hundred years. As a result, species dependent on old-growth
forest are at a greater risk for decline. One such species is the marbled murrelet (Brachyramphus
marmoratus), which nests in coastal, old-growth forests. The population of the species in the
southern part of the range has been in decline due to the destruction of the birds’ nesting habitat,
and in 1992 the murrelet was federally listed as threatened in Washington, Oregon and California
(Ralph et al., 1995). Unfortunately, there have been relatively few studies on actual nest sites,
because murrelets are extremely elusive nesters. In this project I aimed to better characterize
nest trees, nest limbs and vegetation immediately surrounding nest trees of nests in Central
California. I looked at 17 nests found in the area since the late 1980s, 10 of which were found in
the last several years using radio-telemetry of tagged birds to track nesting birds. I followed the
Pacific Seabird Group (PSG) protocol to collect information on the nest tree and vegetation in
the surrounding 25-meter radius area. I also aimed to find out if murrelets were selecting for
certain features when choosing nest sites over available sites. I did this by collecting data using
the PSG protocol for random sites that were within a 1-kilometer radius area of nest sites. I
performed paired t-tests on nest and random sites to looked for differences in the two. Results
show that nest sites have higher total and midstory canopy cover, are closer to streams, are lower
on the slope and that nest sites tend to have larger basal area per hectare of very large trees (&gt;120
cm diameter at breast height (DBH)) including significantly higher basal area/ha of Redwood
trees with &gt;120 cm DBH. The results of this study will allow for better understanding of and
management of marbled murrelet nesting habitat.</t>
  </si>
  <si>
    <t>Baker-page1.pdf</t>
  </si>
  <si>
    <t>Megan Canright</t>
  </si>
  <si>
    <t>Impacts of Heat on the Spore Bank Community Structure in Mixed Conifer Forest Soil Using Pinus jeffreyi Seedlings as a Host Species.</t>
  </si>
  <si>
    <t>The effect of temperature on the presence and community composition of
ectomycorrhizal fungi associated with Pinus jeffreyi seedlings was investigated in this study. We
followed the colonization of ectomycorrhizal fungi in 8 month old Pinus jeffreyi seedlings whose
soil had been subjected to one of four treatments: no heat, 40°C heating, 55°C heating and 70°C
heating. Ectomycorrhizas were harvested by hand under dissecting microscope from 8 month old
seedlings and subjected to PCR/RFLP analysis of the ITS region of the ribosomal DNA for
identification to the species or genus level. Significant difference in species richness was
analyzed using Wilcoxon’s rank-sum test. Species diversity was measured using the Shannon-
Weaver index and tested for significant difference among treatments using t-tests. Species
richness was significantly higher in heated treatments as compared to non-heated treatments,
however no significant difference in species richness was found between seedlings heated at
different temperatures. Species diversity was also significantly different between heated and non-
heated treatments, but was not different across heated treatments. Preliminary results indicate
that species composition experiences a shift across treatments. Results may show that dominant
species include Rhizopogon subcaerulescens in non heat-treated seedlings, Russula amoenolens
in 40°C seedlings, Suillus brevipes in 55°C seedlings and Cenoccocum geophilium and
Tomentella sublilicina in 70°C treatments. Thelephoraceae sp. may be seen equally across all
treatments. If preliminary results reflect actual results, species seen in heat treatments may be
either the most heat-resistant ectomycorrhizae or are stimulated by heat and may play a role in
the re-establishment of forest ecosystems directly following fire as other less heat-resistant
mycorrhizae rebuild their communities. In short, the overall effect of increased temperature
seems to be increased species richness and diversity accompanied by a shift in species
composition from basidiomycetes to ascomycetes.</t>
  </si>
  <si>
    <t>Canright-page1.pdf</t>
  </si>
  <si>
    <t>Melinda Castillo</t>
  </si>
  <si>
    <t>Using a Timed Feeder to Increase Activity and Exhibit Usage in Captive Giraffes (Giraffa camelopardalis)</t>
  </si>
  <si>
    <t>The use of enrichment to simulate a natural environment has become increasingly
important in the management of captive animals, especially in large exotic ungulates. Indicators
of positive welfare in giraffes are behaviors that mimic those displayed in the wild. This study
uses a randomly timed feeder in an exhibit for a herd of seven captive giraffes at the Oakland
Zoo in Oakland, California. I hypothesize that the feeder can be used to stimulate more
naturalistic behaviors, where the giraffes continuously forage for food. The feeder would cause a
decrease in the time spent standing and an increase in the usage of the exhibit. An ethogram was
created for this herd of giraffes and a distribution of exhibit usage was complied. Two methods
of observations were conducted before and after the feeder was put on exhibit. Approximately 90
minutes worth of observations were done on each giraffe, using an instantaneous scan sampling,
to measure the amount of time spent standing. I used an all occurrences sampling to determine
the distribution of the giraffes in the exhibit. While the feeder is up in exhibit, the giraffes are
predicted to show more movement and activity, as well as show a larger distribution across the
exhibit. However, the results showed that the feeder did not have an effect on the movement of
the giraffes (2 tailed t-test, t(5), p=0.47), nor was there an effect on the exhibit usage. Using a
Gini coefficient to determine the distribution across the exhibit, the average before the feeder
was 0.67 and after was 0.64, though the results did not prove significant after statistically
analyzing them (2 tailed t-test, t(5), p=0.27).</t>
  </si>
  <si>
    <t>Castillo-page1.pdf</t>
  </si>
  <si>
    <t>Laura Cattani</t>
  </si>
  <si>
    <t>Interactions between Native Bark and Ambrosia Beetles with Phtophthora ramorum</t>
  </si>
  <si>
    <t>Increasing oak mortality in California and Oregon has been blamed on the pathogen
Phytophtora ramorum, a disease complex referred to as Sudden Oak Death (SOD). Observations
in the field suggest that these oak trees are experiencing higher insect infestation. I researched
the association between the oaks and the native bark and ambrosia beetles. I hypothesized that
the relationship is enhanced by the presence of P. ramorum. While past research has shown no
evidence that beetles are spreading the disease, beetle presence in infected trees could weaken
live trees to the point of falling over. My research was conducted using a tree from China Camp
State Park in Marin County. This infected tree was felled and the trunk was cut into four logs,
each about 30cm long. Back in Berkeley, two disks or cookies about 3cm thick were sawed from
each log. Using a scalpel, samples were taken from the beetle tunnels, zone lines of the various
fungi in the wood, including the P. ramorum necrotic areas. 1cm² cells were drawn out around
the circumference of each cookie. Beetle holes were counted in each cell and noted as either
necrotic or sound wood. Using a Mann-Whitney U-test I compared the mean densities between
the healthy and necrotic sections. Results revealed that the necrotic wood exhibited higher
density cells than the sound wood. While P. ramorum was not isolated from the logs, many other
fungi were cultured from the beetle tunnels and zone lines. This suggests that the beetles hasten
the invasion of secondary fungi which could significantly weaken the oak trees. Only one tree
was available for this study due to busy schedules of the park rangers. As a result, these
conclusions do not represent the oak-beetle interaction at large, but do give a solid foundation
and reason to do further research.</t>
  </si>
  <si>
    <t>Cattani-page1.pdf</t>
  </si>
  <si>
    <t>Bonnie Chang</t>
  </si>
  <si>
    <t>Developing an Aquatic Toxicity Biomarker using Hemoglobin Gene Expression</t>
  </si>
  <si>
    <t>Current toxicity protocol involving acute and chronic toxicity assays provide
little information about the mechanism of toxicity and are limited in their sensitivity. The
use of gene expression as a biomarker for environmental toxicity is a recent concept. By
looking at the expression of specific genes, it may be possible to see the effects and
mechanisms of toxicity at sub-lethal levels. In this experiment, we studied the expression
of the hemoglobin gene in Daphnia magna after metal exposure. Hemoglobin RNA was
extracted from Daphnia magna exposed to different concentration levels of copper,
cadmium, and lead. Two exposure levels derived from acute toxicity assays were used for
each metal: the NOEC (no observable effect concentration), and the midpoint between the
NOEC and LC50. Expression levels of hemoglobin were compared using northern analysis.
It was found that the daphnia hemoglobin gene was greatly expressed following lead
exposure. There was also a difference in expression between the two lead concentrations.
Little to no expression of the hemoglobin gene was expressed following copper and
cadmium exposure. The results indicate that the hemoglobin gene may be specific to lead
toxicity. More importantly, the difference in expression indicates that hemoglobin gene
expression may serve as a biomarker for lead toxicity upon further studies. The analysis
suggests that changes in gene expression may be a more biologically relevant predictor of
environmental impact because changes were detected at sub-lethal levels, making it a more
sensitive test.</t>
  </si>
  <si>
    <t>Chang-page1.pdf</t>
  </si>
  <si>
    <t>Kristina Estudillo</t>
  </si>
  <si>
    <t>LC50 Determination of the Pyrethroid Pesticides Esfenvalerate and Permethrin</t>
  </si>
  <si>
    <t>Pyrethroids are a fairly new class of pesticides that are widely used in agriculture but
whose environmental impacts are largely unknown (Drenner et al. 1993). For years, the safety
of chemical compounds has been determined with a series of water toxicity tests, but pyrethroids
are so hydrophobic that the pesticide will mostly be found in the sediment, not the water, making
results of the water tests inaccurate for determining pyrethroids’ environmental risks (Vlaming et
al. 2001). This study found the LC50’s, which are the concentration that kills fifty percent of a
population, for esfenvalerate and permethrin, both pyrethroids, using the midge Chironomus
tentans, a test species recommended by the EPA, in a series of sediment toxicity tests utilizing
two sediments, one from Glen Ellen, CA and one from the San Pablo dam near Orinda, CA, of
varying organic carbon content. The values were found following EPA protocol for measuring
pesticide toxicity in sediment, which consists of exposing ten-day old midges to known
concentrations of pesticides in the sediment and evaluating survival after ten days (EPA 2000).
All concentrations were calculated using ToxCalc to interpret the results of the ten-day tests.
The LC50 for permethrin was 1274µg/kg using the Glen Ellen sediment and 756µg/kg for the
San Pablo sediment. The LC50 for esfenvalerate was 177µg/kg using the Glen Ellen sediment
and 248µg/kg for the San Pablo sediment. These values are all much higher than their
concentrations that were found in field samples from different locations in the Central Valley,
and therefore the decreased survival found in the field samples could not have been caused by
either esfenvalerate or permethrin alone (Weston et al. 2002). Because permethrin’s LC50 is
much greater than esfenvalerate’s, it may be beneficial to the ecosystem if esfenvalerate use is
replaced by permethrin, assuming permethrin and esfenvalerate are used in the exact same
quantities and are comparably effective.</t>
  </si>
  <si>
    <t>Estudillo-page1.pdf</t>
  </si>
  <si>
    <t>Alexander Ford</t>
  </si>
  <si>
    <t>A Comparison of Pampas Grass (Cortaderia jubata), Coyote Bush (Bacharis pillularis), and Poison Oak (Toxicondendron diversilobum) on Soil Cohesion in Big Sur, California</t>
  </si>
  <si>
    <t>An infestation of pampas grass along the California coast has displaced native plants.
This change in vegetation has dramatically effected the local soil’s stability and cohesive
properties. Previous studies in the Oregon Coast Range show sharp declines in soil stability after
the introduction of new species. If soil cohesion is weakened by the invasion of pampas grass,
land sliding may occur more frequently. Root tensile forces, rooting depth, and root morphology
of pampas grass, coyote bush, and poison oak were measured to establish each species’
contribution to soil stability.
The roots of native coyote bush and poison oak have penetration depths of 3-5 meters, root
diameters of 2-4 cm, and nodular rooting morphologies. The roots of invasive pampas grass have
an average penetrance of 1.3 meters, an average diameter of 0.3 cm, and a radially symmetric
rooting morphology.
Roots act as fibers to reinforce the soil, and as such are important to soil stability. The number of
roots per unit area for coyote bush is on average 4 roots/m2. Poison oak has an average 15
roots/m2. Pampas grass has 60 roots/ m2
.
To adequately compare cohesion added by each species, a slope stability model was applied to
the data gathered. This model predicts cohesion values for soils based on three main parameters:
root tensile strength, root diameter, and number of roots per unit area. Based on this model
coyote bush contributes 0.82 Kpa, poison oak contributes 0.78 Kpa, pampas contributes 1.34
Kpa cohesion.</t>
  </si>
  <si>
    <t>Ford-page1.pdf</t>
  </si>
  <si>
    <t>Sara Hanna</t>
  </si>
  <si>
    <t>Post-fire Regeneration of Riparian Vegetation in the Duncan Creek Watershed</t>
  </si>
  <si>
    <t>Wildfires are an important factor in forested ecosystems as they have the potential to
alter the composition and structure of the forest. Most of the studies conducted thus far in the
Sierra Nevada have focused on how fire affects the mixed-conifer forest, failing to address what
impact the fire has on riparian vegetation. The objectives of this study were to determine how
wildfires’ effects on riparian vegetation and regeneration are related to the distribution of
vegetation along a gradient up from the water table, with particular attention to the sprouting
responses of various hardwood species. Ceanothus ssp. and Quercus ssp. showed the greatest
regeneration potential, followed by Salix ssp., Cornus ssp., and Alnus ssp. By measuring
vegetation along various terraces and slopes, observations were made as to the relationship
between regeneration and proximity to the stream and water table. Plants that were closer to the
water table had more shoot resprouting than those further away. There was no correlation
between the fire severity in an area and the percentage of plants that were resprouting. However,
hardwoods growing in areas of higher fire severity showed more reproductive success in the
form of shoot sprouting. The information obtained from this study can be useful in determining
whether or not fire should be excluded from riparian zones. Management decisions concerning
riparian zones are exceedingly important as they have an impact on stream water quality.</t>
  </si>
  <si>
    <t>Hanna-page1.pdf</t>
  </si>
  <si>
    <t>Max Henkle</t>
  </si>
  <si>
    <t>Ozone Deposition on Pinus Ponderosa Surfaces</t>
  </si>
  <si>
    <t>Stratospheric ozone is a secondary compound defined by the EPA as one of six
“primary pollutants.” Recently, high ozone concentrations have damaged stands of Pinus
ponderosa found in California’s Sierra Nevada mountain range. While the flux of ozone
entering these forest ecosystems is well quantified, the relative contribution of each ozone
removal mechanism is poorly understood. Surface deposition is one such removal mechanism.
Surface deposition rates of ozone onto Pinus ponderosa needle and bark surfaces were measured
in a laboratory chamber under varied conditions of relative humidity, temperature, and ozone
concentration. Statistically significant correlations could not be established between surface
deposition rate and ozone concentration, surface deposition rate and temperature, and surface
deposition rate and relative humidity. The measured rates, when compared to the amount of area
these surfaces represent, indicate surface deposition does not play a significant role in removing
ozone from the ecosystem.</t>
  </si>
  <si>
    <t>Henkle-page1.pdf</t>
  </si>
  <si>
    <t>Marissa Hirst</t>
  </si>
  <si>
    <t>Analysis of Marine Sediments Collected in Cook’s Bay, Mo’orea, French Polynesia</t>
  </si>
  <si>
    <t>Sediments can act as a major pollutant reservoir for heavy metals that will often
bioaccumulate through the food chain. To determine background concentrations of heavy metals
in marine sediments, as well as sediment size distribution and percent organic content, samples
were collected from Cook’s Bay, Mo’orea, French Polynesia. Sediment traps were placed in the
east side of Cook’s Bay and collected weekly. Samples were then decanted, filtered, and dried.
They were analyzed for heavy metal content using Inductively Coupled Plasma Emission
Spectrometry (ICP). Sediment size distribution was determined using Stoke’s Law, and percent
carbon was measured using a muffle furnace. Enrichment factors were determined for elements
with high average concentrations to determine excess input of these elements into Cook’s Bay.
Aluminum, iron, magnesium, nickel, and silicon negatively correlated with distance from the
freshwater inlet as originally hypothesized. Sediment size and percent carbon did not correlate
with distance from the freshwater inlet as hypothesized. According to enrichment factors,
aluminum, iron, manganese, and silicon are lithogenous in origin while it is unclear whether
nickel and sulfur are anthropogenic in origin. Overall heavy metal and elemental contamination
is low in Cook’s Bay, but it should be monitored in the future with the advent of increasing
agriculture and housing development.</t>
  </si>
  <si>
    <t>Hirst-page1.pdf</t>
  </si>
  <si>
    <t>Nazneen Hoque</t>
  </si>
  <si>
    <t>Wetland Vegetation Effectiveness in Stormwater Treatment</t>
  </si>
  <si>
    <t>The use of natural or constructed wetlands for controlling stormwater contaminants is
a relatively new and increasingly popular method for stormwater treatment. Because of this,
there have been increased demands for improvements of the design parameters in constructed
wetlands. One such design parameter for a constructed wetland treatment system deals with the
species of wetland plants. The information presented in this research report measures the relative
removal rates of stormwater pollutants by specific wetland plant species. Stands of Typha spp.,
Phragmites spp., and Scirpus spp. were tested against a control treatment (no vegetation). Each
treatment was continually fed with synthetic stormwater containing total phosphorus (TP),
copper (Cu), chemical oxygen demand (COD), and total organic carbon (TOC) for two detention
times (7 and 14 days) under low and high pollutant concentrations. Unexpectedly, analysis of the
water quality indicated export, or elevated levels, of TP in most of the vegetated treatments. The
unvegetated treatment indicated consistent removal averaging 53% for all detention times.
Eventually, the export of TP gradually decreased with time for the vegetated treatments.
Towards the end of the observed interval, most treatments showed a positive removal of TP.
Furthermore, among the vegetated treatments, Typha spp. demonstrated the highest removal rates
in copper while Phragmites spp. demonstrated the highest removal rates for chemical oxygen
demand and total organic carbon. Scirpus spp. showed the greatest variability and least effect on
pollutant reduction for all pollutants compared to other species tested. Overall the unvegetated
control treatment yielded the highest removal for all contaminants.</t>
  </si>
  <si>
    <t>Hoque-page1.pdf</t>
  </si>
  <si>
    <t>Rick Huang</t>
  </si>
  <si>
    <t>Effect of Salt on Bacterial Denitrification of Agricultural Drainage Water</t>
  </si>
  <si>
    <t>The Algal-Bacterial Selenium Removal (ABSR) system has demonstrated an ability to
efficiently remove nitrogen from agricultural drainage water in the San Joaquin Valley.
However, it is not known whether the ABSR system can effectively reduce nitrate and nitrite
concentrations in drainage water with high levels of salinity. In order to determine whether the
ABSR system can be used to treat salty drainage water in the future, the effectiveness of nitrogen
removal from drainage water with high salt concentrations must be examined. Two laboratory
experiments were conducted to study the effect of salt on bacterial denitrification of drainage
water. The first experiment involved evaporating and diluting typical drainage water into bottles
with different salt concentrations and equal amounts of molasses and bacteria. Dissolved
oxygen, pH, and turbidity were monitored and the bottles were periodically tested for nitrate and
nitrite concentrations. Similar procedures were used for the second experiment, but four different
salt concentrations were achieved through the addition of salt. Denitrification was slower at
higher salt concentrations for the first experiment, however, nitrogen removal may have been
affected by higher nitrate concentrations at higher salinity. The results from the second
experiment showed that bacterial denitrification occurred at the same rate for all four different
salinities, and that salt had no significant effect on nitrogen removal. The results from this study
suggest that salt does not hinder bacterial denitrification of drainage water, and that the ABSR
system can be used to remove nitrogen from agricultural drainage water with salt concentrations
of up to 22 g/L. Future research can help determine how other factors may affect bacterial
denitrification of agricultural drainage water.</t>
  </si>
  <si>
    <t>Rosalind Jackson</t>
  </si>
  <si>
    <t>Source Use in Environmental Coverage of San Francisco Bay Area Newspapers</t>
  </si>
  <si>
    <t>The mass media provide the general population with a condensed and interpreted
depiction of their surrounding world. The influential role of the media is especially relevant in
the case of environmental news coverage, a field with which the general public has little direct
exposure. The individuals and groups that provide information used in the construction of that
coverage have the ability to determine the filter through which the environmental issue is
presented. The current trends toward corporatization and deregulation of the media industry have
potential ramifications on the biases in source use for environmental news coverage. I used
content analysis methodology to code and quantify environmental newspaper coverage from the
San Francisco Bay Area. The results indicate that certain sources, specifically governmental and
business interests, are cited most often in environmental news articles. Furthermore corporate
source has significantly increased from 1981 to 2001, a trend that appears to be a result of a
marked increase in the frequency of regional corporate source citation.</t>
  </si>
  <si>
    <t>Jackson-page1.pdf</t>
  </si>
  <si>
    <t>Julie Keller</t>
  </si>
  <si>
    <t>Effect of Sodium Pyruvate Supplement on Concentrations of Seawater-Injured Escherichia coli Using the Aerobic Plate Count Method</t>
  </si>
  <si>
    <t>The U.S. Environmental Protection Agency specifies that one of the elements of a
state water monitoring and assessment program is the development of a monitoring design that
will efficiently and effectively generate data to serve management needs. Part of this directive is
to ensure regular monitoring of recreational waters so that they may remain free from sewage
contamination. The fecal coliform, Escherichia coli, is commonly used as an indicator of fecal
contamination in fresh and marine waters. Yet upon exposure to stresses such as high salinity, E.
coli enters a “viable but non-culturable” state, in which the coliform is able to infect animal hosts
but cannot be detected by standard methods. The addition of sodium pyruvate to solid medium
has been found to increase recovery of E. coli stressed by artificial seawater. This study
investigates whether the addition of sodium pyruvate to the E. coli-specific solid medium,
MacConkey agar, will significantly increase recovery of E. coli that have been stressed by
sterilized natural seawater. A longitudinal study was performed and testing conducted after each
24 hour period of seawater exposure. The Aerobic Plate Count method was used to determine
numbers of E. coli colony forming units per milliliter on the solid MacConkey agar plates. Using
the paired t-test, results showed a significant increase in E. coli colony forming units per
milliliter of seawater-stressed E. coli on MacConkey agar supplemented with sodium pyruvate,
compared to unsupplemented MacConkey agar. The results of this study are helpful in
recognizing the link between the effectiveness of a water quality method and ensuring adequate
detection of fecal coliforms in preventing possible illness.</t>
  </si>
  <si>
    <t>Keller-page1.pdf</t>
  </si>
  <si>
    <t>Alyssa Koomas</t>
  </si>
  <si>
    <t>Seed Scarification Techniques in Silver Leaf Lupine</t>
  </si>
  <si>
    <t>A major problem affecting the populations of the endangered mission blue butterfly of
the northern coast of California is the declining numbers of its host plant, the silver leaf lupine
(Lupinus albifrons), due to competition with non-native species. An attempt to ensure the
restoration of populations of L. albifrons through germination in greenhouses and subsequent
transplantation was initiated in 1984 and has continued to date within the Golden Gate National
Recreation Area (GGNRA). This work analyzes the germination rates, necessary expertise, and
time efficiency of three different scarification techniques applied to rupture the seed coat and
induce germination, in a greenhouse setting. The three scarification techniques applied were: 1)
manual nicking with a razor blade near the attachment point, 2) an acid bath in concentrated
sulfuric acid for 30 minutes, and 3) scarification by agitation between two pieces of sandpaper
for 5 minutes. Sample sizes of 98 seeds were studied at three different greenhouses in GGNRA,
California. The experiment was controlled for soil composition and sowing procedure. The data
provided no conclusive evidence for determining the most successful treatment for increasing L.
albifrons germination rates. There was no significant difference between the germination rates
of the three scarification treatments including the control but there was a strong difference in the
rates of imbibition. The success of the control provides an impetus for further studies regarding
the need for scarification on lupine seeds. Among the three scarification treatments, manual
nicking had the highest imbibition rate, had the lowest cost and was the most time efficient. The
significance of these results will aid in the restoration of L. albifrons to its native habitat and
encourage increased populations of the mission blue butterfly.</t>
  </si>
  <si>
    <t>Koomas-page1.pdf</t>
  </si>
  <si>
    <t>Janice Lee</t>
  </si>
  <si>
    <t>Characterization of Heavy Metal Tolerance and Accumulation in Indian Mustard Overexpressing Bacterial γ-ECS Gene</t>
  </si>
  <si>
    <t>The tolerance and accumulation of multiple metals by Indian mustard (Brassica
juncea) plants overexpressing the γ-glutamylcystein synthetase (γ-ECS) gene was examined in
order to study heavy metal tolerance in plants. Seedling growth was tested on four different
metals, including Mn, Mo, Pb, and Ni. The ECS seedlings had significantly longer root lengths
and higher tolerance than wildtypes for all metals tested. However, it was likely that the ECS
plants did not hyperaccmulate metals as expected since the fresh weights of the transgenic plants
did not differ much from the wildtypes. Nevertheless, the increased root length tolerance in
transgenic plants still offers a promising strategy for the production of plants with superior heavy
metal phytoremediation capacity.</t>
  </si>
  <si>
    <t>Denise Leong</t>
  </si>
  <si>
    <t>Assessing a Caltrans Reclaimed Wetland with Geographical Information Systems</t>
  </si>
  <si>
    <t>Wetland ecosystems are highly productive and vital to the environment due to the
diversity of biological, physical and chemical attributes within each system. Unfortunately, loss
of wetlands has been extensive since industrialized development began. In response to this, the
government has instituted “No Net Loss” legislation to prevent further damage and restore
previously damaged environments. The California State Department of Transportation
(Caltrans) along with many other organizations have incorporated wetland creation, restoration
and mitigation plans into their agenda. However, created wetlands have been criticized for being
inadequate and ineffective in replacing the functionality of natural wetlands (Revkin, 2001).
Despite the legal mandates designed to restore wetlands, the effectiveness of the legislation
efforts has been difficult to gauge. More effective approaches to wetland management have
been suggested and explored. (La Peyre et.al. 2001). One approach is the integration of
Geographical Information Systems (GIS) with conventional wetland management methods to
improve the speed of assessment (Wolfson et al., 2002). This case study of Caltrans’ reclaimed
wetland, Guadalcanal Village will have two main goals, to evaluate Caltrans’ current vegetation
assessment practice and to utilize and gauge aerial photography as an alternative method in
vegetation assessment. The current state of the wetland’s vegetation will also be appraised to
determine if it meets the success criteria set by Caltrans. This study will examine the existing
vegetation data available from Caltrans as well as the aerial photography and Arc View GIS and
compare each source to the success criteria set by the mitigation plan. It is hypothesized that the
current vegetation will not meet the success criteria and that utilizing aerial photography and GIS
analysis to assess the wetland vegetative health is viable and will yield reliable data. While
results suggest that according to Caltrans’ method of vegetation assessment, the wetland site is
meeting the success criteria, aerial photography data contradicts these results and shows that the
wetland site does not meet the success criteria.</t>
  </si>
  <si>
    <t>Leong-page1.pdf</t>
  </si>
  <si>
    <t>Paul Levers</t>
  </si>
  <si>
    <t>Knowledge Of Factual Aspects Of Arctic National Wildlife Refuge As Pertaining To Political Stance Among College Students.</t>
  </si>
  <si>
    <t>The proposed drilling in the Arctic National Wildlife Refuge (ANWR) is an
important environmental issue which provokes strong feelings both for and against.
However the reasons behind these opinions are not always clear. My project sets forth to
ascertain whether there is a relationship between college students’ stance on drilling in
ANWR and their knowledge of the facts regarding the oil that will be pumped out, using
the U.S. Geological Survey’s data as a baseline. By using a survey around campus, I will
obtain a sample of the college populations opinion on ANWR drilling and test both the
accuracy of their knowledge and their tendency to over or underestimate the benefits or
drilling. If my hypothesis is correct, those students who support drilling will significantly
overestimate the economic benefits from drilling compared to those who do not support
drilling. If this is proven correct, it has implications for campus educational programs
regarding this issue, as well as for groups attempting to sway people to their side. For if
many people support drilling based on inaccurate information, particularly if they
overestimate, correcting their misconceptions could be a powerful tool in order to shift
opinions.</t>
  </si>
  <si>
    <t>Levers-page1.pdf</t>
  </si>
  <si>
    <t>Brie Lindsey</t>
  </si>
  <si>
    <t>Distribution of Invertebrates Affects Territory Structure of Song Sparrows (Melospiza melodia samuelis) in China Camp State Park, Marin County, California</t>
  </si>
  <si>
    <t>Previous studies on marsh bird territory placement have assumed a mainly
resource-based bird foraging behavior centered in defended areas along channels, with
little foraging focused on food resources of the undefended high marsh plains. The
theory is based on the extremely high productivity of Spartina foliosa, the native cord
grass that dominates tidal marsh channels in the San Francisco Bay Area. Recent
observations of a San Pablo Bay song sparrow subspecies, Melospiza melodia samuelis,
in a California tidal salt marsh have shown foraging behaviors contradictory to those
expected; birds are foraging outside of their defended territories in an area considered to
be fairly unproductive. This study examines the distribution of invertebrates in the same
marsh in an attempt to explain observed Melospiza foraging behaviors. Invertebrate
order richness, order diversity, and community biomass composition were examined
across three microhabitats: channel, high marsh plain, and Grindelia strips which line the
channels. Over a period of four months, invertebrates were sampled by several methods
including snail quadrats, pit trapping, and sweep netting, in order to obtain a
representative sample of the population. Results showed a trend toward higher
abundance of high-biomass species, especially Traskorchestia traskiana, in the high
marsh plain, while a trend toward high abundance of low-biomass species, especially
Prokelisia marginata and Diptera: Dolichopodidae, is seen in the channels. These
patterns suggest Melospiza’s foraging behavior is resource-based, as was previously
thought, but that the high marsh plain is more rich in song sparrow prey items than
slough channels, contrary to current belief. The data further suggest that food resources
in the high marsh plain do not require defense against competitors because they are so
abundant.</t>
  </si>
  <si>
    <t>Lindsey-page1.pdf</t>
  </si>
  <si>
    <t>Laura Martin</t>
  </si>
  <si>
    <t>Patterns of Bottled Water Consumption: a Review and Analysis</t>
  </si>
  <si>
    <t>The bottled water industry has experienced dramatic growth over the past decade.
Currently, bottled water is the second most popular beverage behind soft drinks. In California,
water quality standards for bottled water and tap water are comparable. Yet, the majority (70%)
of Californians drink bottled water at least monthly, and one-third of Californians use bottled
water as a primary source of drinking water. This study examines perceptions and knowledge of
drinking water among a sub-population of Californians: undergraduate students at the University
of California, Berkeley. The percentage of students that drink bottled water, knowledge of water
quality, source of student’s knowledge, and reasons for drinking bottled water were assessed. A
self-administered survey of 300 UC Berkeley undergraduate students was employed to acquire
this information. This survey concluded that most (89%) students surveyed drink bottled water
at least monthly. Respondents were given knowledge scores based on six questions concerning
safety, composition, and source of tap and bottled water. Advertising is the most common
source of bottled and tap water knowledge. Source of knowledge is independent of both gender
and major. No significant relationships were found between gender and source of knowledge or
major and source of knowledge. Significant relationships were found between knowledge score
and frequency of bottled water consumption and between knowledge score and source of
knowledge. Students that never drink bottled water have the highest knowledge scores.
Scientific literature is the least biased source of bottled and tap water knowledge. Among those
surveyed, convenience is the most common reason for bottled water consumption and high price
is the most common reason for non-consumption.</t>
  </si>
  <si>
    <t>Martin-page1.pdf</t>
  </si>
  <si>
    <t>Junn Masongsong</t>
  </si>
  <si>
    <t>Understanding Environmental Risk Awareness Levels in West Oakland</t>
  </si>
  <si>
    <t>Low income communities and communities of color carry a disproportionate amount
of environmental risk. In this study, environmental risk is defined as the “likelihood, or
probability, of injury, disease, or death resulting from exposure to a potential environmental
hazard” (European Environmental Agency 2000). There is a void, however in the understanding
of the level of awareness of environmental risks in these communities. West Oakland, California
is a community that is both characterized by low incomes and people of color. This community
also is exposed to a disproportionate amount of environmental risks. The Port of Oakland,
located in West Oakland, is a source of some of these environmental risks. Maritime
development projects are responsible for an increase in traffic on the roads, noise in the
community, and air pollution from increases in diesel truck use. This study analyzes the level of
awareness of West Oakland residents to these environmental risks. An investigation of data
gathered through a telephone survey of West Oakland residents tested for associations between
age, ethnic/cultural backgrounds, income, and information sources, with awareness levels of
environmental risk. As a result, it was discovered that age and income did factor into
determining a resident’s level of awareness while their ethnic/cultural background and
information source did not.</t>
  </si>
  <si>
    <t>Masongsong-page1.pdf</t>
  </si>
  <si>
    <t>Karyn Massey</t>
  </si>
  <si>
    <t>Habitat and Macroinvertebrate Assessment in San Pablo Creek</t>
  </si>
  <si>
    <t>San Pablo Creek is an urban creek that flows through El Sobrante, San Pablo and
Richmond, California. San Pablo Creek has three primary land uses in its watershed: an
uninhabited park area, a residential area, and an industrial sector. In this study, the overall health
of each zone was evaluated using habitat quality and macroinvertebrate abundance. Four sites
were selected within each of the three land use zones. At each site a habitat assessment was
performed using EPA guidelines for habitat characteristics such as riparian abundance and creek-
bed substrate. Macroinvertebrates were collected using a D-net, then counted and identified to
the family level. An index of water quality was constructed using the EPA’s Macroinvertebrate
Survey and Water Quality Rating, where the water quality is rated by comparing the results of
the macroinvertebrate collection to a given range of overall scores. The park area had higher
scores than the residential and industrial areas, in both habitat assessment and macroinvertebrate
index. However, one-way ANOVA testing showed no significant differences in the mean scores
between the three regions.</t>
  </si>
  <si>
    <t>Massey-page1.pdf</t>
  </si>
  <si>
    <t>Stephanie Melton</t>
  </si>
  <si>
    <t>The Effects of Creek Restoration on Creek Health</t>
  </si>
  <si>
    <t>Creeks become degraded when they are used or when development occurs close by.
As degradation to creeks has become widely acknowledged creek restoration projects have
increased. Creek restoration is used to restore degraded creeks to a more natural state. The
effects of restoration on creek health are unknown. In order to study the effects of restoration,
creek health monitoring is used. One such monitoring method is the evaluation of
macroinvertebrate populations. Macroinvertebrates are good indicators of creek health because
the response rate to disturbance varies amongst the species. Macroinvertebrates are also a cheap
and easy way to measure stream health and it is the method that is mandated by the
Environmental Protection Agency. In this study, the number of individuals, the species richness,
and the diversity of macroinvertebrate species was studied in Cordonices Creek in Albany,
California and in Cerrito Creek in El Cerrito, California. A comparison was made between these
three parameters in restored and unrestored stretches of both creeks. These comparisons were
made for all macroinvertebrates and for the families of Ephemeroptera, Plecoptera, and
Tricoptera (EPT). The results of this study indicated that there was no significant difference
found in the number of individuals, species richness, and species diversity for all
macroinvertebrates and EPT in both Cordonices Creek and Cerrito Creek. There was an
interesting pattern in the data that illustrates that the unrestored stretch of Cordonices Creek had
higher values for number of individuals and species richness, but the restored stretch had a
higher diversity. This pattern held true for all macroinvertebrates and EPT. On the other hand,
the restored stretch in Cerrito Creek had higher values for total number of individuals and
species richness; the diversity was higher in the unrestored stretch for all macroinvertebrates and
higher in the restored stretch for EPT. The lack of significance and the pattern established could
be due to the difference in time since restoration, the type of restoration, and the length of the
stretches.</t>
  </si>
  <si>
    <t>Melton-page1.pdf</t>
  </si>
  <si>
    <t>Amy Nelson</t>
  </si>
  <si>
    <t>Smart Growth Planning Policy and Farmland Preservation in California’s Central Valley</t>
  </si>
  <si>
    <t>The Central Valley of California has long played an integral role in food production
for the entire country. Reliance on this region has not decreased despite the area’s rapidly
growing population and resultant urbanization. Conservation of this important farmland is
essential for the production of crops as well as for environmental and aesthetic reasons. One
approach to farmland preservation is through the use of planning policies, specifically those that
can be defined as ‘smart growth’ policies. Smart growth as a planning theory has gained
popularity during the last ten years. It strives to create sustainable growth, meeting the needs of
today without infringing upon the rights of the future. This study looks at land-use policies
within the 18 counties of the Central Valley and their effect on farmland preservation. Surveys of
planning department staff are used in conjunction with analyses of the land use portion of the
counties’ general plans to establish a ‘smart growth score’ for each county. This score is then
used against US Census and US Department of Agriculture information on population and land
use to analyze effect. The data collected suggests that there is no significant relationship between
smart growth score and the number of farmland acres lost and a slight correlation between smart
growth score and developed acres gained. Through a close comparison of San Joaquin and
Merced counties, the suggestion is made that successful preservation policies should involve a
focus on the economic factors driving the conversion of agricultural land. The effectiveness of
urban growth boundaries is also discussed.</t>
  </si>
  <si>
    <t>Nelson-page1.pdf</t>
  </si>
  <si>
    <t>Jada Nys</t>
  </si>
  <si>
    <t>Demographics of Conservation Majors at UC Berkeley</t>
  </si>
  <si>
    <t>In the United States, ethnic minorities are often more heavily affected by
environmental degradation than non-minority ethnic groups, so it would be desirable that ethnic
minorities were also more heavily represented in academic majors that address the environment
and conservation. In this study, I investigate the demographics of conservation majors in relation
to other majors at UC Berkeley, as well as investigating the demographics of what motivates
students to choose their majors. I surveyed seniors at UC Berkeley in the spring of 2003. The
results of this study found that men and lower income students are underrepresented in
conservation majors, that conservation majors are more likely to choose a major for ethical
reasons, and that non-conservation majors are more likely to choose a major for economic
reasons. Although no significant results were found for minorities, this study indicates a need for
further investigation of minorities in conservation and environmentally related fields.</t>
  </si>
  <si>
    <t>Nys-page1.pdf</t>
  </si>
  <si>
    <t>Aariel Rowan</t>
  </si>
  <si>
    <t>Barriers to Recycling in Castro Valley Public Schools</t>
  </si>
  <si>
    <t>In the spring of 2003, the Castro Valley Unified School District will implement a
district-wide waste diversion policy that will override the current recycling practices at each
school. The goals of this study are to measure the level of current recycling, the barriers to
further recycling, and to identify possible ways to overcome the barriers at each school in the
district. Data was collected through personal interviews with the recycling contact at each
school. Thirteen schools were sampled: nine elementary schools, two middle schools and two
high schools. The number of items recycled and the reported barriers varied among schools.
Possible reasons for this include the differences in personnel motivation and the amount of effort
each school has put into their recycling coordination. There are some interesting discrepancies
between what schools reported during my surveys and what the district office reported to the
California Integrated Waste Management Authority in their 2002 survey on waste diversion. As
well, the school district reported different barriers to recycling than were reported by the
individual schools. The difference in perceived barriers may simply be a product of different
perspectives.</t>
  </si>
  <si>
    <t>Rowan-page1.pdf</t>
  </si>
  <si>
    <t>Sarah Sanchez</t>
  </si>
  <si>
    <t>Warning Siren Responsiveness: Richmond, CA</t>
  </si>
  <si>
    <t>The Community Warning System (CWS) in Contra Costa County, CA is designed to
assist communication between chemical plants, emergency response agencies, the public and the
media. The purpose of CWS is to alert local citizens of hazards from accidents at nearby
chemical plants. If the community is not fully educated about how to respond to CWS, the
safety of citizens in the event of an accident will be compromised. My research question
addresses whether there are differences in awareness of the CWS that correlate with people’s
income, education, ethnic background, and home ownership status. In February 2003 2,000
citizens of Richmond, CA were surveyed through the mail, with 281 being returned. Through
this research it has been found that there is a relationship between level of knowledge concerning
the warning sirens and whether a person rents or owns their home, with owners scoring higher on
the knowledge test on average. Unexpectedly, it was also found that people with lower formal
education had greater knowledge concerning sirens then those with high levels of education. Not
surprisingly, most respondents’ self-assessed level of knowledge was closely linked to their
tested knowledge level. All of these findings have implications in the future planning for
educating the public about the siren system in an effort towards better protection from dangerous
chemicals.</t>
  </si>
  <si>
    <t>Sanchez-page1.pdf</t>
  </si>
  <si>
    <t>Diana Schwyzer</t>
  </si>
  <si>
    <t>Pesticide Use in Alameda County Private Schools</t>
  </si>
  <si>
    <t>Pesticides are hazardous to everyone’s health, but particularly to the health of
children. Therefore, pesticide use in schools is a major concern. California’s Healthy Schools
Act of 2000 regulates aspects of public school pesticide use, but pesticide use in California’s
private schools is entirely unregulated. The purpose of this study was to gather information on
how private schools currently control their pests, as the first step toward determining whether
regulation of private school pesticide use is necessary. All 224 private schools in Alameda
County, California, were surveyed by mail with regard to their pest control policies, in particular
their use of integrated pest management and the extent to which they are in compliance with the
Healthy Schools Act, even though the Act does not apply to them. Forty schools returned the
survey. Neither school size nor budget was found to have a significant effect on integrated pest
management use or Healthy Schools Act compliance. Results indicate that a relatively large
proportion of private schools use no pesticides at all, even when compared with public schools
after the Healthy Schools Act was implemented. Among private schools, small schools were
found to be less likely to use pesticides than large schools. There is much that private schools
could do to reduce the risk of harm to children, including increasing the use of integrated pest
management strategies and, if pesticides are used at the school, notifying students’ parents of this
use.</t>
  </si>
  <si>
    <t>Schwyzer-page1.pdf</t>
  </si>
  <si>
    <t>Cody Skaggs</t>
  </si>
  <si>
    <t>The Effects of Cigarette Smoke on Airway Epithelium</t>
  </si>
  <si>
    <t>Interactions between macrophages and epithelial cells in the lung may promote a
damaging inflammatory response to cigarette smoke toxins. A better understanding of the
mechanisms involved in this response may prove useful in the development of treatments or
preventative strategies for respiratory diseases associated with exposure to cigarette smoke. To
examine this possibility, human epithelial cells (Calu-3), macrophages (RAW 264.7), and co-
cultures of both cell types were incubated with cigarette smoke extract (CSE) for either 15 hours
or 24 hours. Transepithelial Electrical Resistance (TER) was used to measure damage of the
epithelium and the decrease in barrier function. TER was measured before the addition of CSE
and macrophages, then again 24 hours afterwards. Results have shown that there is no
significant difference in epithelial integrity and barrier function between epithelial cells that have
been exposed to both CSE and macrophages compared to those that have been exposed to CSE
alone. Results were expected to show that CSE would compromise the integrity of the airway
epithelial barrier more significantly when macrophages were present than when CSE alone was
present, because related studies had seen similar results. The only conclusion that can be made
from results obtained in this study is that macrophages themselves do not have a significant
impact on the damaging effects of cigarette smoke. However, the application of CSE and
epithelial cell co-culture with macrophages may prove to be a useful model of in vitro cigarette
smoke effects</t>
  </si>
  <si>
    <t>Skaggs-page1.pdf</t>
  </si>
  <si>
    <t>Jerry Su</t>
  </si>
  <si>
    <t>Analysis of Foraging Behavior in Water Striders</t>
  </si>
  <si>
    <t>The foraging behaviors expressed by an individual may depend upon the state of that
individual and local environmental condition. Understanding how abiotic conditions affect
feeding behaviors may elucidate how animals choose where to forage and how much energy to
expend on feeding. Water striders, Gerris remigis, are abundant insects that inhabit slow moving
waters. I conducted two types of experiments on the water striders to (1) determine the effect of
stream velocity on the preference of foraging habitat and (2) to examine whether the preference
for location is controlled by current velocity or food availability. In the first set of experiments,
the stream velocities were manipulated so that one side of the creek was faster than the other. I
predicted that the water striders would tend to congregate in the swifter moving current because
either instinctual behavior associated faster water current with a greater probability of obtaining
food, or the side with greater flow carries more food items. This idea coincides with the rule of
thumb decision making process. Results showed that there are consistently more water striders
in the faster current. In the second set of experiments, I attempted to disentangle the effects of
food and current. I predicted that the water striders would move over to the slower current when
food availability increased to decrease the energy spent battling the current. Results show that
there was movement towards the slower current with the food, but it was not statistically
significant. These results allowed me to suggest an optimal foraging theory for the water strider.</t>
  </si>
  <si>
    <t>Su-page1.pdf</t>
  </si>
  <si>
    <t>Matthew Takata</t>
  </si>
  <si>
    <t>The Effects of Increased Salinity on the Algal-Bacterial Reduction of Selenium from Excess Wastewater in the Panoche Drainage District of the San Joaquin Valley</t>
  </si>
  <si>
    <t>Selenium (Se) is a semi-metallic element that has been proven to be toxic when
present in aquatic environments. The two forms of concern are selenate (SeO4
2-) and selenite
(SeO3
2-). In 1986, selenium-related birth defects were observed in wild fowl living along the
outreaches of Kesterson Reservoir in California’s San Joaquin Valley. This lead to the
development of a pilot study known as the Algal-Bacterial Selenium Removal System. Under
this system contaminated agricultural drainage water is treated in a series of reduction ponds
with a combination of algae and bacteria to reduce the water’s selenium content. The incoming
waters mineral content can be affected by changing weather conditions and increased erosion
rates. This study, therefore, looks at the effectiveness of the ABSR system under varying
concentrations of salinity. Four different salinity concentrations were prepared from a collected
water sample, using standard procedures prepared by Lawrence Berkeley National Laboratories.
The concentrations consisted of an influent standard (4765mg NaCl/540ml H2O), 1.5X (2255mg
NaCl/540ml H2O standard), 2.0X (4955mg NaCl/540ml H2O standard) and 2.5X(7115mg
NaCl/540ml H2O standard). 1g/L of bacteria was then added to each sample followed by 21.6g
molasses/100ml H2O and 1ml of trace elements (see Center for Biotechnology Media Manual) to
serve as nutrients for the bacteria. These samples were analyzed in a controlled environment in
3-4 day increments, using hydride generation atomic absorption spectrometry (HGASS) to
determine parts per billion of selenate and selenite per ml of water present. It was found that the
reduction potential of the algae and bacteria to reduce selenium remained the same regardless of
the salinity concentration of the tested samples. This suggests that at low saline concentrations
the bacteria are uninhibited by the changes to their environment and continue to remove
selenium successfully, having no overall effect on the ABSR system.</t>
  </si>
  <si>
    <t>Takata-page1.pdf</t>
  </si>
  <si>
    <t>Hillary Thomas</t>
  </si>
  <si>
    <t>Population Structure of Tetragnatha versicolor (Araneae: Tetragnathidae) in Northern California</t>
  </si>
  <si>
    <t>The genus Tetragnatha is an abundant group of orb-weaving spiders, often found to
have riparian associations. Tetragnatha versicolor is a member of this genus that is widespread
and found in a diversity of habitats in North America, including California. I examined
mitochondrial sequence data (Cytochrome oxidase I) from 21 individuals from eight different
localities to assess population structure for T. versicolor. A grouped AMOVA showed that
variation between populations (45% of the total variation) was likely due to larger regional
difference. An estimation of migration from FST suggested that approximately 1 individual
moves among populations every second generation. A surprising amount of genetic variation
was present in this species, and significant genetic differences were found among populations.
However, divergent haplotypes of T. versicolor were more closely related to each other than to
other species within the genus, which is consistent with the status of T. versicolor as a species.</t>
  </si>
  <si>
    <t>Thomas-page1.pdf</t>
  </si>
  <si>
    <t>Wing Tai (Kyle) Tse</t>
  </si>
  <si>
    <t>Proposal to Calculate Soil Loss in Claremont Canyon, East Bay Hills, Berkeley</t>
  </si>
  <si>
    <t>Soil erosion and its effects negatively impact millions of lives and is responsible for
widespread property damage in regions around the entire world. It will become an increasingly
critical problem if steps are not taken to regulate its effects. On a smaller scale, it is important to
pinpoint estimated locations where soil erosion occurs in order to prevent substantial soil loss.
This project estimates the soil loss of Claremont Canyon, part of the greater East Bay Hills.
There are three major landowners in Claremont Canyon; they consist of the University of
California, Berkeley, the East Bay Regional Park District, and the City of Oakland. In the past,
there have been fourteen major wildfires in the East Bay areas and assessment plans have been
taken to reduce the fire risk. These studies on the negative effects of soil loss from wildfire have
not yet been extended to the Claremont Canyon regions. This study will be conducted utilizing
the Revised Universal Soil Loss Erosion Equation (RUSLE) to calculate the amount of annual
soil loss. The strength of this model permits an all-inclusive analysis by breaking down soil
erosion into elements based on vegetation, soil types, rainfall, topography, and urban land
practice data. Results predicted long-term deterioration and provide a more accurate assessment
for future developmental decision making on land use.</t>
  </si>
  <si>
    <t>Tse-page1.pdf</t>
  </si>
  <si>
    <t>Robert Wellbrock</t>
  </si>
  <si>
    <t>Induced Defense and Varied Gall Density of Rhopalomyia californica on Baccharis pilularis</t>
  </si>
  <si>
    <t>Induced defense can be described as a physical or chemical change to a plant in
response to some form of herbivory, preventing further attack. In general, the herbivore is seen
as an attacker to the plant and in this study the herbivore utilizes the meristems of the plant to
reproduce. The herbivore in question is the gall-forming midge, Rhopalomyia californica, which
lays its eggs on the meristems of Baccharis pilularis, a coastal shrub. The goal of this project
was to account for variation in current herbivory rates based upon previous levels of attack on B.
pilularis. Field tests were preformed in Berkeley, California, in a plot at the University of
California Botanical gardens. In these tests, R. californica females were allowed to lay their
eggs on B. pilularis plants with four different previous attack rates (Four groups: 0 galls, 1 gall, 2
galls, 3 galls). Egg counts and numbers of galls formed were compared between the different
groups. It was expected that a similar amount of eggs will be laid on each plant, but fewer galls
will form on plants which have previously experienced a higher rate of attack. No significant
difference was found in the number of eggs released between the groups. There was also no
significant difference found in the number of galls formed.</t>
  </si>
  <si>
    <t>Wellbrock-page1.pdf</t>
  </si>
  <si>
    <t>Karl Ziehn</t>
  </si>
  <si>
    <t>Seasonal Abalone Fishing Pressure Trends in Gerstle Cove, Salt Point State Park, CA.</t>
  </si>
  <si>
    <t>Haliotis rufescens, the red abalone, is now the only legally fished abalone
species found in U.S. waters. H. rufescens occurs from mid-Oregon to Baja California,
but is available only to sport fishermen north of San Francisco Bay. Once an extremely
prevalent species, it has become the focus of new California Fish and Game regulations
due to the recent collapse of the southern California fishery. This study investigates
seasonal fishing trends among abalone divers at N. California’s most popular and
accessible location, Gerstle Cove Campground, located 20 miles north of Jenner,
California. “Creel” or catch surveys were conducted among abalone divers returning
from the water to the main parking lot during the 3-4 hours surrounding the low tide, two
weekends per month. The surveys span the entire season, from April 1-November 30,
excluding the months of July and August. As the season progresses fishing pressure is
expected to steadily decline. This decline was thought to be mirrored by a decline in
productivity as well. There is no such correlation in evidence for the site as a whole.
Two dive locations did show a correlation in productivity declines for shore divers and
shore pickers. These findings suggests that population densities are able to sustain
fishing pressure well in many locations but that in the most used areas communities are
being thinned enough to show significant productivity decline.</t>
  </si>
  <si>
    <t>Ziehn-page1.pdf</t>
  </si>
  <si>
    <t>Geoffrey C. Burch</t>
  </si>
  <si>
    <t>Juvenile Dispersal in Peromyscus Boylii</t>
  </si>
  <si>
    <t>Using trapping data from two breeding seasons, I examined dispersal in juvenile Peromyscus boylii (P. boylii) at Hastings Natural History Reservation (HNHR) in Monterey, California. Female and male juveniles were analyzed separately to test for differences in dispersal between sexes. Dispersal distance was determined by the distance from where the animal was first trapped (presumed place of emergence from nest) to where the animal was first trapped in a reproductive state. These distances were compared to the diameter of an average adult home range calculated by 95% kernel estimates of home range size. Dispersers were juveniles that traveled greater than the diameter of an average adult home range. Of 50 juvenile females that were examined, six (12.0%) were found to be dispersers. Of 35 juvenile males, three (8.57%) were dispersers. There are three possible explanations for these results: 1. dispersal is not important to P. boylii, 2. dispersal is important, but not when resources are abundant, or 3. that dispersal is important, but it occurred outside the time period of the data collection.</t>
  </si>
  <si>
    <t>Burch-page1.pdf</t>
  </si>
  <si>
    <t>Christopher Butler</t>
  </si>
  <si>
    <t>Intermunicipal Flood Control in the San Francisquito Watershed: Why Portola Valley Hasn’t Joined</t>
  </si>
  <si>
    <t>The San Francisquito Creek Joint Powers Authority (JPA) is a partnership between municipalities, county agencies, and non-governmental organizations attempting to jointly develop and implement a long term flood plan for the San Francisquito Watershed. This study addresses the feasibility of incorporating Portola Valley, a town located in the upper reaches of the watershed, into the JPA’s membership. Making use of a survey of Portola Valley residents, I attempt to determine (1) the town’s attitude towards participation in a watershed management regime and (2) the presence or absence of several commonly identified barriers to incorporating specific stakeholder groups into a public partnership. I also aim to uncover (3) any relationships between these two previous factors. Lastly, the study investigates (4) the relationship between citizens’ economic stake in the creek and factors 1 and 2. Results suggest that most citizens are favorable towards their town’s participation in a watershed partnership, but are not aware of any opportunities for Portola Valley to do so. Attitude towards “natural” flood control methods was found to best predict residents’ willingness to participate. Economic stake in the land appears to have no correlation with this willingness, but very moderate association with concern about the ecological impacts of flooding.</t>
  </si>
  <si>
    <t>Butler-page1.pdf</t>
  </si>
  <si>
    <t>Valerie Chan</t>
  </si>
  <si>
    <t>The Effects of Substrate on the Burrow Morphology of the Chinese Mitten Crab</t>
  </si>
  <si>
    <t>High densities of burrows created by the Chinese mitten crab, Eriocheir sinensis, an invasive species in the San Francisco Bay, have been implicated in bank slumping along stream banks. Past studies of crustaceans have shown that substrate composition can influence burrow morphology and, in turn, the types of sediment in which burrows can be constructed. This study examined differences in burrow morphology of the Chinese mitten crab in various types of substrate (gravel, clay and composites) that were categorized based on sediment size, which was measured using sieves with three mesh sizes. Burrow casts were made using fiberglass resin; casts were measured for surface area, volume, number of bifurcations and number of end chambers. Burrows were highly variable in morphology and did not correlate with any specific substrate types. However, volume, surface area, number of bifurcations and number of chambers were all positively correlated with each other. Where silt overlay gravel, burrows did not extend into the gravel. Up to seven mitten crabs were found sharing a single burrow. Burrow morphology may be affected by the number of crabs inhabiting a burrow, which has implications for population estimates based on surface burrow counts. Although, substrate composition was not found to significantly affect burrow morphology, other factors (e.g. the number of crabs inhabiting a burrow) may have a larger influence on burrow morphology.</t>
  </si>
  <si>
    <t>Chan-page1.pdf</t>
  </si>
  <si>
    <t>Delia S. Chi</t>
  </si>
  <si>
    <t>Induced Automobile Emission Comparison between Two Retail Land Use Types</t>
  </si>
  <si>
    <t>The increase in the number of vehicles on the road has surpassed the population growth rate in the Bay Area. This has prompted concern for potentially increasing emissions and more specifically, Bay Area pollutants, three of which will be studied in this paper. Solutions for minimizing the emission and pollutant increase have been primarily focused on technological automobile innovations and transportation land use strategies. However, more emphasis needs to be placed on the type of land use. It has been found that land-use type, especially large retail establishments, indirectly produce emissions from induced vehicle usage. My study will address the issue of whether the IKEA superstore indirectly increases automobile emissions in the Bay Area. The study method is a survey questionnaire asking for information pertaining to the vehicle behaviors, cold start, vehicle miles traveled, stop and go, vehicle speed, idling, and mode of transportation, for independent stores and the IKEA superstore. Since the IKEA superstore is the first and only furniture / home furnishing superstore in the Bay Area, the independent stores serve as a comparison tool of emission trends before the introduction of a superstore in the Bay Area. The results of the study indicate that the IKEA superstore caused an overall increase in emissions. However, considering the impact to the criteria pollutants, the IKEA superstore may only slightly increase air pollution in the Bay Area.</t>
  </si>
  <si>
    <t>Chi-page1.pdf</t>
  </si>
  <si>
    <t>Damien Clauson</t>
  </si>
  <si>
    <t>Restoration’s Influence on Aerial Arthropod Diversity</t>
  </si>
  <si>
    <t>The arthropod diversity of restored dunes can provide useful measures of restoration progress. This study, conducted at Fort Funston, Golden Gate National Recreation Area, provides data on the abundance and diversity of aerial arthropods in two dune conditions: restored, native-plant-dominated dunes and unrestored, exotic-plant-dominated dunes. Fort Funston is part of the National Park Service and began restoration of native vegetation in 1991, however scientists have not conducted much research regarding aerial arthropod diversity and restoration status at Fort Funston. Arthropods were sampled for using yellow colored sticky traps over a period of five days in mid-February. I evaluated the data with the Simpson’s Index of diversity and non-parametric tests. Results indicated a difference between diversity of the restored and unrestored areas.</t>
  </si>
  <si>
    <t>Clauson-page1.pdf</t>
  </si>
  <si>
    <t>Christopher Doughty</t>
  </si>
  <si>
    <t>An investigation of the effect that new leaf respiration has on net ecosystem exchange models</t>
  </si>
  <si>
    <t>Understanding the role that tropical rain forests play in the global carbon cycle is important for understanding both the terrestrial ecosystems role in the carbon balance and the global warming trend in general. In this study, measurements of leaf respiration and soil respiration were taken in a tropical rainforest near Santarem, Brazil. These measurements were scaled up to the canopy level using parts of the De Pury model and compared to nearby eddy flux measurements. The model predicted 5 to 8 micromoles carbon per sq. m s while the eddy flux towers measured 20 to 30 micromoles carbon per sq. m s. The source of this difference is still not understood. Some species of leaves less than a month old were found to respire carbon dioxide, although this factor is generally not included in carbon models. When included in the model, new leaf respiration did not greatly change the net ecosystem exchange outcome, but it potentially could make a small change if more accurate models are used.</t>
  </si>
  <si>
    <t>Doughty-page1.pdf</t>
  </si>
  <si>
    <t>Kelly Fishman</t>
  </si>
  <si>
    <t>Genetically Modified foods: What is the Mass Media’s role in Shaping Consumer Perception’s and Knowledge?</t>
  </si>
  <si>
    <t>Advances in recombinant DNA technology during the 1990’s have modified crops to produce traits not possible with traditional breeding techniques. These genetically modified (GM) foods can be modified to generate higher nutrient and yield levels, and to produce their own pesticides, fertilizers, and vaccines. This technology has caused considerable consumer debate, with opponents stressing health, environmental, economic, and moral consequences. Consumers are ultimately in control of the GM issue, and are in turn highly influenced by the mass media (Cracknell 1993). This study aimed to determine if different mass media sources give distinct perception and knowledge of GM foods. A self-administered survey of 105 Berkeley supermarket consumers was employed to acquire this information. This survey concluded that most consumers (58%) do consult the mass media, specifically newspapers (44%), for information on genetically modified foods. Respondents were given composite scores to their answers of knowledge and perception questions, and from these pair-wise comparisons between mass media sources were made. In terms of perception, comparison between television and radio was found to be significant, with TV producing a more positive perception of GM foods. Significance was additionally found between newspapers and radio, with radio giving a more negative perception. No significance existed between television and newspapers. In terms of knowledge, significance was displayed again between television and radio, with radio providing a higher mean knowledge score. No significance was found between newspaper and radio. Finally, significance was discovered to exist between television and newspaper, with newspapers giving a higher mean knowledge score.</t>
  </si>
  <si>
    <t>Fishman-page1.pdf</t>
  </si>
  <si>
    <t>Jill Fortuna</t>
  </si>
  <si>
    <t>Vigilance and group size in California sea lions</t>
  </si>
  <si>
    <t>A relationship between group size and vigilance (visual scanning of the environment) has been found in many animal species. Decreased individual vigilance is expected to occur in larger groups because animals can rely on their group-mates to detect predators. However, many recent studies do not show a group-size effect, which indicates that more research is needed to determine the functional significance of vigilance and grouping behavior. This study used scan samples and 3-min focal animal samples to determine the effect of group size on individual and group vigilance in groups of California sea lions (Zalophus californicus) hauled out at Point Reyes, California. Increasing group size did not have a significant effect on individual vigilance, although group vigilance did increase significantly with group size. These results indicate that individual vigilance among California sea lions may be influenced by factors other than group size, such as body size and orientation.</t>
  </si>
  <si>
    <t>Fortuna-page1.pdf</t>
  </si>
  <si>
    <t>Amanda Fuller</t>
  </si>
  <si>
    <t>Addressing the Environmental Mercury Problem in Watersheds: Remediation in the Guadalupe River Watershed, San Jose, California</t>
  </si>
  <si>
    <t>Mercury pollution in watersheds has become an urgent problem and within the last thirty years, has been identified as a serious risk for human health. Mercury can be converted to methyl mercury by bacteria in waterway sediments. Methyl mercury is up to a thousand times more toxic than elemental mercury due to its ability to cross cell membranes and interact in biological systems, causing brain damage, paralysis and even death in humans. Remediation of elemental and methyl mercury within watersheds is currently being addressed as a major priority in water quality management, but there are several legal and technical obstacles to mercury clean up. This paper reviews current remediation methods for mercury contamination, and then evaluates these methods as possible means of cleaning up the heavily mercury-polluted Guadalupe River Watershed in San Jose, California. Parameters influencing decisions to implement different remediation methods are discussed, along with key factors influencing successful remediation.</t>
  </si>
  <si>
    <t>Veasna Hang</t>
  </si>
  <si>
    <t>Analysis of Total Suspended Solids and Dissolved Oxygen Concentrations of the Algal- Bacterial Selenium Removal (ABSR) system</t>
  </si>
  <si>
    <t>The Algal-Bacterial Selenium Removal (ABSR) system has been very effective at removing Selenium from agricultural drainage water that enters the water systems of the San Joaquin Valley, CA. Although selenium levels are significantly lower in the effluent of the ABSR system, Dissolved Oxygen (DO) levels in effluent water have been found to be significantly lower than normal. If DO levels dip under 5mg/L saturation, aquatic life is put under stress. At levels 1-2mg/L saturation, fish would likely start to die off. The purpose of this study was to examine the affect the ABSR system has on the DO levels in its effluent. Water samples were collected from two ABSR pond systems in Panoche, CA, where there are two systems with different pathways. The Low-cost system has influent going into a high rate pond (HS) and then goes into a reduction pond (RS), so anoxic bacteria uptake the selenium. The High-efficiency system has influent water going into a reduction pond (RN), and then put through as sand filter (NSSF). The effluent of both systems were tested for Biochemical Oxygen Demand (BOD) and Total Suspended Solids (TSS) levels, which are related to DO saturation levels in water. In the Low-cost system, levels from the effluent showed increases in both BOD and TSS levels. In the High-efficiency system, there are increases in BOD and TSS levels as well. Although increases in both BOD and TSS levels were found, the High-efficiency system was able to stay within EPA limits. The Low-cost system failed to meet EPA standards for TSS levels. In conclusion, the effluent coming out of the High-efficiency systems will not substantially lower DO saturation levels to dangerous limits.</t>
  </si>
  <si>
    <t>Hang-page1.pdf</t>
  </si>
  <si>
    <t>Tim Hassler</t>
  </si>
  <si>
    <t>Land Use and Water Quality at Wildcat Creek, CA</t>
  </si>
  <si>
    <t>Urban creeks and their associated watersheds are the focal point for a variety of different land uses including, urban development, industry, agriculture, livestock grazing, and recreational activities. These land uses can threaten the water quality of urban creeks. Most land-use studies have focused on multiple watersheds over a regional scale. More localized information is needed on single streams to provide important water quality information so they can be better managed. This study looked at the relationship between various land uses and water quality along Wildcat Creek, Berkeley, CA to determine if urban development, recreational activities, and livestock grazing may negatively affect the health of the creek. The study area was divided into seven discrete usage zones based on varying land uses. Water samples were collected three times over a four-month period to look for temporal variation in pH, conductivity, turbidity, and nitrates. Samples were also collected and analyzed for E-Coli bacteria once during the study. Regulatory guidelines and/or standards were used to assess the water quality of the creek. pH levels were found to be consistent throughout each usage zone. Conductivity levels increased downstream with the exception of the Lake Anza usage zone (a swimming reservoir), where they dropped sharply, possibly due to a settling effect. Turbidity levels fluctuated between usage zones showing no set pattern. Nitrate loading generally increased downstream throughout the study area. Conductivity levels were significantly correlated over time among the different usage zones, while the other sample parameters did not show significant temporal correlation. Sample results indicate that the creeks water quality is within applicable regulations and guidelines. No significant differences were found in the levels of the measured parameter between adjacent zones, which indicates that no specific land use is affecting the water quality of Wildcat Creek.</t>
  </si>
  <si>
    <t>Hassler-page1.pdf</t>
  </si>
  <si>
    <t>Takahiro Ino</t>
  </si>
  <si>
    <t>Effect of Seedballs in Native Plant Restoration at Muir Woods National Monument</t>
  </si>
  <si>
    <t>In this experiment the effectiveness of seedballs are studied as a direct seeding technique in native plant restoration at Muir Woods National Monument. Seedballs are broadcasted onto the restoration area where nonnative vegetations are dominant. I examined the germination success and the survivorship of seedball seedlings in grasses and forbs. However, unexpectedly rapid growth of nonnative grasses along with slow growth of seedball seedlings made the study design infeasible. Also, small and uneven sample sizes of seedball data were insufficient. The total number of plants in seedballs between March and April were not significantly different, yet comparisons with some standard measure or other restoration techniques are needed. Grasses, though fewer numbers of seeds were used, were more abundant both in March and in April than forbs.</t>
  </si>
  <si>
    <t>Ino-page1.pdf</t>
  </si>
  <si>
    <t>Bob Jalalpour</t>
  </si>
  <si>
    <t>The Saltcedar Invasion: Analysis of Life Cycle Processes of a Biological Control Agent</t>
  </si>
  <si>
    <t>The exotic shrub known as saltcedar, or tamarisk (Tamarix spp.), has devastated western Riparian areas. A likely candidate as a device for biological control is the leafbeetle Diorhabda elongata, which tests have shown to be host-specific to saltcedar. Results from the release of these beetles in the field, however, indicate the failure of these beetles to survive in all states but Wyoming. The difference in the varying climates of the beetles' native area of Central China and the western U.S. is believed to be the primary cause. Motivated by their failure in southern states, such as Texas, with warmer climates, this study focused on the effects of high temperatures on the success of beetle reproduction or survival rate as larvae, pupa and beetles. Sample groups of Diorhabda elongata were subjected to constant temperatures of 30°C, 34°C, and 37°C, and also placed in various conditions of fluctuating day/night temperatures with averages at those values. Results showed that higher temperatures, while beneficial to larval survival rate, had an adverse effect on the percentage of pupa emerging as beetles. Fluctuating thermoperiods were mostly harmful for the survival rate of D. elongata as larvae; however, it is possible that these tests reaching 43°C was more harmful on the beetles than the fluctuation, since they thrived at one fluctuating test that reached a maximum of 43°C.</t>
  </si>
  <si>
    <t>Jalalpour-page1.pdf</t>
  </si>
  <si>
    <t>Anna Kim</t>
  </si>
  <si>
    <t>Determining an Effective Buffer Against Reinvasion of Restored Sand Dunes.</t>
  </si>
  <si>
    <t>A major challenge of ecological restoration is to produce communities that are
resistant from further invasion. After the removal of Carpobrotus edulis, an invasive succulent,
in coastal dune habitats, secondary invaders can take advantage of the opened areas, spread
rapidly, and impede restoration. This project studies the effectiveness of native annual grasses in
preventing invasive grasses from invading at sites of recent C. edulis removal. In two sites at
Fort Funston, CA, where C. edulis had recently been removed, 5m2 plots were raked and seeded
with high or low densities of native grasses or left unseeded. Plots were left to grow through the
rainy season and invasive grasses were collected from each plot. Samples were counted and their
dry weight was measured. Preliminary results suggest invasive grass density and biomass/area2
are not related to native seeding density. Preliminary observations implicate sand movement as
the determining factor in overall plant growth. Seeding native grasses does not appear to be an
effective method of controlling secondary invasive grasses in coastal dune habitats.</t>
  </si>
  <si>
    <t>Nicholas C. Kordesch</t>
  </si>
  <si>
    <t>Effects of Gasoline on Aerobic Methyl tert-Butyl Ether Biodegradation in Fluidized-Bed Bioreactors</t>
  </si>
  <si>
    <t>Since the 1990 Clean Air Act, methyl tert-butyl ether (MTBE) has been used commonly as a gasoline oxygenate to increase fuel efficiency and lower vehicle emissions. It has become one of the most common pollutants of ground water and surface water. Because of its undesirable effects on drinking water and ecologically harmful effects, MTBE removal has become a public health and environmental concern. Pure MTBE has been found to be biodegradable in ex-situ treatments, but in pollution sites, it is found with gasoline. This study examines the effects of gasoline’s presence on MTBE degradation. In this study, two up-flow fluidized-bed reactors were fed pure MTBE as a sole carbon source for 124 days, and then gasoline was added for 13 days. MTBE concentration was measured for influent and effluent samples of each reactor by gas chromatography. Degradation was determined by MTBE removal. MTBE was degraded to non-detectable levels without gasoline present. After gasoline was added, MTBE degradation was significantly impeded. Nine days after gasoline was no longer added, the reactors began degrading MTBE at pre-gasoline levels. Results suggest that treatment of MTBE contamination is possible under controlled environmental conditions.</t>
  </si>
  <si>
    <t>Kordesch-page1.pdf</t>
  </si>
  <si>
    <t>Margaret Kray</t>
  </si>
  <si>
    <t>Patterns of Use, Knowledge, and Perception of Household Pesticides Among Residents of Oakland’s Fruitvale District</t>
  </si>
  <si>
    <t>Recent studies estimate that in 1995 homeowners spent nearly $2 billion on the purchase of 74 million pounds of the pesticides used in the United States. Pesticides have been shown to cause severe health and neurodevelopment problems, especially in children. Pesticide use is correlated with low income and poorly maintained housing. Furthermore, pesticides purchased and applied by consumers pose a problem in that they are the same chemicals used by trained professionals, yet there is no way to monitor that consumers are using them properly. This study examined patterns of use, knowledge, and perception of pesticides among residents of Oakland’s Fruitvale District, a low income, largely Latino community. Results indicate that the majority of homes in Fruitvale use pesticides primarily to control for ants and cockroaches. Frequency of use is strongly correlated with immigrant status. Results also indicate that immigrant status is related to education level and awareness of pesticides. These results indicate that there is a serious need for better community-based education regarding proper handling of and alternatives to pesticides, and their potential health hazards.</t>
  </si>
  <si>
    <t>Kray-page1.pdf</t>
  </si>
  <si>
    <t>Erin Kuo</t>
  </si>
  <si>
    <t>Community Impacts of Ecotourism: A Case-study of a Women’s Artisan Cooperative in Monteverde, Costa Rica</t>
  </si>
  <si>
    <t>This paper investigates the community impacts of ecotourism in Monteverde, Costa Rica by surveying women who work for a local artisans’ cooperative, CASEM (Comite de Artesania Santa Elena Monteverde), producing crafts for ecotourists. The survey addresses issues of long-term sustainability of ecotourism in Monteverde through questions focused on income changes, occupation, and attitudes toward tourism and conservation. Thirty-three women responded to the surveys and the results demonstrate an overall increase of income for women and their spouses, an increase in employment among the women surveyed, and a decrease in income inequality of the respondents as a consequence of CASEM. Attitudes toward conservation appear extremely positive and do not appear to be directly related to tourism revenues, although this is difficult to conclude with certainty. A majority of the surveyed women believe that tourism and CASEM affect many aspects of their lives from income to family, community, quality of life, and environment. I conclude that most survey respondents feel that the current impacts on their lives from ecotourism in Monteverde are mostly positive.</t>
  </si>
  <si>
    <t>Kuo-page1.pdf</t>
  </si>
  <si>
    <t>Mariel Kusano</t>
  </si>
  <si>
    <t>Regulation of Perchloroethylene Dry Cleaning Facilities</t>
  </si>
  <si>
    <t>Perchloroethylene, the primary solvent in the cleaning process in the majority of dry cleaners in the United States, is a man-made organic solvent classified as a "hazardous substance" under the California Hazard Communication Standard due to its health hazards and possible carcinogenic properties. The California Occupational Safety and Health Administration (Cal/OSHA) regulates the workplace 8-hour 25 ppm Permissible Exposure Limit (PEL) of perchloroethylene. This study identified the regulatory process of the PEL in California through phone interviews with Cal/OSHA Consultation Area Offices and compared the regulation of the dry cleaning industry, with respect to all environmental regulations set by the Environmental Protection Agency (EPA), to other industries that use perchloroethylene as a solvent through correlations and comparisons with data from the EPA Sector Notebook Project. I hypothesized that the dry cleaning industry would be regulated less stringently, having fewer and less frequent inspections, than other industries due to the abundance and decentralized nature of the industry. The study determined that the PEL in California is tested only after an employee complaint or an employer request. The comparison data between the dry cleaning industry and various other industries on a nationwide level using EPA Sector Notebook data showed positive correlations between average months between inspections and the number of facilities searched and between the number of inspections and the number of facilities searched. A negative correlation was seen between the average months between inspections and the ratio of facilities inspected to facilities in search. The dry cleaning industry showed a significant difference from other industries in the frequency of inspections and number of facilities in search with data values over two standard deviations away from the mean of all industries. This study concluded that the dry cleaning industry experiences fewer and less frequent inspections as compared to other perchloroethylene industries.</t>
  </si>
  <si>
    <t>Kusano-page1.pdf</t>
  </si>
  <si>
    <t>Jiehoon Lee</t>
  </si>
  <si>
    <t>Nitrogen Mass Balance of the ABSR System, and Comparison of Nitrate Removal of its Two Modes</t>
  </si>
  <si>
    <t>A technology known as Algal-Bacterial Selenium Removal (ABSR) may solve the problem of removing selenium, a toxic metalloid, from agricultural drainage water. However, to remove selenium, nitrogen compounds must also be removed. This study focused on nitrogen removal and involved two experiments. In the first, I developed a mass balance equation of nitrogen for a high-flow-rate system of the ABSR facility to determine the path of influent nitrate, which comes from fertilizers. Water samples were tested for concentrations of nitrate, nitrite, and ammonia, and the composition of samples of gas bubbling out of the system was measured. The mass balance equation revealed that 30.5% of influent nitrate was unaccounted for in the effluent. The unaccounted nitrate should be nitrogen gas, but nitrogen gas production was calculated to be only 14.4% of the amount expected, indicating a problem with gas collection locations. In the second experiment, nitrate concentrations for a second low-flow system were determined to provide comparisons of the low-flow and high-flow systems under different weather and inflow rates. The low-flow system’s effluent nitrate concentration was lower, at 21 mg/L versus 34 mg/L, but it removed a smaller mass of nitrate per day because its inflow rate is 4.5 times lower. Since selenium levels in agricultural drainage water are regulated in terms of mass, the high-flow system is better in terms of selenium removal, because it removes a higher mass of nitrogen, and therefore a higher mass of selenium. The low-flow system is still useful when a low nitrogen concentration is sought to minimize toxicity to wildlife.</t>
  </si>
  <si>
    <t>Lee.J-page1.pdf</t>
  </si>
  <si>
    <t>Sinang H. Lee</t>
  </si>
  <si>
    <t>Community Gardening Benefits as perceived Among American-born and Immigrant Gardeners in San Jose, California</t>
  </si>
  <si>
    <t>Community gardens in urban neighborhoods, lacking sufficient open space, provide individual and social benefits. A mailed-out survey of gardeners in eight San Jose community gardens revealed that American-born and immigrant gardeners perceived most benefits similarly. As a hobby to most, gardening made them feel healthier, proud, and stress-free. Factors of term-use in the garden, age, employment status, and family help affected perceptions. In comparison to American-born gardeners, immigrant gardeners valued more benefits neighborhood beautification and access of hard to find vegetables. Among immigrants, gardeners from Laos valued the money saved from community gardening the most, whereas, European immigrants valued the stress relief more so. Recently established immigrants, particularly with previous agricultural experience, such as Mexican immigrants, used gardens to connect with their homeland and adjust to new life in United States. While few immigrants expressed interest in meeting people who spoke the same language, most did not use the gardens as a place to practice English.</t>
  </si>
  <si>
    <t>Lee.S-page1.pdf</t>
  </si>
  <si>
    <t>Krista Lepper</t>
  </si>
  <si>
    <t>Pesticide Policy Changes in California School Districts</t>
  </si>
  <si>
    <t>Details about the use of pesticides in schools are largely unknown. Multiple studies have been carried out in order to gather information about pesticide use in schools. However, these studies have failed to gather the information desired because of lack of cooperation and knowledge by school administrators, but they do illustrate the necessity for pesticide use in schools to be documented and available to the public. In 2001 AB 2260, commonly called The Healthy Schools Act, was enacted in California requiring school districts to document and provide notification of all pesticide use and to make their records available to the public. It has yet to be determined if the Healthy Schools Act has been effective in making school grounds safer by requiring school districts to modify their pest control policies. My study replicated ‘P’ is for Poison, a study by Teresa Olle (2000), to determine if the Healthy Schools Act has made school grounds safer. This was accomplished by determining if school districts have changed their use of pesticides and comparing school districts’ notification polices of pesticide use before and after the Healthy Schools Act. Data was gathered by sending the fifteen largest school districts in California a survey and a Public Records Act request for copies of their pest management policies and records of their pesticide use. Results indicate that several large school districts in California have decreased both the total number of pesticides used and the number of toxic pesticides used on campuses. School districts have also significantly increased both their written and posted forms of notification of pesticide use. These changes that have occurred since the Healthy Schools Act was passed make school grounds safer for both students and school staff.</t>
  </si>
  <si>
    <t>Lepper-page1.pdf</t>
  </si>
  <si>
    <t>Lindia Y. Liu</t>
  </si>
  <si>
    <t>Feasibility of using common Mexican ceramics as the chamber material for household ultraviolet water disinfection system.</t>
  </si>
  <si>
    <t>This study compares common lead glazed Mexican pottery with non-lead glazed
pottery under ultraviolet exposure to determine whether the local ceramics can be used as
household ultraviolet water disinfection system chamber. Eight common Mexican ceramic
wares, four with lead glaze and four with non-lead glaze are filled with Barnstead Nanopure®
water and exposed to ultraviolet light in a sealed stainless steel container. After one-week
exposure, conductivity levels and lead concentrations are taken from the water in each ware.
The results show the average conductivity per unit area of lead-containing ceramics is 0.57
µS/cm3 and non-lead ones with an average of 1.66 µS/cm3 after a week of UV exposure. The
inconsistency of the conductivity of both types of ceramic ware leads to further testing for lead
(Pb2+) and other heavy metals in the sample water. While the samples yielded no significant
amount of other metals, the calculated lead concentration per unit area for Pb-ceramics is 2.46
µg/L/cm2 and 0.08 µg/L/cm2 for non-Pb ceramics after a week of UV exposure. The measured
lead concentration per unit area, however, for Pb-ceramics is 1.80 µg/L/cm2, lower than the
calculated one, and for non-Pb ceramics, 0.45 µg/L/cm2, a value higher than that of calculated.
All lead concentrations fall below the World Health Organization’s limit of 10 micrograms per
liter in drinking water. During the one-week exposure, the calculated lead concentration rises
and falls sharply before leveling near the end of the one-week. This study recommends that the
lead-glazed ware be exposed to ultraviolet light for two weeks before drinking the water from it.
Alternatively, non-lead glazed ceramics can be used instead in regions where the less expensive
lead-glazed ones are unavailable.</t>
  </si>
  <si>
    <t>Laurel Martin</t>
  </si>
  <si>
    <t>Effect of wildfire on invertebrate communities in riparian chaparral</t>
  </si>
  <si>
    <t>A recent wildfire at a well-studied site offers the opportunity to explore the
ability of a chaparral insect community to recover from a large-scale disturbance. Human
settling has influenced fire regimes in this country, with fire suppression often
backlashing with large wildfires such as that in Napa County in 1999 or in Yellowstone
National Park in 1988. Wildfires can have devastating and long-lasting effects on the
physical and biological characters of a riparian environment. As macroinvertebrates are
often used as biological monitors in riparian zones, this study monitors the post-fire
recovery of a chaparral community in a riparian zone by measuring differences in
invertebrate communities between burned and unburned sites. Samples collected using
pitfall traps at burned and unburned sites were sorted and identified to the family level.
Differences seen between the burned and unburned macroinvertebrate communities
reflect the damage caused by intense wildfire as well as the riparian chaparral’s ability to
recover two and a half years following the catastrophic blaze. Observed differences,
however, proved statistically significant in only one case, the proportion of flying insects
in the burned and unburned area. Results indicate that recovery on the edge of the burn is
sufficient to be unable to prove statistically that the two populations sampled were indeed
from two separate populations. Despite the high percentage of non-flying insects in the
burned area, this study concludes that there is no statistically significant difference
between burned and unburned populations within the study area.</t>
  </si>
  <si>
    <t>Maureen C. Mason</t>
  </si>
  <si>
    <t>Channel Cross-Section Analysis in Alhambra Creek</t>
  </si>
  <si>
    <t>Land use in the Alhambra Creek Watershed, located in Contra Costa County,
California, has changed over the past 50 years in some areas from cropland and rangeland to
residential subdivisions and urban development. The effects of urbanization on watershed
hydrology and stream geomorphology have been extensively explored. Streams in urban
watersheds tend to increase in cross-sectional area, as changes in runoff-generating mechanisms
result in larger peak flows than in non-urban watersheds. These geomorphic changes can have
serious detrimental effects on both the quality of aquatic habitat and the stability of infrastructure
and bridges. This study investigates historical channel changes in Alhambra Creek, focusing on
the question of whether or not channel incision and expansion has occurred due to hydrologic
changes since the 1950s. To answer this question, I resurveyed ten channel cross-sections and
compared them to 1955, 1962, and 1971 cross-sections. I found that minor channel changes
have occurred, including both local channel expansion and contraction. Due to the prevalence of
bank revetment in my study reaches, it is difficult to determine if the observed changes in the
past 30 to 50 years are a result of changes in hydrologic processes, recent and past efforts to
stabilize the channel, or a combination of these factors. Surveying limitations and small sample
size also affected the statistical strength of my results. Based on my understanding of the
available current and historical cross-section data, I conclude that the Alhambra Creek channel
morphology is generally stable, excluding local erosion problems exacerbated by in-stream
structures.</t>
  </si>
  <si>
    <t>Mason-page1.pdf</t>
  </si>
  <si>
    <t>Hanna Mershman</t>
  </si>
  <si>
    <t>The Ecological Association between Ambrosia Beetles (Monarthrum scutellare and M. dentiger) and Phytophthora ramorum, the Pathogen that causes Sudden Oak Death</t>
  </si>
  <si>
    <t>A recently discovered fungus-like oomycete, Phytophthora ramorum, has been
identified as the pathogen responsible for the epidemic levels of oak mortality throughout
California and southern portions of Oregon. The means of pathogen dispersal is currently
unknown. This study explored the possibility of bark beetles (Pseudopityophthorus pubipennis)
and ambrosia beetles (Monarthrum scutellare and M. dentiger) as vectors of P. ramorum, which
results in the disease complex termed Sudden Oak Death (SOD). To confirm beetles as vectors
of the pathogen, logs of coast live oak (Quercus agrifolia) exhibiting SOD infection and
evidence of beetle colonization were placed in isolation chambers and emergent beetles were
collected and plated on a selective media designed to promote P. ramorum growth. Additionally,
logs were cross-sectioned to determine if the pathogen could be isolated from tunnel walls. Of
the 1,344 beetles sampled, none were shown to associate with the pathogen. Since 98% of the
beetles sampled belonged to M. scutellare, no conclusions could be made concerning M. dentiger
and P. pubipennis due to inadequate sample size. P. ramorum was not isolated from tunnel wall
shavings. These results suggest that M. scutellare is not a vector of P. ramorum and therefore
neither capable of spreading the pathogen within the vascular tissue of the host nor capable of
transporting the pathogen to a new host.</t>
  </si>
  <si>
    <t>Mershman-page1.pdf</t>
  </si>
  <si>
    <t>Jamie Mikkelsen</t>
  </si>
  <si>
    <t>Effect of Vehicular Particulate Matter on the Lung Function of Asthmatic Children in Fresno, CA</t>
  </si>
  <si>
    <t>Exposure to particulate matter (PM) is associated with adverse respiratory health
effects. Vehicles traveling along a highway represent a significant source of fine particulates
that contribute to the aggravation and possibly to the development of asthma in children.
Residential history information and lung function data from 89 children involved in the Fresno
Asthmatic Children’s Environment Study were used to quantify the impact of PM exposure from
vehicles on lung health. The forced expiratory flow volume in one second (FEV1) was collected
for each child using a spirometer during office visits between November 2000 and December
2001. Individual-level demographic and socioeconomic data as well as the exact locations of the
children’s residences were gathered during home interviews. Residential address data were
incorporated into a geographic information system to determine the distances of each residence
to the closest highway in Fresno, CA. The distances to only highway 99 were also calculated.
The categorical distances reported by the study participants were also used to estimate exposure
to vehicular PM. Using three stepwise linear regression models, the effects of proximity to a
vehicular source of PM on the mean FEV1 values were evaluated. After adjustment for sex,
household income level, race, standing height, parental smoking, mother smoking during
pregnancy, time lived in residence, and time of FEV1 test, the measures of absolute distances to
the highways were found to be insignificant in predicting changes in mean FEV1 values. The
regression model using self-reported distance variables indicated that children who lived one to
three blocks from the source of vehicular PM experienced a 10% increased in mean FEV1
values, as compared to children who resided immediately next to the pollution source. These
results indicate that living in an area with high traffic density may negatively affect the lung
function of children with asthma.</t>
  </si>
  <si>
    <t>Mikkelsen-page1.pdf</t>
  </si>
  <si>
    <t>Navraj Singh Padda</t>
  </si>
  <si>
    <t>Water Quality as an influence of fish populations in Strawberry Creek, Berkeley, CA</t>
  </si>
  <si>
    <t>Strawberry Creek has been very important to the Berkeley campus and the Berkeley
community as a whole. Strawberry Creek has two major forks, north and south, which run
through the campus and the city. Fish populations in the creek began disappearing after the turn
of the 20th century due to poor water conditions and poor creek management. Since 1987 many
efforts have been made to introduce fish into the creek. Currently, the south fork has an
abundance of fish while the north fork has been unable to maintain a fish population. This
project aims to look at whether water quality is the answer to why fish are present in one fork
and not the other. Form February thru mid-April, 2002 weekly samples of pH, conductivity,
turbidity, chlorine, copper, phenols and detergents were taken at five sites in each of the two
forks. Weekly samples were also taken at two sites past the junction of the two forks simply
known as the main branch. A Tukey-Kramer honestly significant difference test was used to
detect for the difference between the sites. Data collected for all parameters was shown to not be
significantly different and therefore the conclusion that water quality with respect to the
collected parameters is not the reason for fish presence in the south fork and the lack of fish in
the north fork in Strawberry Creek.</t>
  </si>
  <si>
    <t>Padda-page1.pdf</t>
  </si>
  <si>
    <t>Jedediah Parr</t>
  </si>
  <si>
    <t>Sierra Nevada Mixed-Conifer Species Response to Gap Openings</t>
  </si>
  <si>
    <t>Canopy openings have been used for years as a means of improving tree growth and
health. However, little information exists about particular species’ responses to the size of the
gap opening, and in comparison to each other. Given that the Sierra Nevada has been
experiencing a radical change in ratio between shade-tolerant and shade-intolerant species due to
fire suppression, such information could help forest managers correct the imbalance through
selective encouragement of shade-intolerant stands. White fir, a shade-tolerant tree species, and
Ponderosa pine, a shade-intolerant species, were sampled from a research station in the Sierra
Nevada. Core samples were taken from three replicates of four different gap sizes (0.1, 0.3, 0.6,
1.0 ha) opened in 1996. Core samples were used to measure growth rings and calculate relative
growth rates over the five post-gap years and ten pre-gap years. Relative growth rate was
calculated as the percentage of the tree’s total basal area added that year. Ponderosa pine’s
response to gap creation (measured by the change in relative growth rate) was about 9% higher
than white fir’s. That difference was not a significant factor in the whole-model tests. Likewise,
changes in gap size did not significantly affect either species’ growth rate.</t>
  </si>
  <si>
    <t>Parr-page1.pdf</t>
  </si>
  <si>
    <t>Blaine Pedlow</t>
  </si>
  <si>
    <t>Are Clipper Cove's Sediments Suitable For Redevelopment?</t>
  </si>
  <si>
    <t>Concentrations of inorganic and organic mercury were studied as part of an overall
assessment of soil sediments and their levels of contamination using mercury as an indicator.
Testing was configured in order to pinpoint levels of mercury contamination due to runoff and
wharf usage on the perimeter of the cove as well as dispersion from these sites to the center of
the cove. Time scale data was collected at sixteen sites to determine relative changes in
contamination over time. No significant differences were detected between sites associated with
runoff and those in the center of the cove. Additionally, no statistical differences were found
between each site and the background level of San Francisco Bay mercury concentration. There
was no meaningful difference in concentration between different layers of sediment, indicating
that there is little or no change in the flux of mercury to the cove during the time period
corresponding to the depths sampled. Additional investigation is required to assess the exact
impacts of redevelopment, specifically dredging and piling, in Clipper Cove.</t>
  </si>
  <si>
    <t>Pedlow-page1.pdf</t>
  </si>
  <si>
    <t>Robyn Raban</t>
  </si>
  <si>
    <t>The Initial Effects of Restoration on Macroinvertebrate Populations in Sausal Creek, Alameda County, California.</t>
  </si>
  <si>
    <t>Post-restoration evaluations are important in assessing the success of restoration
strategies. Macroinvertebrates are important in post-restoration evaluations because they can
affect stream conditions, and fish populations, which in turn affect the entire creek ecosystem.
Thus, it is important to understand the successional period for macroinvertebrates after the
restoration process. Water quality monitoring programs use macroinvertebrates as indicators of
water quality, so a better understanding of successional processes in aquatic environments can
reduce errors in water quality monitoring. In this study, the macroinvertebrate population in a
urban creek restored 3 months ago in Oakland, CA was compared to other unrestored areas in the
same creek, as well as an unrestored area in another creek in the same watershed. The restored
site had lower EPT compared to the unrestored sites. The restored site also had a lower FBI,
lower family richness, higher horsehair worm abundance, and lower Baetidae abundance
compared to the unrestored sites. Macroinvertebrate composition changed after restoration, but
did not decrease in abundance. These differences are probably due to the disturbance in the
restored area caused by the restoration project. These results determined that with a low intensity
small scale restoration, there can be no significant change in nutrient cycling or food availability
for fish. The results also showed that recently restored habitats give inaccurate pollution
estimates when monitored using macroinvertebrate populations.</t>
  </si>
  <si>
    <t>Raban-page1.pdf</t>
  </si>
  <si>
    <t>Garth Schultz</t>
  </si>
  <si>
    <t>Examining the Effects of Recycling Outreach on Recycling Behavior in Residence Halls at the University of California, Berkeley</t>
  </si>
  <si>
    <t>Recycling outreach (also called recycling education) is a method that recycling
organizations use to promote recycling behavior. Little is currently known about whether
recycling outreach methods are successful at achieving the goal of increased recycling
participation. This study examined the effect of recycling outreach on the weight of mixed paper
recycled in four residence halls at University of California, Berkeley. After collecting initial
baseline measurement for three weeks, posters aimed at changing attitudes and perceptions about
recycling were placed in two of the four residence halls, and measurements were collected for a
period of three more weeks. The data from residence halls with posters was compared to the
control residence halls without posters, and to the baseline data. No significant difference was
detected between the amount of mixed paper recycled in residence halls with poster and
residence halls without posters. These results indicate that the recycling education poster
approach used in this study is ineffective at increasing recycling participation in a university
residence hall setting.</t>
  </si>
  <si>
    <t>Schultz-page1.pdf</t>
  </si>
  <si>
    <t>Arif Syed</t>
  </si>
  <si>
    <t>Hybrid Electric Vehicles: Consumer Misperceptions</t>
  </si>
  <si>
    <t>Many efforts have been made to reduce emissions into the atmosphere in the past 25
years, however the number of cars on the road and the average number of miles driven has been
steadily increasing. Vehicle exhaust accounts for almost half of the ozone forming emissions
produced in California. A mass switch-over to HEVs would reduce emissions into the
atmosphere and reduce US dependence on foreign oil. Hybrid electric technology is expensive,
and despite government subsidies and tax breaks, the cost of HEVs to consumers remains $3000
- $10000 higher than comparable vehicles. Many public outreach programs have been created to
overcome public misconceptions in order to undermine the high cost of HEVs. This study
showed that the public still has many misconceptions regarding HEVs, primarily regarding how
HEVs compare to gas powered vehicles and how HEVs are maintained. Information pertaining
to public awareness was gathered at Honda and Toyota (the two manufacturers that offer HEVs)
dealerships via questionnaire survey. The data showed that about a fifth of the participants had
never even heard of HEVs. Most of the participants who knew of HEVs, however, indicated that
HEVs are worse than conventional vehicles with respects to performance and maintenance and
thought that HEVs need to be plugged in overnight for recharging. Overcoming misconceptions
such as these could help increase sales of HEVs. Public outreach programs have been
successful, but a mass advertising and education campaign could prove to be even more
beneficial.</t>
  </si>
  <si>
    <t>Syed-page1.pdf</t>
  </si>
  <si>
    <t>Karoly Tippets</t>
  </si>
  <si>
    <t>The effects of Caulerpa taxifolia on invertebrate abundance in Agua Hedionda Lagoon, California.</t>
  </si>
  <si>
    <t>Sea beds composed of eel grass (Zostera marina), Caulerpa taxifolia and both
vegetation types were sampled at a lagoon in San Diego County at the first known
invasion site of the Caribbean algae (C. taxifolia) in the United States. The hand-
collected samples captured organisms from the surrouding water column, top sediment
layer and vegetative matter. The abundance of Isopoda, Amphipoda and Spirorbidae
populations were quantified. Weight adjusted samples were analyzed by means of the
non-parametric Mann-Whitney U-test. The most significant decrease (p&lt;0.05) in
abundance of all three taxa was between the eel grass and Caulerpa samples. The effects
of C. taxifolia invasions, and the ramifications on the benthic ecology of nearshore
lagoons, could be devastating to the basal levels of the food chain.</t>
  </si>
  <si>
    <t>Tippets-page1.pdf</t>
  </si>
  <si>
    <t>Kera Abraham</t>
  </si>
  <si>
    <t>Interactions Between Dogs and Wildlife in Parks on the Berkeley Marina</t>
  </si>
  <si>
    <t>As pressure to develop open space in the Bay Area intensifies, it is increasingly important to understand the effects that people and their pets have on the wildlife populations utilizing the few remaining open space habitats. This study evaluates the interactions between off-leash domestic dogs and wildlife in adjacent regional parks (one developed, the other undeveloped) on the Berkeley Marina. Observations were made from two sites on opposite sides of the undeveloped Berkeley Meadow, and from a third site on the border between an off-leash dog zone and a protected wildlife area in the developed César Chávez Park. From each site, data was collected on the numbers of passing people and dogs, on- or off-leash status of dogs, dogs' deviation from the trails, and whether the dogs' activities caused wildlife flushes. Raptor and egret counts were also recorded at each site to approximate the comparative uses of the areas by wildlife. Results showed that César Chávez Park supports fewer raptors and egrets, but hosts more people and dogs, than the Berkeley Meadow. Total dog-induced wildlife flushes per observation period were statistically equivalent in both parks, but there were more flushes per dog in the Meadow and more flushes per unit wildlife in Chávez. Within the Meadow, there were no significant differences in raptor / egret or human / dog activities on the East and West sides. In Chávez, dogs deviated to the protected habitat side of the trail twice as often as to the off-leash dog zone side of the trail. These findings suggest that the Protected Natural Area in Chávez Park is not a viable habitat for wildlife, and that the Berkeley Meadow is better suited to serve as a wildlife refuge prohibited to off-leash dogs.</t>
  </si>
  <si>
    <t>Abraham-page1.pdf</t>
  </si>
  <si>
    <t>Nathaniel Allen</t>
  </si>
  <si>
    <t>Trap Crops' Influence on Biodiversity in Agroecosystems</t>
  </si>
  <si>
    <t>In agricultural systems natural self-regulating processes, like pest control and nutrient cycling, are aided by biodiversity. Modern commercialized farming practices, using expansive monocultures, have reduced biodiversity in agroecosystems. This study assesses the influence trap crops along the edge of a field have on the arthropod diversity and richness levels through out the field. A radish/mustard blend and an alfalfa/allyssum blend of trap crops along field edges are tested for their abilities to attract and enhance arthropod diversity and richness levels through out the strawberry crops. Pitfall trapping along the trap crops and in field interiors were used to assess the diversity and richness levels of foraging arthropods through out the three treatment and control sites. Using two-way ANOVAs, no statistically significant differences were found between diversity (0.481 P-value) and richness (0.704 P-value) levels in the fields with and with out trap crops. However, differences in diversity and richness levels between edges and interiors of the strawberry crops were close to statistical significance for large field experiments with P-values of 0.103 and 0.109 respectively.</t>
  </si>
  <si>
    <t>Allen-page1.pdf</t>
  </si>
  <si>
    <t>Jessie Mae Arguijo</t>
  </si>
  <si>
    <t>Endangered Species Act of 1973:Explicit and Implicit Trends in the Designation of Critical Habitat and the Effects of Critical Habitat on Chances for Recovery</t>
  </si>
  <si>
    <t>Nearly eighty-nine percent of all species listed under the Endangered Species Act (ESA) do not have critical habitat (National Research Council 1995). This is a great source of concern, considering evidence from previous studies suggesting that critical habitat aids in the process of species recovery (Houck 1993). The purpose of this investigation is twofold: 1.) Determine which factors may affect critical habitat designation, and 2.) Determine how critical habitat affects species’ chances for recovery. Six factors, (a-f) were investigated for the first part of the purpose: a.) Plant or animal taxa; b.) Vertebrate or invertebrate status (among animals only); c.) Endangered or threatened status; d.) Recovery plan status; e.) Recovery priority; and f.) Economic conflicts. The single parameter for the second part of the purpose was percent recovery achieved. Data for all nine hundred and forty-nine U.S. species on the Endangered Species List were compiled and analyzed for the seven parameters under study. Each of the seven parameters was tested for association with critical habitat designation by using the Chi- Square test for association, or the G-test. Results revealed significant associations between each of the seven parameters and critical habitat designation with a G-square p-value of at least 0.05 or less in all cases. It was concluded that explicit and implicit trends in the way critical habitat is determined do likely exist. Furthermore critical habitat is significantly associated with species recovery. With the reaffirmation of the importance of critical habitat towards species recovery provided by this study, suggestions for increasing the number of species listed with critical habitat include various alterations to specific provisions of the ESA.</t>
  </si>
  <si>
    <t>Arguijo-page1.pdf</t>
  </si>
  <si>
    <t>Philip J. Chen</t>
  </si>
  <si>
    <t>Analysis of Computer Recycling Awareness of Residents Near Education and Computer Recycling Center of Santa Clara</t>
  </si>
  <si>
    <t>Education and Computer Recycling Center (CRC) of Santa Clara is a non-profit
organization that receives most of its computer donations, ranging from 10 computers to as large
as 24 full palettes (1.2 m2 per palette) loaded with computers per donation, from large Silicon
Valley companies. The computers donated by local residents constitutes far less mass donated to
CRC compared to these companies. In this thesis, I investigate the degree to which residents are
aware of computer recycling programs and the history of their computer disposal habits.
Randomly selected residents living within a 1.2 km radius south of CRC were surveyed about
their habits and computer recycling opinions. 78.9% of residents were not aware of nearby
computer recycling programs. 46.3% of residents indicated they don’t know or it doesn’t apply
when given a list of recycling options in the survey. This large percentage indicated that the
study was premature in that better survey data could be obtained from this study site, given a few
years of this study. CRC currently receives computers from approximately 30 individuals per
day. A representative of CRC who was interviewed said that CRC would be capable of handling
an increase in donations from residential computer waste. CRC operates with the help of State
grants and raises additional funds through resale of some computers. With the amount of
computer waste from residential donations, if CRC is capable of handling the mass, resources
can be saved, landfill space can be conserved and materials can be reclaimed from this computer
waste.</t>
  </si>
  <si>
    <t>Robin Choi</t>
  </si>
  <si>
    <t>Transmission of Xylella fastidiosa by Carneocephala fulgida, and its survival in Bermuda grass (Cynodon dactylon)</t>
  </si>
  <si>
    <t>The ability of Bermuda grass (Cynodon dactylon) to retain the bacteria, Xylella fastidiosa, can influence the spread Pierce's disease (P.D.). The fate of strains of the bacterium Xylella fastidiosa that causes Pierce's disease of grapevines was investigated in Bermuda grass. The P.D. strain, STL, was first mechanically inoculated into Bermuda grass, and was recovered at 1 week, 3 weeks, and 6 weeks after inoculation in the inoculated node only. Following STL, 4 other strains of X. fastidiosa (Mederios, SJV, Comm Creek, Preston) were recovered after mechanical inoculation at 3 weeks after inoculation. Three of these strains were recovered again after 6 weeks (Comm Creek, Mederios, Preston). Again detection only occurred in the inoculated node. Insect transmission efficiency of X. fastidiosa, by the RHSS (Carneocephala fulgida) was also investigated. Seven groups of RHSS' out of 40 groups successfully transmitted the bacterium from infected grape to healthy grape. The seven groups of RHSS had to ability to retain the bacterium after feeding on Bermuda grass.</t>
  </si>
  <si>
    <t>Choi-page1.pdf</t>
  </si>
  <si>
    <t>Tamara Shri N. Cosio</t>
  </si>
  <si>
    <t>Computer Disposition at the University of California - Berkeley: What Happens when Computers Outlive their Usefulness?</t>
  </si>
  <si>
    <t>Toxic manufacturing processes, components and large landfill space combined with increasing computer purchases and disposals have focused attention on personal computers. University of California – Berkeley (UCB) computer acquisition and disposal trends for the past 5 fiscal years will determine if UCB is maximizing social use while minimizing impact to the environment. Official UCB inventory records were sorted to acquire acquisition and disposal numbers for the past 5 years and the data used to calculate average age at disposal for each of the disposal options that UCB offers. Computer purchases increased FY95/96 to FY98/99 before dropping sharply in FY99/00. Junking computers was by far the most utilized end-of-life option at consistently over 50% of all disposals while computer re-sales steadily declined over the fiscal years examined. Rate of inventory increase was difficult to determine due to lack of information on computers under $1500 that were tracked but now are not. The average age of junked/cannibalized computers remained fairly constant at 7.9 years. Based on estimates of computer useful life at 5 years and an additional 3 years if reused, UCB is getting close to the entire 8 years of life without utilizing a reuse stage, possibly explaining the small percentage of disposals reused via resale, donation, miscellaneous/donation, and intercampus transfer. The average age at donation experienced a significant decline from 7.0 in FY96/97 to 5.2 in FY99/00 suggesting UCB computers must be at least as new for the University to be giving away computers just barely over their useful life. UC-Berkeley contributes large quantities of computers to the waste stream. Based on the trends in purchases and disposals observed, coupled with increasing software and hardware standards, the number of computers junked/cannibalized shows no signs of decreasing. Public awareness programs, increased visibility of the end-of-life options for University computers and staff education of the proper UCB disposal procedures should aid in increasing accuracy of the Berkeley tracking system, maximizing computer usefulness to the University and reducing computer waste overall.</t>
  </si>
  <si>
    <t>Cosio-page1.pdf</t>
  </si>
  <si>
    <t>Joshua Fisher</t>
  </si>
  <si>
    <t>Evapotranspiration Methods compared on a Sierra Nevada Forest Ecosystem</t>
  </si>
  <si>
    <t>Evapotranspiration, as a major component in terrestrial water balance and net primary productivity models, is often difficult to measure and predict. This study compared five potential evapotranspiration models applied to a ponderosa pine forest ecosystem at an Ameriflux site in Northern California. The Ameriflux sites are research forests across the United States, Canada, Brazil, and Costa Rica with towers measuring carbon, water, and energy fluxes out of the ecosystems. The evapotranspiration models ranged from simple temperature- and solar radiation-driven equations to physically-based combination approaches and included reference surface and surface cover-dependent algorithms. For each evapotranspiration models, results were compared against mean daily latent heat from half-hourly measurements recorded on a tower above the forest canopy. All models calculate potential evapotranspiration and thus overpredicted values from the summer seasons of 1997 and 1998. Development of a soil moisture function to connect potential with actual evapotranspiration resulted in significant improvement on three of the five models. A modified Priestley-Taylor method performed well given its relative simplicity.</t>
  </si>
  <si>
    <t>Fisher-page1.pdf</t>
  </si>
  <si>
    <t>Jay A. Francisco</t>
  </si>
  <si>
    <t>The Effects of Egg Production on Longevity in the Parasitoid Mastrus ridibundus (Hymenoptera: Ichneumonidae)</t>
  </si>
  <si>
    <t>Parasitoid behaviors are predicted by dynamic optimization models based on variables that describe the insects physiology and surrounding environment.  Many of these models assume an interaction between the cost of reproduction and longevity.  However, the details of this of the trade off function are still undescribed.  This paper investigates the effects of egg production on longevity in a synovigenic parasitoid Mastrus ridibundus.  Reproduction efforts were manipulated and their corresponding longevities are analyzed with a series of linear regression tests.  The results show a negative correlation between both egg production and the number of hosts attacked.  However a conclusive trade-off function could not be described.</t>
  </si>
  <si>
    <t>Francisco-page1.pdf</t>
  </si>
  <si>
    <t>Jakub Gawronski</t>
  </si>
  <si>
    <t>The relative effect of three mulches on rainbow silver beet chard yields</t>
  </si>
  <si>
    <t>Mulches are a sustainable alternative to herbicides. This study looked at the relative
effect of newspaper mulch, subterranean clover mulch, coffee residue mulch and bare ground
control on rainbow silver beet chard yields, with the mulches and control having been left
unweeded for three months prior to planting. Newspaper mulch and coffee mulch were expected
to harbor the highest chard yields while the control was expected to harbor the lowest yields.
The field is located in Albany, CA. There were four replicates per mulch type and control. Each
replicate measured 3.5 by 2.5m. The mulches were laid down and left unweeded. After three
months % weed cover was visually estimated per plot and rainbow silver beet chard crops were
transplanted into the mulches. Eight chard crops per plot were harvested one month after
transplanting. The chard crops were weighed together per plot. One-way ANOVA was used on
the crop weights and % weed cover. The ANOVA test came out with a P-value of 0.0318 for the
chard weights and a P-value of &lt;0.0001 for % weed cover. The only significant difference
between chard weights was between the newspaper mulch and the clover mulch. Newspaper
mulch had higher chard weights than clover mulch. Percent weed control was significantly
different between all combinations of mulch treatments and control. The control plots had the
highest % weed cover, followed by clover mulch, then coffee mulch, and newspaper mulch had
the lowest % weed cover. The results show that newspaper mulch supports higher yields than
subterranean clover mulch if chard crops are planted three months after laying down the mulch
and leaving it unweeded. The chard crops were probably in the ground too short to see
significant differences in yields. Also a eucalyptus tree probably released allelopathic chemicals
in two plots, which probably confounded the results. This study implies that newspaper mulch
should be used rather than subterranean clover mulch if chard is planted into mulch that has been
left unweeded for 3 months prior to planting.</t>
  </si>
  <si>
    <t>Gawronski-page1.pdf</t>
  </si>
  <si>
    <t>Atsushi Hatano</t>
  </si>
  <si>
    <t>Analysis of Nitrogen Removal Efficiency of Advanced Integrated Wastewater Pond Systems (AIWPS)</t>
  </si>
  <si>
    <t>Due to a lack of proper agricultural and municipal wastewater treatment facilities, a large number of the developing countries' population is still exposed to water pollution with limiting nutrients such as nitrogen. One of the promising technologies for wastewater treatment is Advanced Integrated Wastewater Pond Systems (AIWPS). The objective of this study is to determine nitrogen removal efficiency and its transformation pathways in AIWPS and to find out if water temperature, pH, and dissolved oxygen (DO) in AIWPS have the influence on those removal efficiency and transformation pathways. The two particular study systems of AIWPS are the Delhi system, which treats municipal wastewater, and the Panoche system, which deals with agricultural wastewater. Their capacity of nitrogen removal from those wastewaters was monitored over a period of 12 months. The Delhi system showed a relatively high total nitrogen and ammonia nitrogen removal of 78.9% and 75%, respectively over the whole period of investigation. On the other hand, the Panoche system removed only 44.6% of total nitrogen, and 56.5% of nitrate and nitrite. Highest removal of both of ammonia nitrogen, and nitrate and nitrite occurred during the warm period (28.3Cº average), but the rates of removal of those forms of nitrogen were not correlated to pH and DO. The mechanism of relationship between water temperature and the removal of ammonia nitrogen, and nitrate and nitrite was discussed.</t>
  </si>
  <si>
    <t>Hatano-page1.pdf</t>
  </si>
  <si>
    <t>Tien Dung Ho</t>
  </si>
  <si>
    <t>Improvement of Algae Settleability in High Rate Ponds Using Rotifers at Richmond Field Station, U.C. Berkeley</t>
  </si>
  <si>
    <t>Rotifers offer a natural and efficient means to improve algae settleability in high rate pond systems, a wastewater treatment system, through their selective grazing on smaller algae (1-10 micrometers). However, the survival of the rotifers in these water systems is highly dependent upon pH and ammonia concentrations. Overgrazing on algae results in increased ammonia levels and pH which are toxic and inhibit rotifer growth. An experiment was carried out to study improvement of algae settleability as well as rotifer sensitivities to pH and ammonia, using samples of high rate pond water with different added rotifer concentrations and a control with no rotifers. Ammonia, pH, turbidity, rotifer and algae populations were monitored at four time intervals (0, 2, 4, and 7 days). The results indicated a significant improvement in algae settleability with increased rotifer populations. However, due to the rapid reproduction of rotifers, overpopulation of rotifers resulted in overgrazing on small algae which altered the water characteristics, pH and ammonia. Overpopulated treatments experienced a die off of rotifers caused by excessively high ammonia concentrations which reduced algae settling.</t>
  </si>
  <si>
    <t>Ho-page1.pdf</t>
  </si>
  <si>
    <t>Sarah Hoehn</t>
  </si>
  <si>
    <t>Cost Comparison of Storm Water Filters &amp; Remediation Techniques</t>
  </si>
  <si>
    <t>Hoehn-page1.pdf</t>
  </si>
  <si>
    <t>J. Julie Hsieh</t>
  </si>
  <si>
    <t>A Comparison of the Multiple-Tube Fermentation Method and the Colitag Method for the Detection of Waterborne Coliform Bacteria</t>
  </si>
  <si>
    <t>Recreational water quality is an important issue in public health because of problems, including diarrhea, that are caused by fecal contamination. Constant monitoring for Escherichia coli (E. coli), an indicator organism for such contamination, is a way to reduce human exposure. This research project was designed to determine if the Colitag method for detecting E. coli is as reliable as the Multiple-Tube Fermentation (MTF) method, which is currently the technique approved by the U.S. Environmental Protection Agency. From September 2000 to March 2001, identical water samples were taken, approximately once a week, from Strawberry and Codornices Creeks, in Berkeley, California, to perform both tests simultaneously. The Colitag method was found to be as sensitive as the MTF method in detecting fecal coliforms in recreational water. Statistical analysis of parallel test results showed a strong linear correlation of 0.87 between the two methods, which held up well at both high and low fecal coliform counts. Because only 24 hours are required to obtain results from the Colitag method, compared to 96 hours for the MTF method, the former is preferable. Saving three days means that monitoring agencies could respond faster to sudden increases in E. coli and could therefore take immediate corrective action to ensure the public safety.</t>
  </si>
  <si>
    <t>Hsieh-page1.pdf</t>
  </si>
  <si>
    <t>Gwendolyn Johnson</t>
  </si>
  <si>
    <t>Pre-purchase barriers to photovoltaics within Marin County</t>
  </si>
  <si>
    <t>Pre-purchase barriers to photovoltaic (PV) systems within Marin County were studied. Four areas were investigated: 1) the residential sector, 2) the PV-retail sector, 3) the Marin County government and 4) educational information. The emphasis of the project was on the residential sector. The retail sector, county government and educational information were examined to determine their individual impacts within the residential sector. Surveys were administered to homeowner’s without PV, with scenario questions used to quantify the variables willingness-to-pay (WTP), degree of familiarity (DF), homeowner interest (HI) and customer initiative (CI). A multi-stage cluster technique was used to randomly pick the survey sample for residents without PV, unstructured interviews were conducted with PV-sales engineers from various retail sites and semi-structured interviews were conducted with three government officials. Educational information was gathered in the form of pamphlets, booklets and website pages, which are distributed by local solar energy organizations. Major trends show that while there is a low DF with PV, WTP and HI is high. Whereas most of the current PV-users were initially interested in PV systems because of the perception that they are environmentally benign, potential PV-owner interest stems from a desire for reliable electricity service, in light of California’s energy crisis. Other barriers include siting limitations that prevent significant solar energy uptake as well as surface area constraints in relation to high electricity consumption and/or swimming pools using solar thermal panels. A strong interest exists within county government to implement campaign programs for PV, but there is a lack of direct responsibility within a single department, which acts as a barrier, though easy to overcome. PV retailers themselves do not appear to be barriers, but rather their lack of marketing and advertising to new audiences.</t>
  </si>
  <si>
    <t>Johnson-page1.pdf</t>
  </si>
  <si>
    <t>Dryw Jones</t>
  </si>
  <si>
    <t>Nitrogen Removal as a Function of Slope, Width, and Percent Plant Cover of Riparian Buffer Zones</t>
  </si>
  <si>
    <t>Nutrient runoff from agricultural lands can be harmful to the aquatic life of nearby
streams and rivers. Riparian buffer zones have been shown to be very useful in reducing this
type of non-point source pollution. The effectiveness of three separate riparian buffer zones in
the removal of nitrogen from surface flow was investigated based on three characteristics of the
buffers: their slope, their width, and their percent plant cover. Surface water samples and
physical measurements were taken nearby the Mümm winery outside of the town of Napa, CA
during heavy rains between February 8, 2001 and March 4, 2001. The samples showed a
decrease in nitrogen concentration from the top of the buffer zone to the edge of the nearby
stream. Analysis of the data indicates a strong relationship between buffer width and nitrogen
removal, while also indicating a weak qualitative relationship between the slope of the buffer and
its effectiveness at nitrogen removal from surface water flow. The relationship between plant
cover and nitrogen removal was statistically insignificant possibly in part to the low variability in
plant cover across the buffer zones (73%-100%). The study found that riparian buffer zones of
5m or more were effective at nitrogen removal (45%) from the vineyard surface runoff.</t>
  </si>
  <si>
    <t>Kou-San Ju</t>
  </si>
  <si>
    <t>Evaluating MTBE Biodegradation with Hydrocarbon Metabolizing Cultures</t>
  </si>
  <si>
    <t>Methyl tert-butyl ether (MTBE) is added to reformulated gasoline to meet the 1990 Clean Air Act directives. Widespread use of MTBE in gasoline has resulted in groundwater contamination throughout the United States, increasingly impacting public drinking water supplies. Biodegradation of MTBE can offer an efficient and low-cost method of treating MTBE contaminated groundwater. It has been proposed that alkane-degrading bacterial cultures can co-metabolize MTBE. To evaluate the hypothesis that all alkane-degrading bacteria can co-metabolize MTBE, mixed cultures were enriched on iso-pentane, octane, decane, dodecane, tetradecane, pentadecane, and hexadecane alkanes as the sole carbon sources and then tested for their ability to co-metabolize MTBE. A toluene enrichment culture was also screened to see if aromatic-degrading cultures could co-metabolically degrade MTBE. Vials were sealed using Mininert caps and MTBE concentrations monitored by GC/FID headspace analysis. Microcosms were supplemented with enrichment substrate on day seven to test MTBE degradation stimulation. Degradation of MTBE to below detection limits of 0.1 mg/L in less than three days was observed by the iso-pentane enrichment culture. Partial but incomplete co-metabolism was observed in octane and decane cultures. Dodecane, tetradecane, pentadecane, and hexadecane cultures did not degrade MTBE. The toluene enrichment degraded MTBE to near below detection limits during the duration of the assay. Positive stimulation of MTBE degradation only occurred with the toluene culture, resulting in removal of MTBE below detection limits. The toluene enrichment was found capable of metabolizing iso-pentane. These experiments showed that of the alkanes tested, only bacteria able to grow on iso-pentane were efficient at MTBE co-metabolism. This suggests that MTBE degradation is limited to a specific subgroup of alkane degrading bacteria and possibly to bacteria able to degrade branched aromatic hydrocarbons. Continued studies with pure and mixed cultures will be performed to clarify interactions between alkane and aromatic metabolism, and MTBE biodegradation.</t>
  </si>
  <si>
    <t>Ju-page1.pdf</t>
  </si>
  <si>
    <t>Otoyo Kurosu</t>
  </si>
  <si>
    <t>Nitrogen Removal from Wastewater in Microalgal-Bacterial Treatment Ponds</t>
  </si>
  <si>
    <t>Much of agricultural and domestic wastewater contains high concentrations of nitrogen, which can affect public health and have harmful ecological impacts. Microalgal-Bacterial treatment ponds have generally been viewed as an effective method of removing nitrogen from wastewater. However, it is not well known under what physical and biological conditions nitrogen can most effectively be removed in the system. This study investigated how seasonal variables, namely water temperature and solar radiation influence the nitrogen removal in microalgal-bacterial treatment ponds. Additionally, the study aimed to elucidate what biological nitrogen removal mechanisms (ammonification, nitrification, denitrification, ammonia volatilization and algae assimilation) were mostly operating in a pond whose wastewater was municipal sewage and in a pond whose wastewater was agricultural drainage. Data of water temperature (°C) and solar radiation (w/m²) were collected from two Northern California wastewater sources, Panoche and Delhi. Concentrations of nitrogen (mg/L) in four different forms (organic nitrogen, ammonia, nitrite, and nitrate) in the water samples from both sites were calculated. Regression tests were used to predict the relationship between nitrogen removal and seasonal variables. The test showed that the total nitrogen removed from both sites was not significantly correlated with both water temperature and solar radiation. Ammonia volatilization and algae assimilation could be the two major removal mechanisms in ammonia-dominated Delhi, and denitrification was the most important in nitrate-dominated Panoche. This study gives a better understanding of microbial and biological processes in the microalgal-bacterial treatments ponds of Delhi and Panoche.</t>
  </si>
  <si>
    <t>Kurosu-page1.pdf</t>
  </si>
  <si>
    <t>Cheryl Lee</t>
  </si>
  <si>
    <t>Restoration Recommendations for Fish Species Re-population of Strawberry Creek based on High Flow and Stream Habitat Assessment</t>
  </si>
  <si>
    <t>Strawberry Creek is an urbanized creek that is in the process of being restored. However, the final step of re-populating the creek with fish has not been as successful as planned. One proposed theory for the failure of these attempts has been the lack of high flow refuges. To address this possibility flow patterns were observed and diagrammed during times of high flows at various sites along the creek on the U.C. Berkeley campus. High flows are flows caused by rain storms resulting in higher than normal flows. Habitat assessment was also a concern, thus, creek characteristics of depth, width, bank angle, undercut, vegetation overhang, sediment type, bank development, creekside vegetation and flow were measured. Flow was measured at times of normal or base flow as well as at times of high flow. Six different sites of Strawberry Creek on campus were observed and assessed for flow and habitat characteristics based on observations and previously documented criteria to make larger scale restoration recommendations. Flows were found to vary significantly between base and high flow conditions. Additionally, it was found that there are very few high flow refuges in Strawberry Creek. This in addition to mostly unfavorable habitat characteristics leads to a wide range of restoration recommendations. However, implementation of such recommendations are limited due to the highly urbanized nature of the creek. Ideally, restoration should include the reduction of channelized sections and/or banks as well as the planting of more vegetation along the banks. Other recommendations which may not be as feasible would be to create more meanders or variations on ox bow to give fish areas of reduced flow.</t>
  </si>
  <si>
    <t>Steven M. Lehigh</t>
  </si>
  <si>
    <t>Energy Savings and Cost Effectiveness of Energy Efficient Housing</t>
  </si>
  <si>
    <t>This paper analyzes the performance and cost effectiveness of energy-efficient single family detached housing. A housing development known as Civano, located in Southeast Tucson, Arizona, was used as the study site because the community has established energy performance guidelines to which a developer must conform in order to build in the community. The guidelines stipulate that houses must use 50% less energy than is required by the Tucson Metropolitan Energy Code. A survey was conducted to obtain energy usage data and general information about the population's concern for energy and their usage habits. A total of 54 households were surveyed out of 80 total inhabited residences, and for 15 houses at least eight months of data was collected. The data shows that the houses are using about 50% less energy than the average Tucson house, but this does not lead to a 50% monetary savings on energy bills. The monetary savings leads to a payback period of between five and ten years for the increased purchase price due to the energy saving modifications.</t>
  </si>
  <si>
    <t>Lehigh-page1.pdf</t>
  </si>
  <si>
    <t>Audrey E. Liu</t>
  </si>
  <si>
    <t>Restoration of a San Francisco Bay Salt Marsh: Evaluating Corixid and Mosquito Populations</t>
  </si>
  <si>
    <t>Restoration of marshland can create new habitat for aquatic invertebrates but also may create mosquito problems. A recent levee breach in a San Francisco Bay salt marsh has provided a unique occurrence whereby habitat restoration and the possible impact that levee construction has had on original San Francisco Bay mosquito populations may be examined. The flooding of marshes, and restoring of marshes that have been enclosed by levees, may be a possible method of mosquito control that could decrease maintenance by mosquito abatement districts, as well as concerns of local residents. Three marshes, including the recently breached one, with varying salinity were sampled for mosquitoes once a week from January 29 through April 11, 2001. Corixids (water boatmen) were similarly sampled for comparison and also to examine population trends between the three marshes. A D-frame net and a dipper were used to collect mosquitoes and corixids. Fifteen samples were taken randomly along one side of each marsh. Average numbers of species found in each marsh were compared. Mosquitoes were found once in the breached salt marsh, which, prior to the breach, had been treated by the Alameda County Abatement District frequently for Aedes spp. Aedes squamiger, Culiseta inornata, and Culiseta incidens were found in the other two marshes. The infrequency of mosquitoes in the breached marsh indicates the possibility of levee breaching, and therefore, hydrologic restoration as a means of mosquito control and management.</t>
  </si>
  <si>
    <t>Harshawn Singh Malhi</t>
  </si>
  <si>
    <t>Weed Suppression Through Three Mulches (Subterranean Clover, Coffee Grounds, Newspaper/straw mix) on a Swiss Beet Chard Crop</t>
  </si>
  <si>
    <t>Studies have addressed the possibility of suppressing weeds through mulches by observing biomass measurements (dry weight) and density sampling. This study tests the effectiveness of three mulches (newspaper with straw mix, used coffee bean grounds and subterranean clover) in suppressing weeds for a silver beet chard crop. 16 outdoor subplots were divided into equal sizes and the three mulches were randomly assigned to 4 plots each. Silver beet chard was also planted to make the study more complete. The weeds were allowed to grow for a period of approximately 5 months. A density sampling was then taken in each plot. The weeds (including roots) were then pulled and dried in an oven. The biomass was weighed, recorded and combined with the density sampling results. Results show a greater degree of suppression for the plots with mulches in general. Specifically, the newspaper and straw mix suppress the weeds the greatest, for it blocks almost all incoming light. Light appears to be the greatest factor in promoting weed growth. Mulches that effectively block sunlight are the most successful. This conclusion is important for those in search of a mulch to control weeds, especially with a silver beet chard crop</t>
  </si>
  <si>
    <t>Malhi-page1.pdf</t>
  </si>
  <si>
    <t>Alexandra Marinov</t>
  </si>
  <si>
    <t>Mechanisms for Local Government and Public Participation in the Binational Management of Hazardous Waste in the San Diego-Tijuana Border Region</t>
  </si>
  <si>
    <t>The US-Mexico border region demonstrates the challenge of binational environmental management. The rapid economic and population growth of the region advanced by the North American Free Trade Agreement has caused numerous stresses upon the environment, including an increase in maquiladoras, manufacturing plants that assemble foreign components for re-export. Hazardous waste from maquiladoras represents a critical environmental issue in the San Diego-Tijuana border area due to the high concentration of these factories and their workers in the region, which has limited development of infrastructure to handle hazardous waste. A further complication in binational hazardous waste management stems from the political and economic differences between the two nations. Bilateral and trilateral institutions that were created to contend with such issues have designed mechanisms for public participation as part of their mission to have open and transparent organizational processes. The principal goal of this research is to establish a basic understanding of the mechanisms used by the binational organizations and programs to encourage public and local government participation in the San Diego-Tijuana border region. The obstacles and benefits of binational environmental cooperation are also assessed. Research methods included an integration of archival data analysis, a stakeholder analysis, and interviews with representatives from the environmental binational institutions, San Diego local government, and San Diego and Tijuana non-government organizations. The study concludes with policy recommendations for improvements in binational environmental cooperation and integration of public participation in binational programs and policies.</t>
  </si>
  <si>
    <t>Marinov-page1.pdf</t>
  </si>
  <si>
    <t>Kimberly Miller</t>
  </si>
  <si>
    <t>Implications for Restoration by Seed Bank at Fort Funston, California</t>
  </si>
  <si>
    <t>This paper investigates the potential for restoration by seed bank recruitment in a coastal dune scrub ecosystem. I characterized the seed bank at Fort Funston, where for 45 years before restoration, invasive Carpobrotus edulis, commonly known as iceplant, was the primary vegetation. I sampled six locations with nine replicates, taking a total of 54 samples. Using a seedling emergence method, I examined the sand to measure the density and diversity of the seed bank in sites restored at different dates from 0 to 9 years ago. The method of seed bank analysis including greenhouse conditions highly influences the types and numbers of species found, making predictions at the species level impossible. The trends found in this study are as follows: 1.) Of 153 species found at Fort Funston 37 germinated, where 24 were native and 13 were not. 2.) Seed density increases exponentially with time since restoration. 3.) Diversity of non-native seeds decreases with time since restoration. Richness of species and evenness of some species suggest that trends in site diversity over time may exist.</t>
  </si>
  <si>
    <t>Miller-page1.pdf</t>
  </si>
  <si>
    <t>Marisa Mitchell</t>
  </si>
  <si>
    <t>On-site Composting of Restaurant Organic Waste: Economic, Ecological, and Social Costs and Benefits</t>
  </si>
  <si>
    <t>On-site composting is examined as an alternative method of organic waste disposal in San Francisco Bay Area restaurants. Since 74% of an average restaurant’s waste stream is compostable material, composting and reuse of organic material would redirect a significant portion of the waste stream from landfills. Economic, ecological, and social costs and benefits of three methods of organic waste disposal are compared: landfilling, off-site composting, and on-site composting. A waste characterization of one large Emeryville restaurant is performed to determine the mass of the organic waste generated. An economic analysis of the three methods of organic waste disposal is made for the specifications of this particular restaurant and ecological and social considerations are proposed for each method. Two commercially available composting technologies are compared. For the more appropriate technology, present discounted value and payback period of the hypothetical investment are calculated based on the current expenditures for landfilling service. An ecosystem modeling method is performed as a means to visually represent ecological sustainability. A life-cycle approach is taken to determine the ecological impacts of the use of agricultural soil conditioners and fertilizers, impacts that would be curbed to the extent that restaurant compost is used in their place. Social costs and benefits are compared based on the goal of economic, ecological, and social sustainability as a follow-up to the scientific results. It is found that on-site composting is ecologically, socially, and economically more valuable than landfilling or off-site composting, although significant management constraints exist at this point in time when a composting infrastructure is not yet in place. It is also found that a significant market exists for a middleman firm that would incur the management responsibilities of on-site composting and benefit from the sale of restaurant compost. It is recommended that local governments exploit this market.</t>
  </si>
  <si>
    <t>Mitchell-page1.pdf</t>
  </si>
  <si>
    <t>Kathlene Miyauchi</t>
  </si>
  <si>
    <t>Study of the Degree to which Three Land Trusts’ Conservation Easements Protect Biodiversity</t>
  </si>
  <si>
    <t>Conservation easements are a useful tool for the protection of natural resources on a piece of land in the United States. Easements as legal documents divide the bundle of property rights between the land trust and a private owner. This study examined the mission statements and conservation easements of three land trusts: The Nature Conservancy (TNC), Peninsula Open Space Trust (POST), and Marin Agricultural Land Trust (MALT). Conservation easements from each land trust were compared in terms of the level to which they protect biodiversity. This level was gauged through the listed restrictions and rights within each conservation easement. Variation between conservation easements was not as great as expected considering the different valued aspects of each piece of land. A predictive quantitative model for the level of biodiversity within the conservation easements was created. The measurements used to gauge aspects of this model came from common categories generated from the rights and restrictions and a conservation easement checklist from TNC. Results indicated that conservation easements from TNC reflected the highest mean protective measures in terms of biodiversity, followed by POST, and MALT. In addition, results showed that the land trusts’ Restrictions and Rights for the grantors (private owners) were very similar. The similarity is an indication that the land trusts, although not explicitly targeting biodiversity may indirectly protect aspects of biodiversity.</t>
  </si>
  <si>
    <t>Miyauchi-page1.pdf</t>
  </si>
  <si>
    <t>Paul Owens</t>
  </si>
  <si>
    <t>The Effects of Natural Oil Seepage on Intertidal Communities in Santa Barbara, CA.</t>
  </si>
  <si>
    <t>Of the 1.9 billion gallons of oil entering the world’s oceans each year, 1.9% of this occurs naturally in the Santa Barbara channel off the coast of Santa Barbara, California. The beaches, Coal Oil Point and Campus Point are closest to major seep sites and appear most heavily impacted. Intertidal organisms such as limpets show 100% mortality rates when subjected to high levels of oil, periwinkles show ~35% mortality, and mussels display 0% mortality. Three rocks were surveyed at each of 7 beaches to determine if natural levels of oil in the Santa Barbara area affect intertidal communities. Coal Oil Point and Campus Point served as the heavily oiled sites and beaches north and south of those as low oiled sites. A 30X30 cm quadrat was placed across a randomly marked strip on the rock at the low tide line. Species within the quadrat were counted. Data were analyzed using ANOVA single factor. There was no statistical difference in populations of mussels or periwinkles between oiled and low/non-oiled sites. However, there was a significant difference in populations of limpets between the sites. It was expected that there would be no differences in mussels due to their ability to withstand high amounts of oil. Differences in periwinkle populations were also expected to be statistically insignificant because of their moderate tolerance to high levels of oil. Also, levels of oil reaching Coal Oil Point and Campus Point are not high enough to warrant disastrous effects such as after an oil spill. Limpets were expected to show a difference because of their low tolerance of oil. Factors such as seasonal, spatial, and temporal variations may also have been a factor but sampling methods were designed to eliminate these variances.</t>
  </si>
  <si>
    <t>Owens-page1.pdf</t>
  </si>
  <si>
    <t>Giang N. Pham</t>
  </si>
  <si>
    <t>Monitoring the water quality of Lake Merritt, Oakland, Ca.: A study on species abundance in compliance with the water quality index</t>
  </si>
  <si>
    <t>The impacts of urban development and human interaction on the water quality of a man-made lake in Oakland were quantitatively examined in order to determine the suitability for aquatic habitation. Using a water quality index, samples of the water were collected and the various pH, temperature, water hardness (dissolved solids), ammonia, salinity, dissolved oxygen, and nitrate/nitrite contents were investigated. To complement the physical-chemical composition assessment, relative abundance of fish in each sampling site were also noted and the correlations determined. The principal adverse effects on Lake Merritt were related to storm water run off, nearby housing development and other construction, direct pollution from recreational activities on and around the lake, contamination from adjacent roadways, attempts at improving the water quality for specific species, and interactions with the ocean. Results showed that there is a direct relationship between high water quality (conforming the most to the water quality index) and higher relative species abundance of aquatic wildlife. It was correctly anticipated that the water quality is ‘best’ in the southwestern most region (site 2), indicating high index values where the lake suffers the least impacts from its surroundings, but is greatly affected by the ocean (thereby showing high salinity levels). These findings show that the aspects of water quality that have been speculated to be greatly affected by activities around the lake have led to poorer water quality and therefore lower abundance of aquatic wildlife. Turbidity and water flow rate have also been qualitatively assessed and considered, although not thoroughly examined and may greatly influence species abundance as well.</t>
  </si>
  <si>
    <t>Pham-page1.pdf</t>
  </si>
  <si>
    <t>Lisa Pheatt</t>
  </si>
  <si>
    <t>Pilot Study of Residential Air Sampling Methods for Endotoxin</t>
  </si>
  <si>
    <t>In light of research suggesting that endotoxin is an asthma ‘trigger’ and may play a role in childhood asthma development, this study was performed (1) to develop a sampling regime suitable for use in residential environments to measure airborne endotoxin concentrations and (2) to obtain information on the size of particles associated with airborne endotoxin. Indoor air was sampled in six Northern California homes for periods of 24 hours to 3 weeks using at least two particle-size-selective samplers. The samplers included a personal cascade impactor, a Harvard-type impactor, a cyclone/filter cassette, and a filter cassette alone. Each sampler was individually attached to a pump that was acoustically insulated to minimize noise. Phase 1 results suggested that samples of airborne dust of &lt;0.25 mg may not be sufficient to measure endotoxin concentrations above the background of the analytical procedure. This was remedied in Phase 2 by collecting higher air sample volumes and baking the filters before use, a procedure that removes background endotoxin. The endotoxin content of the Phase 2 samples is not yet available, but the mass measurements indicated that cleaner environments may require collection of air sample volumes &gt;3 x 104 m3 to obtain a minimum sample mass of 0.25 mg. This was achieved most efficiently and conveniently with the Harvard-type impactor. Data from Phase 1 indicated that endotoxin concentrations were highest for particles 3.5 and 6.0 μm. This association with particles smaller than 10 μm is significant in assessing the related inhalation exposure to endotoxin as particles &lt;5 μm can be deposited in the alveolar region of the lungs where the body responds differently than to dust deposited in the nose or throat. These findings differ from what has been seen in occupational environments, indicating that more research is needed in residential settings.</t>
  </si>
  <si>
    <t>Pheatt-page1.pdf</t>
  </si>
  <si>
    <t>Matthew Price</t>
  </si>
  <si>
    <t>Case Study of Working Conditions in Tijuana, Mexico: The Sanyo Maquiladora</t>
  </si>
  <si>
    <t>In 1996 the Comite de Apoya Fronterizo Obero Regional (CAFOR) administered a survey to maquiladoras workers in Tijuana and Tecate, Mexico with the help of the Maquiladora Health and Safety Support Network (MHSSN). 177 workers representing 72 factories in the Tijuana\Tecate area responded to the surveys. The surveys and follow-up interviews suggest that claims by U.S. transnationals that they implement “one global standard” of workplace health and safety, at least as effective as local regulations, in facilities throughout the world are not factually accurate with regard to their Mexican Maquiladoras. This report is a case study on the Sanyo maquila in Tijuana, Mexico that uses the 1996 survey as a basis. The survey used is slightly modified from the original one. Questions are worded exactly the same, but some have been removed for reasons such as not being relevant to what I am interested in and time constraints. After administering the survey to 20 workers at the Sanyo plant. I have discovered that the results are similar to those from the 1996 survey. Some key statistics are: 50% of all respondents reported illness that they felt was caused by working with chemicals without proper safety equipment, 100% had not received any material safety data sheets explaining the hazards of the chemicals with which they work and 100% had not received any training from their employer regarding these hazards and recommended protective measures. While I would like to say that the Sanyo maquila is not a safe place to work, I do not believe that 20 respondents is sufficient to make that claim. I do not know the total number of workers in the facility but I would need to survey 70% to have a representative sample size.</t>
  </si>
  <si>
    <t>Price-page1.pdf</t>
  </si>
  <si>
    <t>Tamara Rich</t>
  </si>
  <si>
    <t>The Potential of Ambrosia Beetles (Monarthrum scutellare and Monarthrum dentiger) to Vector the Phytophthora that causes Sudden Oak Death</t>
  </si>
  <si>
    <t>Potential vectoring of invasive fungus, genus Phytophthora, in infected California oak trees by ambrosia beetles, Monarthrum scutellare, was observed. A newly discovered invasive fungus in the genus Phytophthora is responsible for the sudden death of the Live Oak, Tanoak, and Black Oak trees in Coastal California. Fungal infection and beetle tunnels of ambrosia beetles, Monarthrum scutellare and M. dentiger have been associated with the death of the trees. I studied whether beetles may serve as vectors of the invasive Phytophthora fungus. Beetles were tested in partially artificial conditions. Twelve infected logs were cut from Live Oak, Tanoak, and Black Oak trees in Marin water district and incubated in an 80 degree isolation chamber. Beetles that emerged were collected and plated onto Phytophthora selected media. Fungal growth was observed and compared to known growths of Phytophthora. Approximately 4,000 beetles were tested carrying approximately fifteen different fungi growing on selected media. No definite matches to the known species of pathogen were found. Overall, results of this study did not support the hypothesis that ambrosia beetles vector the invading fungus.</t>
  </si>
  <si>
    <t>Rich-page1.pdf</t>
  </si>
  <si>
    <t>Patrick Riley</t>
  </si>
  <si>
    <t>E-mail's Contribution to Total Paper Consumption on the U.C. Berkeley Campus: An Investigation of the Printing Behavior of both Students and Staff</t>
  </si>
  <si>
    <t>Digital technologies, such as the Internet, electronic libraries, and electronic mail (commonly called ‘e-mail’) have fundamental opportunities to reduce paper use. However, digital technologies also provide ample opportunities for vast waste of resources, such as paper. Despite the believable promises of a “paperless, digital future”, paper consumption trends have indicated exponentially increases in the United States (Abramovitz et al.). The fact that modern technologies have greatly increased the amount of paper output suggests a tendency toward maintaining both digital and paper copies of documents and communications. The consequences of this behavior could exacerbate our already heavy reliance on national resources, namely forests, and possibly be solely responsible for the devastation of natural environments worldwide. By random social surveys, this study provides an examination of printing output dedicated to digital technology (specifically electronic mail) on the University of California, Berkeley campus. An interpretation of this study follows, outlining environmental and social implications, suggestions for future legislative policy, and recommendations for future investigations of printing behavior. Survey results suggest that printed electronic mail is responsible for 10% of the total paper used by U.C. Berkeley students, and 14% of the total paper used by U.C. Berkeley campus employees.</t>
  </si>
  <si>
    <t>Riley-page1.pdf</t>
  </si>
  <si>
    <t>Diana Stuart</t>
  </si>
  <si>
    <t>Bioaccumulation Study of the Algal-Bacterial Selenium Removal System</t>
  </si>
  <si>
    <t>Selenium levels in agricultural drainage water of the San Joaquin Valley, CA have been found to be toxic to aquatic ecosystems. Researchers have been looking for cost-effective ways to reduce selenium concentrations in drainage water. This study looks at the effectiveness of the Algal-Bacterial Selenium Reduction System to reduce the selenium available to aquatic communities. Microcosms containing four species of aquatic invertebrates were established in each part of the system and used to study bioaccumulation. Water and soil samples from the microcosms were also taken to analyze selenium speciation throughout the system. It was found that the system is successfully reducing total selenium levels in the drainage water. However, it is also releasing a significant amount of the remaining selenium in the forms of selenite and organo-selenium, which are more bioavailable to wildlife. Invertebrate bioaccumulation showed that body burdens increased with higher levels of organo-selenium in water. Due to increasing selenite and organo-Se through the system, the selenium in the effluent of the system may be more available to wildlife than the influent. The water and soil samples confirmed that selenium is being transformed into more bioavailable forms, especially by the High Rate Pond. Recommendations were made to modify the Algal Bacterial Selenium Removal System in order to reduce the formation of these more bioavailable forms. Removal of the High Rate Pond from the system may reduce the amounts of available selenium and will be investigated in further studies. When modified, the Algal Bacterial Selenium Removal System may prove to be an effective low-cost method of selenium removal.</t>
  </si>
  <si>
    <t>Stuart-page1.pdf</t>
  </si>
  <si>
    <t>Jeffrey Gregory Tudd</t>
  </si>
  <si>
    <t>Determining the Levels and Sources of Mercury in Strawberry Creek</t>
  </si>
  <si>
    <t>Strawberry Creek begins in the Berkeley Hills, flows through the UC Berkeley campus, and discharges into the San Francisco Bay. Historically, some labs on campus impacted Strawberry Creek with mercury discharges. Total mercury concentrations from sediments were determined at several sites along the creek. The questions investigated in this study are: 1) What are the levels of mercury in Strawberry Creek? And, if mercury is detected, 2) What are the possible sources? Concentrations were calculated at 11 sites using surface sediment samples, which is where mercury tends to accumulate. Sediment samples will be obtained because one of the primary controls of mercury concentration in sediment is grain size. There is a strong correlation between an increase in mercury concentration and an increase in the amount of fine material. The following equation calculates the sediment concentration normalized to percent fines (ug/g): [Hg]norm = [Hg]sed / F63. [Hg]norm is the sediment concentration normalized to percent fines (ug/g). [Hg]sed is the bulk sediment concentration (ug/g). F63 is the percent fines (&lt;63um), expressed as a fraction (0&lt; F63&lt;1). When mercury enters a creek, it settles on the sediment. Mercury prefers fine material, in contrast to coarse material. The results are expected to show that a significant increase in mercury may identify possible sources. The California Regional Water Quality Control Board sediment target is 0.4 ug/g. Any results greater than 0.4 ug/g will be investigated as a possible source.</t>
  </si>
  <si>
    <t>Tudd-page1.pdf</t>
  </si>
  <si>
    <t>Whitney Webber</t>
  </si>
  <si>
    <t>IPM Use in California School Districts</t>
  </si>
  <si>
    <t>A new California law, AB 2260, encourages the adoption of integrated pest management (IPM) programs by all school facilities. The purpose of this study is to determine the influence of cost on the implementation and outcome of IPM programs in school environments. Facilities managers in California unified school districts were surveyed by telephone. The facilities managers were asked to evaluate their pest control practices, compare their districts with others in California, and to estimate expenses for pest control. IPM districts were compared with non-IPM districts for expenditures on pest management per student. Results indicate that there is no significant difference in the pest management expenditures per student between IPM and non-IPM districts. While IPM is often cited as a cost-effective, long-term solution to pesticide use, the results show that there is very little correlation between the length of time districts have practiced IPM and the amount districts are spending. Although IPM may not provide large financial savings in California school districts, it will provide a safer school environment without much if any increase in pest management costs.</t>
  </si>
  <si>
    <t>Webber-page1.pdf</t>
  </si>
  <si>
    <t>Leon Wong</t>
  </si>
  <si>
    <t>Barriers to Implementation of Electronic End of Life Product Programs in the U.S.</t>
  </si>
  <si>
    <t>As our society makes the transition into the digital age, electronics manufacturers are constantly pushing newer and better electronic equipment onto the market to satisfy customer demands for newer technology. Yet when this new stream of products makes its way into homes, older electronic equipment will, as a consequence, be discarded. Currently, several manufacturers have begun to initiate product take-back programs in some regions of the US. Yet given the estimate of how much electronic waste may enter into the waste stream in the next few years, the present collection infrastructure seems highly inadequate. This paper looks at the current experimental and commercially available product take-back programs and tries to evaluate the trends and patterns that have kept these programs from developing into full-scale nation wide programs. Through a series of interviews with major manufacturers in US electronic waste issues, a general willingness to resolve electronic waste issues at hand can be established. However, many finer details such as wording of federal and local regulations, financial models of product take back programs have not been worked out for several reasons, one of which is the lack of precedence in electronic equipment waste issues. Another major concern is the lack of recycling infrastructure to process the potential electronic wastes in the US.</t>
  </si>
  <si>
    <t>Frank Yoon</t>
  </si>
  <si>
    <t>Ecological Impact of Introduced Crayfish on Benthic Fish in Strawberry Creek</t>
  </si>
  <si>
    <t>The introduction of the non-native crayfish Pacifastacus leniusculus in Strawberry Creek may be expected to have negative impacts on the stream ecosystem. Recent studies have shown that the declining fish population in Strawberry Creek may be due to the presence and establishment of a large crayfish population. The purpose of this experiment is to investigate the interactions between the crayfish and the prickly sculpin (Cottus asper), a native benthic fish in Strawberry Creek. The hypothesis that crayfish prey on benthic fish was tested using eight isolation cages placed within the creek: four served as controls and four were experimental. A separate laboratory experiment was also conducted to facilitate direct observations of the interactions using a twelve-gallon aquarium separated by a wire mesh screen. One side served as the control, and the other side was the experimental. Two fish were placed in every cage and the experimental cages each harbored two crayfish in addition to the sculpins. After ten days the remaining fish and crayfish were counted. All of the fish within the control cages survived while only two survivors were found in the experimental cages. Two of the experimental cages only had one survivor each, while the rest of the experimental cages resulted in zero fish. The results of the experiment showed that fish mortalities were significantly higher when crayfish were present. The loss of fish could be partly due to predation, which was directly observed in the laboratory observation tank. The crayfish aggressively attacked the fish, yet did not actively pursue them. The results of this experiment may show the potential for crayfish to reduce fish abundance if not local extinctions in Strawberry Creek.</t>
  </si>
  <si>
    <t>Yoon-page1.pdf</t>
  </si>
  <si>
    <t>Anita Lee</t>
  </si>
  <si>
    <t>Selenium Speciation in Salicornia bigelovii: Plant-Mediated Reduction of Selenate for the Remediation of Selenium Contaminated Soil</t>
  </si>
  <si>
    <t>Selenium contamination of soil in the San Joaquin Valley, California poses a threat to wildlife and to agricultural productivity. Traditional phytoremediation methods use the process of phytoextraction to remove selenium from soil by sequestering selenium in plant tissues, potentially allowing the re-release of selenium to the soil if the plants are not harvested after senescence. The volatilization of selenium by plants is an attractive alternative to phytoextraction because selenium is detoxified and transported out of the contaminated system as dimethyl selenide. Previous field studies have shown that the soil-pickleweed (Salicornia bigelovii) system volatilizes selenium at significantly higher rates than other plants tested for in situ selenium remediation. In order to increase the efficiency of selenium remediation through volatilization, an understanding of the factor controlling the rate-limiting step for dimethyl selenide formation is necessary. The objective of this research was to determine whether microbes were necessary in pickleweed in order to overcome the rate-limiting step of selenium volatilization: the conversion of inorganic selenate to a reduced selenium species, such as organic selenomethionine. To elucidate the role of microbes in selenate reduction, X-ray Absorption Spectroscopy (XAS) was used to determine selenium speciation in tissues of sterile and non-sterile pickleweed plants supplied with 50μM selenate. The results from this research indicate that both sterile and non-sterile pickleweed plants can convert selenate into organic selenium, and that microbes are not necessary for the reduction of selenium in pickleweed plants. Comparisons with other plant species examined for the ability to overcome the rate-limiting step for selenium volatilization show that pickleweed is unique in its ability to convert selenate into organic selenium in both shoot and root tissues of sterile and non-sterile plants.</t>
  </si>
  <si>
    <t>alee-page1.pdf</t>
  </si>
  <si>
    <t>Rachel Anderson</t>
  </si>
  <si>
    <t>Local government and urban heat island mitigation</t>
  </si>
  <si>
    <t>A heat island is an area where the air temperature is significantly higher than its surrounding areas. In cities, heat islands are caused by a combination of reduced vegetation and the high use of impermeable surfaces. Higher temperatures lead to human discomfort, costly energy bills, and an increase in smog. Local government action is essential for mitigating urban heat island (UHI) effects. However, many local governments are unaware of the problem and the steps they can take to combat it. This project evaluated a model ordinance prepared by research consultant Barnie Popkin that may be used as a guideline for local governments in their attempt to reduce city temperatures. This project also analyzed the strategies for UHI mitigation undertaken in creating the Highland Town Center to see how those strategies compared with Popkin’s ordinance. The model ordinance could be a useful reference for local governments starting UHI mitigation programs. However, it would serve local governments most ideally if some minor changes were made and if it were a work in progress, promoting the newest and most successful ones as cities facing UHI problems experiment with them.</t>
  </si>
  <si>
    <t>anderson-page1.pdf</t>
  </si>
  <si>
    <t>Crystallization of Myelin Basic Protein in the Lipidic Cubic Phase</t>
  </si>
  <si>
    <t>A prominent method by which a protein’s function is elucidated is through the study of the protein’s three-dimensional structure. Protein structure can be determined by obtaining well-ordered protein crystals. These crystals are thought to represent the most stable and lowest energy state of a protein molecule, and more often than not elucidate the native fold of the protein in question. Crystals that diffract X-rays isotropically to approximately 2-3 angstroms provide structural information that allows for the generation of a three-dimensional structural model of the protein. The lipidic cubic phase offers a continuos three-dimensional lipid bilayer matrix that facilitates the nucleation and growth of protein microcrystals, offering a promising method for the crystallization of Myelin Basic Protein. Solutions of Myelin Basic Protein were overlaid lipidic cubic phase gels of monoolein. Some of these gels were doped with negatively charged acidic lipids because acidic lipids have been previously shown to facilitate crystallization of Myelin Basic Protein on liposomes and lipid monolayers. The electrostatic interactions between the positively charged Myelin Basic Protein and the negatively charged doping lipids may provide the conditions necessary for nucleation of the protein crystal. The results obtained were inconclusive. Although areas of birefringence were noted, none were characteristic of protein microcrystals.</t>
  </si>
  <si>
    <t>aschoff-page1.pdf</t>
  </si>
  <si>
    <t>Monitoring the water quality of Sausal Creek, Oakland, Ca.: A comparative study on methods to detect urban pollution</t>
  </si>
  <si>
    <t>Polluted urban creeks can affect the aquatic ecosystem and the human health of the community. Raw sewage entering a water system, either directly or via a leaking pipe, can spread pathogens such as Vibrio cholerae and Escherichia coli. Monitoring by regulatory agencies may be inadequate, so testing for sewage leaks by community organizations can be beneficial for locating systems that are in need of repair. Various methods were tested to compare their effectiveness in detecting sewage pollution and feasibility for a community group to use the methods for regular monitoring. Sausal Creek provided a good urban model because a sewage leak in the mid-stretch of the creek has degraded the water quality downstream. Two sites were chosen upstream from the leak and two downstream. At each site ammonia, dissolved oxygen, pH, conductivity, temperature, flow rate, total coliforms, E. coli, and insect abundance were measured. E. coli levels increased from a geometric mean of 1500 MPN at site 2 upstream from the point source to 22,000 MPN at site 3, creating an environment 50 times above the EPA objective. Ammonia and dissolved oxygen were also found to be effective on-site indicators of the sewage pollution, but may not be exclusively caused by sewage pollution. The bacterial analysis is an excellent indicator, but due to the necessity of laboratory facilities would probably not be suitable for most community groups. A cross-referencing plan of measuring ammonia, dissolved oxygen, and insect abundance is recommended to efficiently monitor an urban creek for sewage pollution. The observed recovery distance indicates that monitoring sites should be one kilometer or less in spacing to ensure that point source pollution is detected.</t>
  </si>
  <si>
    <t>ash-page1.pdf</t>
  </si>
  <si>
    <t>Bioassessment of Two Urban Creeks in the Presidio</t>
  </si>
  <si>
    <t>The first step in restoration of a creek is to establish a baseline in which to formulate future restoration management practices. As part of the restoration effort for the Tennessee Hollow Creek (THC) at the Presidio, I conducted an initial characterization of the creek and the Fort Scott Creek (FSC) in the Presidio. I hypothesized that THC will be the poorer quality of the two creeks. Using Fort Scott Creek as a reference creek, I used the California Stream Bioassessment Protocol and archived US Army data to evaluate the quality of THC and FSC. By calculating the EPT index, taxon richness, tolerant taxon index, and percent dominant taxon, I found that 3 of the 4 metrics supported the hypothesis. EPT index and taxon richness were also plotted with total dissolved nickel and copper concentrations to see if metals in surface water would affect the macroinvertebrate community. EPT index was low in presence of metals but no noticeable differences were seen in taxon richness. Although FSC has been determined to be the more pristine creek, bioassessments must be continued so that dependable restoration goals may be set.</t>
  </si>
  <si>
    <t>blee-page1.pdf</t>
  </si>
  <si>
    <t>Resolutions to U.S.-Mexico Groundwater Disputes in the Colorado River Basin</t>
  </si>
  <si>
    <t>Water use has been disputed for years in the Colorado River Basin, which extends from Wyoming, United States, to the Gulf of California, Mexico. Over-allocation of water has caused conflicts between the U.S. and Mexico which have led to the formation of several international treaties and agreements. However, none of the legislation has specifically addressed groundwater issues. Since the intentions behind groundwater distribution are not delineated clearly in the letter of the law, it may be interpreted in several ways. The lack of clarity has perpetuated the disputes, leaving both countries unsure of how to proceed in claiming their own rights to water usage. The U.S., being the wealthier upstream country, has been in a position of greater power in determining the distribution of rights. In search of a more equitable solution, however, both parties are discussing the general issue of water rights in the U.S.-Mexico border region, specifically in terms of the Colorado River. While the doctrine of equitable apportionment has worked in the U.S. to solve interstate water conflicts, it has not yet proved itself in the international arena, due to the lack of an ability to enforce international law. Also, groundwater in the lower Colorado River basin is already over-drafted, meaning that some parties would have to give up water they currently use. California has proposed lining the All-American canal, which would preserve more water for the state, but would also result in a net groundwater loss across the border in Mexico. In order to reach a specific solution, the U.S. and Mexico need to negotiate a new treaty to specifically address groundwater rights in the Colorado River Basin. However, before they can proceed, both countries first need to agree upon a protocol for establishing groundwater rights.</t>
  </si>
  <si>
    <t>brandt-page1.pdf</t>
  </si>
  <si>
    <t>Serena Chang</t>
  </si>
  <si>
    <t>Air Pollutants and Bay Area School Children: Exposure and Risks</t>
  </si>
  <si>
    <t>Due to their unique vulnerabilities, children are at greater health risk from environmental exposures to pollutants than any other segment of the population. Characteristics such as physical stature and behavior increase their chances of exposure. For young children generally, the school and home microenvironments contribute most to their exposure to environmental pollutants. Thus, it is important to be aware of the health risks that children potentially face as a result of their exposures at school. The goal of this project was to perform crude risk assessments for Bay Area school children based on their exposure to air pollutants. Air quality monitoring data from the California Air Resources Board (CARB) and the Bay Area Air Quality Management District (BAAQMD) were applied to schools located within three miles of each monitor. These concentrations were compared with both cancer and noncancer benchmarks for various compounds derived from EPA reference values. The results show that all the students in the study are potentially at health risk due to their exposures to air toxics while at school. The probability of developing cancer from exposure to metals was low, less than three per one million. The highest total risk from exposure to volatile organic compounds was approximately 400 per million. Because the study only focused on a select group of pollutants, the actual risks faced by these children are likely to be higher. In the future, a more extensive monitoring network with a wider range of pollutants measured would greatly improve the accuracy and usefulness of this type of risk assessment.</t>
  </si>
  <si>
    <t>chang-page1.pdf</t>
  </si>
  <si>
    <t>Paul Frank</t>
  </si>
  <si>
    <t>Bioremediation by Sulfate Reducing Bacteria of Acid Mine Drainage</t>
  </si>
  <si>
    <t>Mining activity produces metal sulfide wastes - particularly pyrite - which remain in the mine long after operations cease. When water percolates through a mine where oxygen is present, a series of chemical reactions occur which produce extremely low pH and high concentrations of toxic sulfate and metal ions. This toxic leachate can cause severe aquatic habitat degradation downstream of the mine. This study addresses this environmental problem by harnessing the metabolism of sulfate reducing bacteria, whose ability to reduce sulfate produces carbonate which neutralizes acids and sulfide, which chemically stabilizes toxic metal ions as solid metal sulfides. Batch reactors were set up with mine leachate, bacterial culture, a growth medium, and various sources of organic carbon. Results have shown that bacterial reactions caused copper and zinc reductions of 100%, pH increases of up to 2, and decreases in toxicity of 100%.</t>
  </si>
  <si>
    <t>frank-page1.pdf</t>
  </si>
  <si>
    <t>Bodhi Himal Garrett</t>
  </si>
  <si>
    <t>Dhokos and Dauri: Tourism Related Firewood Use in the Makalu-Barun Area, Nepal</t>
  </si>
  <si>
    <t>Despite regulation efforts, tourist related resource consumption continues to be a problem in many parts of Nepal. Using recall-based surveys of 78 porters and 26 lodge proprietors, the current status of firewood use by porters in the Makalu-Barun National Park and Conservation Area is examined. This study finds that porter consumption of firewood continues. More wood was used in the conservation area than in the national park. This difference in wood use patterns leads to greater porter wood use in the part of the protected area where local inhabitants already face wood shortages. An average of 0.7 baris (21 kilograms) of firewood is used daily by a group of five porters for cooking and warmth. Two thirds of surveyed porters are local kitchen users and a total of 92% of respondents buy firewood from lodges. The prevalence of firewood sales and porter use of local kitchens for food preparation causes community members to have an economic interest in porters’ wood consumption. In the national park, firewood consumption decreased by 0.22 baris (7 kilograms) per night, and the number of porters using no fire at all increased by 55%. The direct enforcement of the firewood ban in the national park, and the local role in wood use in the conservation area, cause increased firewood use in the national park. While the role of porter shelters is inconclusive, blanket rentals are successful in reducing firewood use by one bari (30 kilograms) per group of five porters. The intended benefits of both programs, however, are directed more towards the national park than the conservation area. Community woodlots are suggested as an alternative that will help to alleviate pressure on forests while capitalizing on, instead of seeking to curtail, the connections between community and porter firewood use.</t>
  </si>
  <si>
    <t>garrett-page1.pdf</t>
  </si>
  <si>
    <t>Lauren E Godshall</t>
  </si>
  <si>
    <t>ISO 14001: A Case Study in Certification at Bayer Pharmaceuticals in Berkeley, California</t>
  </si>
  <si>
    <t>The ISO 14001 standard is a voluntary international standard outlining the framework for the creation and implementation of an environmental management system (EMS). Being certified as an ISO 14001 company is considered highly prestigious and valuable but few American companies have chosen to build an EMS and gain certification, possibly due to concerns that ISO 14001 tends to only create a “paper EMS” that does not add environmental value to the company. The Bayer Pharmaceuticals site in Berkeley, California is the only Bayer site in North America currently certified. This study employs a case study methodology to conduct an analysis of the company's certification process in order to lead to an understanding of the factors that prevented the Bayer process from resulting in a valueless ISO 14001 certification. Evidence suggests that the two most important factors in determining whether the ISO 14001 EMS improves the environmental performance of an organization are (1) auditor bias/knowledge of environmental policy and science; and (2) motivating factors within the company for achieving certification.</t>
  </si>
  <si>
    <t>godshall-page1.pdf</t>
  </si>
  <si>
    <t>Jackson Hong</t>
  </si>
  <si>
    <t>The Effects of Caging Quercus agrifolia and Quercus lobata seedlings in Arastradero Preserve, Palo Alto, California</t>
  </si>
  <si>
    <t>Oak woodlands, which are known to have the richest wildlife species abundance of any habitat in California, have been disappearing lately. Therefore, restoration of oak woodlands has been of concern. However, restoration of oak woodlands has been difficult because of numerous factors affecting the survival and growth of oak tree seedlings, including deer browsing. Researchers have tried to prevent young oak seedlings from being browsed by deer by using protection. This project examined two methods of protection, tubing and caging. Coast live oak trees and valleys oak trees from the Arastradero Preserve in Palo Alto, California were studied. The two goals of this experiment is to see if coast live oak trees and valley oak trees grow faster when protection is placed over them and if they have a higher survival rate when protection is used. The trees were studied in seven different sites: the Corte Madera Site, the Lake Arastradero site, the barn site, the house site, the west cottage site, the east cottage site, and the acorn trail site. Some of the trees were caged or tubed and some were not. Measurements were taken of each tree for height and diameter. Single way ANOVA was be used to find the correlation between growth and several categories, including species, site, competition, shade, protection, and types of protection. A difference in growth and survival rates between protected trees and unprotected trees was found. A correlation between method of protection and growth was not found.</t>
  </si>
  <si>
    <t>hong-page1.pdf</t>
  </si>
  <si>
    <t>Analysis of Nitrogen Sedimentation in the Advanced Integrated Wastewater Pond System (AIWPS) at Richmond Field Station, U.C. Berkeley</t>
  </si>
  <si>
    <t>Wastewater systems are necessary for the reduction of limiting nutrients such as nitrogen. High levels of nitrogen flow into the wastewater system. After treatment, nitrogen is expected to flow out below limits set by government agencies. The nitrogen that is removed in the Advanced Integrated Wastewater Pond System (AIWPS) partially settles to the bottom of the various ponds after having been incorporated into algae. Currently, the AIWPS does not remove nitrogen below limits established by the EPA. The objective of this study is to determine the pathway in which nitrogen is removed so that future modifications to the AIWPS can be more effective in removing nitrogen. Once complete and fully operational, the AIWPS can be replicated in developing nations and remote locations in advanced countries as an effective, low-cost method of wastewater treatment. Anoxic conditions at the bottom of the ponds in the AIWPS rarely support nitrate and nitrite forms of nitrogen. Organic nitrogen appears to be the most abundant form of nitrogen present in the ponds. The amount of nitrogen measured in the sediment indicates that settling is not the primary method of nitrogen removal in the AIWPS. Total Kjeldahl Nitrogen analysis has revealed an average concentration of 49.5 mg TKN/g sediment in the advanced facultative pond (AFP), 40.4 mg TKN/g sediment in the high rate pond (HRP), and 34.7 mg TKN/g sediment in the settling basins (SB). Ammonia analysis has revealed a level of 9.27 mg NH3/g sediment in the advanced facultative pond (AFP), 1.54 mg NH3/g sediment in the high rate pond (HRP), and 4.30 mg NH3/g sediment in the settling basins (SB). Depth measurements of sediment along with known dimensions of the ponds allowed quantification of N-compound pathways: 4% of inflow settles into the sediment, 79.6% of which is removed by the AFP, 16.2% by the HRP, and 4.2% by the SBs.</t>
  </si>
  <si>
    <t>hsieh-page1.pdf</t>
  </si>
  <si>
    <t>Angela Imamura</t>
  </si>
  <si>
    <t>Transit Area Designs and Funding Requirements</t>
  </si>
  <si>
    <t>The effects of funding requirements on transit area designs are rarely examined. Moreover, few studies have looked at how a regional agency, such as the Metropolitan Transportation Commission (MTC), is supporting community revitalization, convenience and accessibility of transit use, and transit-focused developments. This report summarizes case studies of two transit-oriented redevelopment projects in the Bay Area, which are partially funding through one of MTCs recently developed programs, the Transportation for Livable Communities (TLC) program. The first project is in West Oakland. The plan for this project is to revitalize the Acorn and Prescott neighborhoods, which are near the Acorn Shopping Plaza and in the West Oakland BART corridor. The second project is in Richmond. The plan there is to redevelop the Richmond BART/Amtrak station by constructing a Transit Village on the vacant lots and parking lots surrounding the station. Through interviews and data collection, I found that the TLC funding guidelines affected the West Oakland project design. However, in Richmond I learned that the Transit Village was planned independently from the TLC funding requirements. Evaluating a development incentive, like regional funding for local projects, is important in order to understand what regional transportation agencies can do to curb suburban sprawl and decrease private automobile use.</t>
  </si>
  <si>
    <t>imamura-page1.pdf</t>
  </si>
  <si>
    <t>Terry Le and Debbie Sonu</t>
  </si>
  <si>
    <t>Competitive Interaction between Hedera helix and Native Riparian Vegetation</t>
  </si>
  <si>
    <t>The perennial vine, Hedera helix, is perceived as an aggressive and noxious invader from Eurasia. There are hypotheses and predictions that describe H. helix as capable of killing host trees by shading and inhibiting recruitment of herbaceous species, however, they remain untested. The purpose of this study was to establish if competition exists between H. helix and native riparian plant species and how such interspecific competition might alter riparian assemblages. We found that different native plants exhibited different growth responses when grown with ivy. Some plants decreased both root and shoot length in the absence of ivy and others increased growth in the presence of ivy. Then there were plants that increased or decreased only shoot or only root length but never both in the absence and presence of ivy. The study also examined the toxic effects that H. helix may have on soil. Native wildflowers seeds watered with ivy extract showed 16% germination, and soil pH for ivy treatments were more acidic than were control treatments. This suggested that ivy has the potential to exclude indigenous plant species germination by actively releasing allelopathic chemicals, thereby maintaining dominance by changing the chemical traits of soils.</t>
  </si>
  <si>
    <t>Le-Sonu-page1.pdf</t>
  </si>
  <si>
    <t>Harpreet Kaur Malhi</t>
  </si>
  <si>
    <t>The Examination of the Relation of Organophosphate Exposure to Neurologic and Neurobehavioral Outcomes in Farmworker Children</t>
  </si>
  <si>
    <t>Organophosphate pesticides are extensively used in California. Very few studies have been conducted on the adverse effects of prolonged organophosphate exposure to human health, specifically children’s health. This paper evaluates the relationship between moderate to high levels of organophosphate exposure and adverse neurologic and neurobehavioral effects in migrant farmworker children. From preliminary data, there seems to be a higher prevalence of a certain type of organophosphate metabolite called Dimethylthiphosphate (DMTP) in children who have parents working with or near organophosphate pesticides than that of children whose parents have minimal exposure.</t>
  </si>
  <si>
    <t>malhi-page1.pdf</t>
  </si>
  <si>
    <t>Melanie McCutchan</t>
  </si>
  <si>
    <t>Effects of Organophosphate Pesticide Pulses on Benthic Arthropods in the Sacramento-San Joaquin Delta</t>
  </si>
  <si>
    <t>Periods of elevated organophosphate (OP) pesticide levels in waterways of the Sacramento- San Joaquin Delta associated with rainfall events that occurred after application of the pesticides to crops in California's Central Valley may pose a threat to delta biota. Bioassays have shown delta water to be lethally toxic to the water flea Ceriodaphnia dubia during these organophosphate ‘pulses’. Comparison of OP levels measured in the Delta to published toxicity data also suggests that OP pulses may be toxic to aquatic invertebrates in the Delta, particularly arthropods, many of which are food sources for commercially valuable or endangered fish species. In this study, I examined possible effects of OP pulses on benthic arthropods in the Delta using Department of Water Resources benthic monitoring data and pesticide measurements taken by the USGS from 1991-1994. I used regression analysis that incorporated major factors known to affect benthic organisms, to test for correlation between the occurrence of OP pulses and short-term declines in abundances of the four taxa studied, Corophium stimpsoni, Corophium spinicorne, Gammarus daiberi, and Nippoleucon hinumensis. I also roughly surveyed long-term trends in abundances of these four taxa form 1985-1999 to determine if possible short-term declines in abundances are set upon a background of decreasing abundance over this period. Finally, I examined toxicity of the primary OP pesticide detected in the Delta, diazinon, to a benthic arthropod that is resident to the Sacramento- San Joaquin Delta, Hyallela azteca. Results of the regression analysis suggest that Corophium stimpsoni may have been adversely affected by OP pulses in the Delta, and may be susceptible to an organophosphate dose at concentrations of 20-40 ng/l persisting for one-four days. Toxicity caused by OP pulses may be related to a possible long-term decline in C. stimpsoni abundances in the Delta. The regression analysis indicates no adverse effects of OP pulses on Corophium spinicorne, Gammarus daiberi, and Nippoleucon hinumensis. Laboratory tests of diazinon toxicity to Hyallela azteca suggest that this species is not susceptible to OP levels detected in the Delta, but exhibits significant mortality when exposed to OP levels comparable to those measured upstream in waterways of the lower Sacramento and San Joaquin River Basins.</t>
  </si>
  <si>
    <t>mcCutchan-page1.pdf</t>
  </si>
  <si>
    <t>Omar Mussa</t>
  </si>
  <si>
    <t>Development of High-pressure X-ray Photoelectron Spectroscopy (XPS) Unit</t>
  </si>
  <si>
    <t>X-ray Photoelectron Spectroscopy (XPS) is a spectroscopic method that determines elemental composition of surfaces. XPS has traditionally been conducted under ultra high vacuum (UHV) conditions, however most of the important surface processes in the environment take place under non-UHV conditions. Therefore, an XPS unit capable of working under environmental conditions has now been developed. The XPS unit utilizes an electron lens system and differential pumping to extract electrons from a high-pressure cell and transfer them into an electron analyzer. The unit was tested with several sample and background-gas combinations. These combinations included N2 with gold and H20 with SiO2. The spectra successfully created in these experiments show both the unit's functionality, and that high-pressure experiments should generate new understanding of surfaces in the environment. The high-pressure XPS unit will benefit environmental sciences by allowing molecular level understanding of surfaces found in the environment, such as minerals, and their interactions with atmospheric gases.</t>
  </si>
  <si>
    <t>mussa-page1.pdf</t>
  </si>
  <si>
    <t>Internal Nutrient Loading in the Crystal Springs Reservoirs</t>
  </si>
  <si>
    <t>Internal loading is a process that occurs in lakes and reservoirs when nutrients are introduced into the water from the lake sediment. Along with external loading, internal loading can lead to lake eutrophication and cause chemicals to enter the water, causing taste, odor, and color problems. Internal loading can also begin a positive feedback loop that intensifies eutrophication. These problems are especially important if the lake is used as a drinking water resource. This experiment studied the Crystal Springs reservoirs in San Francisco, a pair of reservoirs that have the potential of becoming eutrophic from proposed chloramine disinfection that would increase nitrogen loading. A chamber study was developed that determined the internal loading potential of the two reservoirs and the effectiveness of hypolimnetic aeration as a solution. Two samples of undisturbed sediment and hypolimnetic water were taken from each reservoir and stored in study chambers. The redox potential and concentrations of phosphate, ammonia, and nitrate were monitored in these chambers through oxic, anoxic, and restored oxic conditions. Redox levels dropped in the chambers during anoxia to levels as low as -430 mV in the upper reservoir and -635 mV in the lower reservoir, while phosphate and ammonia increased to peaks of 661 ug/l and 430 ug/l in the upper reservoir and 714 ug/l and 906 ug/l in the lower reservoir. The increase of phosphate and ammonia in the chambers indicated that internal loading occurred in anoxic conditions. Nutrient concentrations decreased with aeration below detectable limits of 50 ug/l, suggesting that hypolimnetic aeration could be a good technique to eliminate future internal loading that could occur with increased productivity from chloramine based nitrogen loading.</t>
  </si>
  <si>
    <t>Leona Patel</t>
  </si>
  <si>
    <t>Urban Stormwater Pollution: An Evaluation of Public Education Programs in Alameda County</t>
  </si>
  <si>
    <t>The goal of environmental education programs is to develop environmentally responsible and active citizens. Evaluating these programs gives local agencies, schools, environmentalists, and educators information on what aspects of the program help or hinder participants from achieving the desired outcome. Organizations implementing the programs can then identify and change major features of the programs in order to achieve their objectives. This study evaluated public education programs in Alameda County, addressing urban stormwater pollution. Ten organizations implementing outreach programs were researched to perform this evaluation. The assessment identifies key factors of the programs that affect the outcomes. The factors include whether the organization is a government or non-profit organization, the staff to volunteer ratio, the target audience, the funding, and the types of mechanisms used for outreach. Data was collected through interviews and reviewing information in written records. This study shows the differences between factors of the education programs and their effects on implementation.</t>
  </si>
  <si>
    <t>patel-page1.pdf</t>
  </si>
  <si>
    <t>Yelena Polovinchik</t>
  </si>
  <si>
    <t>Study of BSK II and BSK H Media for Culturing Lyme Disease Spirochetes</t>
  </si>
  <si>
    <t>Borrelia burgdorferi, the causative agent of Lyme disease, can be grown in vitro in Barbour-Stoenner-Kelly (BSK II) and modified Barbour-Stoenner-Kelly (BSK H) growth media. Two growth media, BSK II and BSK H, were compared with respect to their ability to support the growth of three Borrelia isolates: B. burgdorferi sensu stricto CA4, B. bissettii sp. nov. CA389, and B. coriaceae CA435. The growth kinetics of high-passage (P10) and low-passage (P7) B. bissettii CA389 isolates were compared to determine if adaptation to cultural media facilitates faster growth of the isolates. In addition, effects of gelatin on the bacterial growth were studied. All isolates tested grew significantly faster and appeared healthier in BSK H media. The replication rate of B. bissettii correlated with the number of passages in the cultural media. The results of this study also suggested that gelatin inhibits growth of B. burgdorferi CA4 and B. bissettii CA389 in BSK H and BSK II media and has no significant effect on the growth rate of B. coriaceae CA435 in BSK H.</t>
  </si>
  <si>
    <t>polovinchik-page1.pdf</t>
  </si>
  <si>
    <t>Nalini Rao</t>
  </si>
  <si>
    <t>Revegetation Methods for Urban Streams: The Use of Salix laevigata and Populus fremontii</t>
  </si>
  <si>
    <t>Riparian zones require a healthy plant base to provide ecosystem functions such as erosion prevention and sequestration of chemical pollutants. In this project, the methods of riparian restoration using two common riparian trees, Salix laevigata and Populus fremontii, were explored along a small stream in an urbanized setting of northern California. Revegetation success was studied by comparing the survival of one group of rooted cuttings versus another group planted directly into the soil. Establishment and growth were assessed at two elevations along the creek bank. The goal of the project was to determine both the optimal rooting method and location along the bank for maximum cutting survival and growth, and to compare the success of the two plant species. During the first spring season following planting, all methods resulted in pole survival with no appreciable differences resulting from rooting method. The average number of leaves and stem length was 19.1 and 7.4, respectively. Bank location was a significant determinant of growth for S. laevigata and not significant for P. fremontii. The S. laevigata cuttings grew more than the P. fremontii perhaps because of different optimal growing seasons, as willows tend to initiate growth earlier in the spring. Despite an initial lead in leaf formation by pre-rooted plants, the directly planted cuttings grew more than the rooted cuttings, perhaps because handling of the cuttings twice resulted in double transplantation shock. The use of both species represents a viable strategy for urban stream restoration, and consideration should be given to both rooting method and bank height.</t>
  </si>
  <si>
    <t>rao-page1.pdf</t>
  </si>
  <si>
    <t>Stress in the Medical Profession: An evaluation of Pre-medical students, Medical students, and Doctors</t>
  </si>
  <si>
    <t>This study evaluates stress in individuals at three stages of the medical profession: the pre-medical level, the medical student level, and the level of the practicing physician. The evaluation is done using a physiological measurement - the capnometer - and a set of survey based psychological measurements. Specifically, the survey measures anxiety, depression, and the three aspects of burnout: emotional exhaustion, cynicism, and decline in personal accomplishment. This study tests the hypothesis that overall stress increases as the individual progresses through the medical profession. Under the hypothesis, the stress indicators should be highest for practicing doctors and lowest for pre-medical students. The means of measuring these stress indicators could confound this assumption. Doctors view their stress as external to them, as if that stress is associated with a different person. It is assumed that this is not the case for undergraduate students. Thus, when asked about their stress, doctors will respond that their stress is minimal; survey based measurements should show declining stress as the individual progresses through medicine. The results show significant differences between physiological stress levels, depression levels, anxiety levels, and levels of burnout between the three groups in the population. However, as expected, the hypothesis of a trend toward more stress as one progresses through medicine is only supported by the physiological measurement. The statistically significant results from the survey indicate that stress decreases as the individual progresses through the profession.</t>
  </si>
  <si>
    <t>ravindranath-page1.pdf</t>
  </si>
  <si>
    <t>The Feeding Ecology of the Invasive Chinese Mitten Crab, Eriocheir sinensis: Implications for California's Freshwater Communities</t>
  </si>
  <si>
    <t>The San Francisco Bay area is a highly invaded watershed, where 60% of the species present are non-native. The Chinese mitten crab, Eriocheir sinensis, is an invasive species of particular concern in California because of the ecological damage that it has caused in ecosystems throughout Europe. Despite this concern, little is known about the ecology of this freshwater, catadromous crab. To assess the impact that E. sinensis is having on California's freshwater communities, I characterized the feeding ecology of Chinese mitten crabs with a combination of foregut content analyses of crabs from south San Francisco Bay tributaries and feeding preference experiments. Foregut analyses show that E. sinensis feeds mostly on algae (28.7%) and detritus (49.3%), while occasionally feeding on aquatic invertebrates (8.4%). Feeding preference studies indicate that E. sinensis prefers resident benthic invertebrates (59.2% of food eaten), to green algae (21.7%), leaf detritus, (17.2%) and freshwater shrimp, Palaemonetes paludosus (6%). Preliminary benthic samples taken at the same sites show low benthic invertebrate abundance and diversity, which potentially explains discrepancies between gut contents and feeding preferences. The combined analyses indicate that E. sinensis has the potential to cause a shift in the food web structure due to its large population size and preference for aquatic invertebrates, in habitats where benthic invertebrates are rare and not diverse.</t>
  </si>
  <si>
    <t>rogers-page1.pdf</t>
  </si>
  <si>
    <t>Analysis of Institutional Controls at California Superfund Sites</t>
  </si>
  <si>
    <t>Superfund legislation was originally passed in 1980 under the Comprehensive Environmental Response, Compensation, and Liability Act (CERCLA). CERCLA dictates cleanup procedures for sites added to the National Priorities List. Included in CERCLA are provisions for usage of institutional controls, which are based on reduction of risk through limiting of exposure time and pathways. The text of this legislation is broad, leading to subjective cleanup standards. This paper serves to analyze these standards in two different methods – First, whether these standards promote unsafe cleanup and second, whether these subjective standards are used more toward certain subgroups of the entire population. My work found that institutional controls are implemented in 21 of the final 45 study sites. Additionally, the results of this study indicate that statistical significance was found between instances of institutional controls and community size and the size of the minority population in the same area as the Superfund site.</t>
  </si>
  <si>
    <t>tam-page1.pdf</t>
  </si>
  <si>
    <t>Kam Watson</t>
  </si>
  <si>
    <t>The Effect of Eucalyptus and Oak Leaf Extracts on California Native Plants</t>
  </si>
  <si>
    <t>Leaf extracts of Eucalyptus globulus and Quercus agrifolia (oak) were used to investigate their effects on germination and seedling growth of Achillea millefolium, Bromus carinatus, and Elymus glaucus. The percentage of Achillea and Elymus seeds germinated was significantly less in the Eucalyptus treatment than in the control and oak treatments. Bromus germination and root length were not affected by the Eucalyptus treatment relative to the control. Eucalyptus had the greatest germination inhibition of Achillea with germination in the Eucalyptus treatment 11% of the control and 8% of the oak treatment. In addition, average time of Achillea germination was delayed in the Eucalyptus treatment, 6.2 days compared to 4.5 in the Oak treatment. The results of this investigation show that water extracts of Eucalyptus globulus inhibit the growth of Achillea and Elymus. Therefore restoration projects intended to replace Eucalyptus infested habitats with native plants should consider that the possible effects of allelochemicals persisting in the soil may interfere with recruitment and establishment of native species.</t>
  </si>
  <si>
    <t>watson-page1.pdf</t>
  </si>
  <si>
    <t>Kankun (Nancy) Yo</t>
  </si>
  <si>
    <t>Comparison of Self-Reported Attitudes toward the use of Recycled Paper and Actual Paper Consumption Behavior at the University of California, Berkeley</t>
  </si>
  <si>
    <t>This paper sought to determine the possible differences in the self-reported attitudes and the actual paper consumption behavior exhibited by the photocopier users at three selected libraries on the U.C. Berkeley campus, namely the Moffitt Undergraduate Library, the Bioscience Library, and the Engineering Library. A survey was carried out to determine the attitudes toward and willingness of recycled paper use, and results suggested that the copier users were willing to use recycled paper. Following the survey, a six-week pilot study involving a total of 22 copiers was conducted in the three libraries. Half of the copiers were loaded with 30% post-consumer content recycled paper and the other half with virgin paper. Over this time period, recycled paper consumption was higher than virgin paper consumption although there was no statistically significant difference in the average weekly consumption between the two paper types. Unobtrusive observations were also made during the pilot study to gain qualitative insight into the behavior of people when they were given the two paper selections. The comparison of the survey results and the actual paper consumption of copiers led to the conclusion that there was a consistency between self-reported attitudes toward using recycled paper and actual paper consumption.</t>
  </si>
  <si>
    <t>yo-page1.pdf</t>
  </si>
  <si>
    <t>Andrea Apuy</t>
  </si>
  <si>
    <t>Nitrogen Pathways in High Rate Pond Systems</t>
  </si>
  <si>
    <t>Methods for treating irrigation drainage water for the removal of toxins such as high concentrations of nitrogen and selenium have been a major environmental issue. Problems that arise from high concentrations of selenium and nitrogen in drainage water include health problems such as deformities and sterilization of nearby wildlife. One promising technology for irrigation drainage treatment is known as the Algal-Bacterial Selenium Removal System (ABSRS). The system is comprised of a high-rate pond (HRP) and a reduction unit that removes nitrate and nitrite and selenate. The purpose of this project was to attempt to increase the efficiency of the HRP in removing nitrate, which would lead to an increase in selenium removal by the reduction unit. This was accomplished by increasing the influent flow rate and by increasing the amount of CO2 injected into the HRP system. Weekly samples of the HRP influent and effluent were taken before and after flow rate and CO2 changes. The samples were evaluated for their nitrate and nitrite, ammonia, and total Kjeldahl nitrogen concentration. The data suggest that an increase in the flow rate and CO2 levels does not improve the efficiency of nitrate and nitrite removal. It is possible that there is a positive correlation between the increase in algal biomass with the increase in CO2. However, the increase in algal biomass does not increase the amount of nitrate and nitrate uptake by the system. Variables affecting the project include temperature, sunlight and acidity fluctuations due to weather. Future trials should control for these variables.</t>
  </si>
  <si>
    <t>KwakD_1999-page1.pdf</t>
  </si>
  <si>
    <t>Agroforestry Drainage Reuse Systems as a Potential Solution to Salinization in the San Joaquin Valley of California, Economic Sensitivity Analysis</t>
  </si>
  <si>
    <t>Salinization, the accumulation of salt in agricultural soils due to irrigation, is a growing problem in the San Joaquin Valley of California. This problem is compounded by poor drainage, resulting in high water tables that threaten to waterlog crops and salinate soils. An innovative technique using agroforestry has recently been developed to remediate this problem. It involves reusing agricultural drainage to irrigate successively more salt-tolerant crops, thus requiring less irrigation and producing less drainage. The salts collect in evaporation ponds rather than accumulating in the soils. This system has been in operation as a demonstration since 1987, and the data that have been collected suggest agroforestry is a sustainable system in terms of halting salt accumulation at tolerable levels and reducing drainage output. However, other questions must be answered regarding its economic feasibility, and the incentives to adopt such practices. Using simplified models of farm systems, the economic effects of adopting agroforestry can be compared to the economic effects of not adopting agroforestry. By varying the parameters of the model, it can be seen which parameters most strongly affect the economic incentives to adopt agroforestry practices for drainage and salinity management. Results suggest that agroforestry becomes an economically viable option only when long-term land and water quality issues are taken into consideration.</t>
  </si>
  <si>
    <t>ApuyA_1999-page1.pdf</t>
  </si>
  <si>
    <t>M. Jamila Batchelder</t>
  </si>
  <si>
    <t>The Potential for the Reintroduction of Rainbow Trout into Sausal Creek</t>
  </si>
  <si>
    <t>The degradation of California’s coastal streams has lead to a decline in populations of rainbow trout (Oncorynchus mykiss), particularly in its migratory form (steelhead trout). A major goal of the restoration project underway on Sausal Creek is to restore the historic rainbow trout population. It is unclear whether current conditions are sufficient to sustain a population. This study measured habitat characteristics critical to trout survival in two nearby streams that do have rainbow trout populations, Wildcat and Redwood Creeks. Measurements were taken of habitat types used by rainbow trout throughout their life cycle - adult habitat in the dry and wet season, spawning habitat, juvenile habitat, and transitional habitat. From these measurements, ranges of suitable values were developed. The same measurements were taken on the potential habitat in Sausal Creek. It was determined that most values fell within the suitable ranges. Values that did not fall within the ranges included water depth (below 0.4 meters in most study sites), numbers of boulders in spawning sites (below 2.5/m²), and insect abundance (low in overall abundance and EPT index value). Nine barriers to movement were also present. These characteristic were analyzed, and restoration techniques, such as adding boulders, modifying barriers, and adding erosion control devices, are suggested to bring these values into the suitable ranges. To manage for the issue of low water depth, restocking and restoration of the entire channel to the bay are recommended.</t>
  </si>
  <si>
    <t>BandelM_1999-page1.pdf</t>
  </si>
  <si>
    <t>Birgit Claus</t>
  </si>
  <si>
    <t>The Role of Riparian Vegetation in Intercepting Nitrate</t>
  </si>
  <si>
    <t>Nitrate runoff from upland areas toward streams can be intercepted by vegetation in riparian zones, but the variability in uptake between species is poorly understood. I studied the effectiveness of various species in nitrate uptake in a simulated riparian zone, using a controlled greenhouse mesocosm experiment. Known concentrations of nitrate were applied to riparian channels, which contained plants of approximately equal age in coarse-grained sand of low organic content. Nitrate was extracted from soils using KCl to measure nitrate uptake amounts over time for Populus (cottonwood), Alnus (alder), Salix (willow), and Arundo (giant reed) spp. Root volume was measured to standardize nitrate uptake levels for variations in plant size. I found nitrate uptake values to be negative, indicating that NO3– levels in extracted soils were greater than the amount of nitrate applied, due to extraneous inflows. Species comparison of uptake was limited by these unknown flows, as changes in nitrate level could not be attributed to uptake by plants alone. Results suggest that NO3– sources are often more significant than expected, and therefore demonstrate a need to moderate and reduce fertilization of agricultural fields.</t>
  </si>
  <si>
    <t>BatchelderMJ_1999-page1.pdf</t>
  </si>
  <si>
    <t>Phillip Cornish</t>
  </si>
  <si>
    <t>Measuring Post-Consumer Food and Paper Waste in the University of California-Berkeley Dormitory Dining Commons</t>
  </si>
  <si>
    <t>Dormitory dining common patrons at the University of California at Berkeley tend to waste a tremendous amount of food. While some of the pre-consumer food waste is collected and composted by Berkeley Worms, a non-profit student group, none of the post-consumer food and paper waste (plate scrapings and soiled napkins ) is targeted for waste diversion. In order to consider targeting this waste, Berkeley Worms must first have a good estimate of its quantity. The five dormitory dining commons included in this study combine to generate roughly 82 tons per semester. Additionally, this study sought to determine whether figures from one dining common were suitable to represent another. and whether figures from one meal type (i.e. breakfast or lunch) were suitable to represent another meal type. Per capita waste estimates were made by collecting and weighing a sample of waste and dividing this measurement by the number of patrons that contributed to it. Four pooled samples for each meal type at each of the five main dining commons were taken, for a total of 52 samples. Meal type and dining common means were calculated, analyzed, and then used to project tons per semester. Breakfast generated the least amount of food and paper waste (0.215 lbs/person), followed by lunch (0.307), brunch (0.373), and then dinner (0.336). This study suggests that in measuring these wastes, different meal types may need to be separated in order to produce accurate results. While the mean food waste generation of Units 1, 2, Clark Kerr and Foothill are all within a small range (0.292-0.342 lbs/person), Unit 3 is noticeably larger at 0.432 lbs/person. These results suggest that quantities produced in one dining common may be quite different than those produced in another. While more economic and energetic considerations should be done before deciding to compost this food waste, the soiled paper waste should be targeted immediately since it travels directly to the landfill. This study is relevant to other institutions wishing to understand their waste streams better, and has paved the way for numerous future studies.</t>
  </si>
  <si>
    <t>ClausB_1999-page1.pdf</t>
  </si>
  <si>
    <t>Chris Cottrell</t>
  </si>
  <si>
    <t>Landowner Mapping in the Yountville Gap</t>
  </si>
  <si>
    <t>Outdoor enthusiasts, conservationists and land use planners have been working in collaboration with the Bay Area Ridge Trail Council to establish a multi-use, ridgeline trail that would circumnavigate the entire San Francisco Bay. To date 210 miles of the over 400 mile, nine-county trail have been established using existing municipal, regional and state park trails, and through acquisition of lands or use of easements on private lands. There are numerous gaps of unconnected trail remaining; this project focuses on the landowners of Napa County's "Yountville Gap". The ultimate goal of the study was to create a landowner map for the use of the Napa County Committee of the Bay Area Ridge Trail Council. Landowner data was collected from the Napa County Assesor's Office. Three hundred and seventy-three properities were studied, covering a total of 15, 073 acres. Private property dominated the ownership types; 309 of the properties were privately owned; the land area of these parcels was 10,066 acres. Twenty four properties were coded for business use, covering 1,637 acres. Public lands made up over 16% of the Yountville Gap with 24 properties covering 2,452 acres. Thirteen properties were coded as Open Space, for a total of 713 acres. The study also examines other trails and recommended hiking areas in the valley; using local guidebooks, it was determined that the majority (87%) of publicly accesible hiking trails in the valley are situated on public lands.</t>
  </si>
  <si>
    <t>CornishP_1999-page1.pdf</t>
  </si>
  <si>
    <t>Jill J. De Haro</t>
  </si>
  <si>
    <t>Knowledge of cryptosporidiosis and patterns of water use among high and low risk populations in health clinics around Berkeley California</t>
  </si>
  <si>
    <t>The largest Cryptosporidium parvum outbreak associated with drinking water occurred in Milwaukee, which sickened more than 400,000 people in 1993. Yet, traditional water treatment methods have been unsuccessful in removing this human pathogen. HIV- infected individuals and other immunocompromised individuals exposed to C. parvum through drinking water can suffer life-threatening effects. Therefore recommended guidelines are established to reduce their risk of cryptosporidiosis. A survey was conducted to assess the awareness of water drinking habits and knowledge of C. parvum among high and low risk populations who specifically seek HIV testing and other health care services in the city of Berkeley, California. 100 Questionnaires regarding water consumption patterns and knowledge of C. parvum were distributed to low risk populations of cryptosporidiosis at Clinic A, the Berkeley Public Health Clinic and to high risk populations at Clinic B, East Bay AIDS Center. Sixty-six surveys were returned ( n=35, Clinic A; n=31, Clinic B). High and low risk populations consumed primarily tap water followed by Brita-filtered and bottled water. Twenty-four percent of the low risk respondents had at least some knowledge of C. parvum, although no one considered themselves very knowledgeable. Sixty percent of the high-risk respondents had at least some knowledge and 17% were very knowledgeable. Respondents from both clinics initially found out about C. parvum from quite different sources. Physicians and AIDS related sources provide the most information in informing high risk populations while friends were the most important source for low risk populations. However, the news media plays a critical role for informing high and low risk populations. A vast majority considered information relating to C. parvum somewhat or very helpful. The majority of high risk respondents modified their water drinking habits and were highly concerned about cryptosporidiosis compared to low risk respondents. High-risk respondents were more aware of the benefits of in-sink filters and about using filtered water during food preparation than low risk respondents. Greater knowledge about C. parvum results in increased use of preventive measures Nonetheless, among high and low risk populations there is little awareness of secondary transmission routes. In all, high-risk populations who specifically seek HIV health care services are more aware of their water consumption habits in reducing cryptosporidiosis than low risk populations.</t>
  </si>
  <si>
    <t>CottrellC_1999-page1.pdf</t>
  </si>
  <si>
    <t>Susan De Long</t>
  </si>
  <si>
    <t>Selenium Uptake and Volatilization: Effects of Rhizosphere Microbes for Wildtype and Transgenic Brassica juncea</t>
  </si>
  <si>
    <t>Earlier studies found Brassica juncea to be an ideal species for phytoremediation of selenium contaminated soils. This plant species can convert inorganic selenium to volatile selenium, dimethyl selenide. The biological reduction of selenate to selenite was found to be a rate-limiting step. To overcome this barrier to optimum phytoremediation, Brassica juncea was transformed with the Arabidopsis APS1 gene for ATP-sulfurylase; the enzyme responsible for reduction of selenate to selenite. This study showed that overexpression of this gene resulted in 3-fold higher selenium volatilization rates from transgenic plants supplied with 50µM selenate. Transgenic plants also displayed higher tissue selenium concentrations than wildtype plants for both root and shoot tissues. The root concentrations were 5-fold higher than for wildtype plants. For transgenic plants supplied with selenite and L-selenomethionine, volatilization rates were reduced but tissue concentrations were equivalent to those of wildtype plants. In both wildtype and transgenic plants volatilization rates were significantly reduced when rhizosphere microbes were eliminated.</t>
  </si>
  <si>
    <t>DeHaroJJ_1999-page1.pdf</t>
  </si>
  <si>
    <t>Tim Flick</t>
  </si>
  <si>
    <t>Casual Carpools, a Deeper Look</t>
  </si>
  <si>
    <t>Casual carpools are a fast growing phenomenon in the East Bay of the San Francisco Bay Area. The overall number of drivers is on the rise as is the number of pick-up spots. This was determined by observing ten pick-up spots in the East Bay during commute hours. On one hand surveys distributed at pick-up spots shows that casual carpools have removed 123 automobiles from the road. The amount of automobiles on the road was decreased by a combination of single occupancy drivers picking up passengers and others converting to being passengers. These surveys on the other hand show that if casual carpools were stopped 108 cars would be removed from the road. The fact that the number removed by the existence of casual carpools is greater than the number that would be removed if they stopped coupled with the fact that what people would do if the carpools were stopped forces people to predict the future suggest that these casual carpools are actually reducing congestion. Carpool lanes or HOV (high occupancy vehicle) lanes contribute to 63% of the people going into San Francisco on the Bay Bridge during commute hours. Casual carpools make up around 25% of these carpools so their impact on the commute and the environment is substantial.</t>
  </si>
  <si>
    <t>DeLongS_1999-page1.pdf</t>
  </si>
  <si>
    <t>Michaelangelo Go</t>
  </si>
  <si>
    <t>Determination of the Toxicity of Various Concentrations of Chloramine using Bioassays</t>
  </si>
  <si>
    <t>When water utility districts changed the disinfection method of tap water from chlorination to chloramination, the aim was to provide a high level of water treatment along with increased water standards. But another concern relates to the effect that chloramine has on fish in the water. Chloramine is toxic to fish, including fish that populate creeks and streams which can be influenced by tap water runoff that could be susceptible to changes in chloramine concentrations. From previous studies, it has been shown that an increase in concentration, along with an increase in exposure result in higher mortality in various test fish. The same should apply to fish that are found in creeks and streams, and this study aims to find the specific effects of differing concentrations on fish through bioassay testing. The mosquitofish, Gambusia affinis, was used as a bioassay subject to examine mortality when exposed to four concentrations of chloramine solutions at 2, 4, 12, and 15 mg/l. Higher concentrations of chloramine in test tanks resulted in higher mortality rates. Lower concentrations of chloramine produced little to no mortality, indicating a chloramine threshold concentration level of 12mg/l under which fish are tolerant when under. Rainbow trout, Oncorhynchus mykiss, proved more sensitive to chloramine whereby lower doses produced mortality rates higher than mosquitofish mortality rates. Solutions at 2, 4, 7, and 10 mg/l were used in the same bioassay experiments. Moreover, data on survival time and sub-lethal effects were measured for both species resulting in the observation that chloramine toxicity primarily affects respiratory functions but does not increase swimming activity. A jump in respiratory rates was observed for both species as concentrations surpassed 4 mg/l. Swimming activity remained constant through all concentrations. Mortality usually occurred within 4 days for mosquitofish and 48 hours for rainbow trout. The data collected indicate that fish mortality due to exposure to chloramine is dependent on factors such as the type of species, concentration, and exposure time. It supports the hypothesis that increasing concentrations lead to higher mortality for fish depending on species sensitivity. Within 5 days, the tendency moves towards 100% mortality for both species, especially in higher doses. Some environmental factors which may affect the concentration of chloramine delivered to fish in the wild such as dilution, evaporation, and fluctuation in chloramine effluent in the water. However, the data shows that the effect of chloramine is not identical for all fish. Fish such as mosquitofish, known to be more tolerant of poor water quality than Rainbow trout are more tolerable to the effects of chloramine, and this must be taken into account when ascertaining the overall toxicity of chloramine for fish.</t>
  </si>
  <si>
    <t>FlickT_1999-page1.pdf</t>
  </si>
  <si>
    <t>Environmental Racism in Berkeley, California: 1940-1960</t>
  </si>
  <si>
    <t>Environmental racism influences the likelihood of exposure of environmental health risks to minorities while providing Whites with an edge to gaining a healthy physical environment. Environmental racism points specifically to the discriminatory siting of a large number of hazardous waste facilities and sites in many minority and specifically Black communities. While discriminatory siting of hazardous facilities provides one possible explanation of the occurrence of minorities in polluted neighborhoods, an alternative explanation is the influence of market dynamics forcing poor minorities into cheaper housing near industry plagued neighborhoods. During the 1940’s and the 1960’s, West Berkeley experienced numerous instances of blatant acts of housing discrimination towards minorities, especially Blacks. Practices such as block busting and redlining by banks were used to prevent Blacks and other minorities from entering wealthy White neighborhoods, and to constrain them to the poorer and polluted neighborhoods of West Berkeley. This paper concludes that discriminatory housing segregation policies, and not discriminatory siting policies, have probably had the greatest role in leading to the segregation of minorities, specifically Blacks, into the unhealthy neighborhood of West Berkeley.</t>
  </si>
  <si>
    <t>GoM_1999-page1.pdf</t>
  </si>
  <si>
    <t>Jiwoon Jung</t>
  </si>
  <si>
    <t>Heterotrophic Plate Count (HPC) Bacteria in Purged and Unpurged Water from Public Drinking Water Fountains</t>
  </si>
  <si>
    <t>One of the most important variables determining bacteria levels in drinking water at the tap is the concentration of disinfectant residuals. This depends on residence time of water since the concentration of disinfectant dissipates if the water sits longer in a service line. In public drinking water fountains, water may have a high residence time so that we might expect high natural bacteria caused by dissipation of disinfectant residual. In this study, samples from drinking water fountains in three public areas were collected to investigate Heterotrophic Plate Count (HPC) bacteria in purged and unpurged water. The study found that purged water (40 seconds) had significantly lower numbers of HPC bacteria as compared to unpurged water (zero seconds) (p&lt;0.05). However, there was no evidence to correlate HPC bacteria counts with chlorine concentrations in unpurged water; HPC counts varied by sample location and drinking water fountain. Overall, the study concluded that if water was purged for 40 seconds, bacteria counts were greatly reduced regardless of the general chlorine levels and location of drinking fountains</t>
  </si>
  <si>
    <t>HanD_1999-page1.pdf</t>
  </si>
  <si>
    <t>Casey Aron Kaufman</t>
  </si>
  <si>
    <t>Nitrogen Pollution from Tilden Golf Course into Wildcat Creek</t>
  </si>
  <si>
    <t>This thesis project is to look for possible nitrogen pollution in Wildcat Creek. I proposed that the agricultural practices performed on the course were polluting the creek and the downstream ecosystems. I tested the water and aquatic ecosystems by measuring nitrates, pH, electrical conductivity, and plant and algae densities. The results show a high amount of nitrates coinciding with high plant and algae densities at two specific points along Wildcat Creek. The remaining sites do not exhibit characteristics of nitrogen pollution, though. I concluded that there was a nitrogen input from the golf course, but it did not greatly effect downstream ecosystems.</t>
  </si>
  <si>
    <t>JungJ_1999-page1.pdf</t>
  </si>
  <si>
    <t>Costs and Benefits of Genetically Modified Soy A Political-Economy Analysis</t>
  </si>
  <si>
    <t>This paper continues Susan Archer Mann and Jack Kloppenburg’s analysis of US agriculture by focusing on the recent technological advance in biotechnology, and in the soy crop in particular. Key components of Mann’s theory of the New Sociology of Agriculture, as well as Kloppenburg’s historical documentation, are synthesized in order to assess the costs and benefits of genetically-modified soy – both to the individual farmer and to society. These components are: 1) Dynamics of Commodification (Mann 1990), 2) Changes in the Means and Relations of Production (Kloppenburg 1987), and 3) Public Vs. Private Division of Labor (Kloppenburg 1987). Results indicate that genetic engineering has furthered the Commodification and, therefore, the capitalization of the U.S. soy crop. The development and implementation of bio-technology has been determined primarily by private interests, not public. Thus, the means of soy production have become more centralized under the control of agri-businesses and away from that of smaller-scale farms. Analysis indicates that while a limited number of agri-businesses are likely to benefit from genetically-modified soy, individual farmers and society at large are more likely to suffer – economically and environmentally. To mitigate these problems would require a greater role of public institutions in the development, implementation, and regulation of biotechnology.</t>
  </si>
  <si>
    <t>KaufmanCA_1999-page1.pdf</t>
  </si>
  <si>
    <t>Nina Kilham</t>
  </si>
  <si>
    <t>Gully Development in the Claremont Creek Basin, Oakland, California: Investigating controls on hillslope erosion associated with diverted road runoff</t>
  </si>
  <si>
    <t>Excess sedimentation derived from gully scour has impaired the water quality ofstreams
throughout the Pacific Northwest. Often these gullies occur in association with roads, as inthe
east Oakland hills. To investigate how localized physical attributes influence gully formation
and development, mapping, characterization, and six volume assessments were made for the
Claremont Creek watershed (draining 1.2mi2 of north-east Oakland). Eleven gullies, mapped
on USGS 7.5 minutequadrants (1:24,000), arecharacterized by—percent soil exposed, dominant
vegetation type, slope and aspect. Additional parameters—type, size, percent flow obstructed,
distance of fall (shotgun), and the hillside position at which the culvert was placed-were used
to characterize thecondition of associated culverts. To estimate percent cover, a 2.2 nr (24 ft2)
wire mesh grid was placed atthegully head and percentages noted for sixstabilizing elements—
vegetation, boulders, emplaced structures, rocks, detritus, and large woody debris. Detritus is
excluded from the final analyses as it does not effectively conserve soil. A strong relationship
exists between the amount of exposed soil within the gully channel and the gully volume (r =
0.87 p=0.04). Gullies with 95-100% soil exposed lost 60 m3, 218 m\ and 62 m3 ofsoil (gullies
CC4, CC5, and CC7), while gullies with between 46-75% exposure only lost 4 m3 and 58.6 m3
of soil (gullies CC6 and CC11 respectively). Results indicate that boulders and roots are the
most abundant elements on average within these gully channels (13.7% cover). Interactions
between site conditions and road surface cover are also compared for paved and unpaved roads.
"Paved-road gullies" (PRGs) accounted for an average of41.53 ± 32.55 m3 ofsoil loss, while
unpaved "fire-trail gullies" (FTGs) accounted for an average 128.33 ±81.13 m3 of loss. All
gullies associated with paved roads were found to be larger in volume, however this relationship
was not statistically significant (p = 0.20). No gullies were observed in areas independent of
roads. Shotgun culverts and failed culverts also were important contributors to instability,
although protection at the gully head significantly reduced this effect. These relationships
suggest that small-scale controls may dictate gully development within a single watershed.
Monitoring gully development inthe future as a function of these controls, can thus provide a
means for assessing appropriate management techniques.</t>
  </si>
  <si>
    <t>KhademR_1999-page1.pdf</t>
  </si>
  <si>
    <t>Yonghwi Kim</t>
  </si>
  <si>
    <t>Evaluating the Necessity for Cryptosporidium Regulation in California Drinking Water</t>
  </si>
  <si>
    <t>Drinking water is one of the most versatile means of transmitting diseases due to its wide availability. In recent years, Cryptosporidium has become water industry's main concern because of its serious health effects and the difficulties involved in treatment and detection. Unregulated for over 20 years since its discovery, the United States Environmental Protection Agency finalized the Interim Enhanced Surface Water Treatment Rule (IESWTR) in 1998 to regulate Cryptosporidium levels in drinking water. This study implemented a survey and contacted the water treatment facilities in Region 5 and 9 of ACWA, as well as examining the current regulation to determine the necessity for strengthening the IESWTR for California. The survey found that many facilities are incidentally treating for Cryptosporidium by using ozone and have been monitoring for it, but treatment for Cryptosporidium was not their primary concern. Upon examining the IESWTR, the study found that this regulation applies only to treatment facilities serving more than 10,000 whereas most of the outbreaks have occurred in smaller sized plants. The IESWTR uses turbidity to determine the effective removal rate of Cryptosporidium when no correlation between turbidity and presence of Cryptosporidium has been established. These flaws, combined with the belief of the treatment facilities that the water sources for California are very pure, led this study to conclude that it is necessary to strengthen the IESWTR for California. The study recommends ozonation to treat for Cryptosporidium and subsidization of use of point-of-use water treatment systems to provide safe drinking water to the public.</t>
  </si>
  <si>
    <t>KilhamN_1999-page1.pdf</t>
  </si>
  <si>
    <t>Jen Kliris</t>
  </si>
  <si>
    <t>An Estimation of Potential Exposures of Children to Highly Toxic Organophosphate and Carbamate Pesticides Through Inhalation Due to Drift from Agricultural Applications in the Metro Bakersfield Area, Kern County, California in 1995</t>
  </si>
  <si>
    <t>From 1991 to 1995, there was a 31% increase in overall agricultural pesticide use in California, largely in organophosphate and carbamate insecticides. Studies suggest that exposure to these chemicals may lead to numerous adverse health effects including long-term neurological problems. Drift of pesticide particles exposes residents of heavily populated nearby urban areas to highly toxic chemicals due to inhalation. Children are known to be especially susceptible to pesticide poisoning. This project investigates the potential exposure of children to nerve toxins through inhalation due to drift from agricultural applications in Kern county during 1995. The data show that the drift of toxic pesticides may be intensified by certain meteorological conditions. Air measurements of benomyl, a toxic organophosphate ranked 18th by toxicity, during February (a low application month) may have been considerably higher than the daily safe allowable limit for adults. This fact implicates other more toxic organophosphates used in Kern county during June, July and August (high application months), as potentially extremely harmful to residents of the heavily populated Bakersfield metro area, especially children. The study strongly suggests that the total adverse effects of highly toxic pesticides have been both understudied and underestimated. Further research is needed in order to assess the additive effects to human health due to inhalation of highly toxic agricultural pesticides applied in the vicinity of heavily populated areas. In addition, further investigation must address the potential compound effect due to inhalation, ingestion, and absorption.</t>
  </si>
  <si>
    <t>KimY_1999-page1.pdf</t>
  </si>
  <si>
    <t>Danny Kwak</t>
  </si>
  <si>
    <t>Oxidation Kinetics of Ferrous Chelates of Dimercaptosuccinate in Aqueous Solution</t>
  </si>
  <si>
    <t>The kinetics of Fe"(DMSA) oxidation with oxygen were studied for the
control of NO in wet scrubber systems. The order of reaction with respect to 02 was found
to be one by varying the [02] from 3 mg/L (93.8 u,M) to 20 mg/L (625 pJvl) and keeping
[Fel!] in excess. The order ofreaction with respect to Fe" was found to be one by varying
[Fe11] from 2.5 mM to 5 mM. The rate constant, k, was 0.03 M"'s"' at 5°C. The temperature
of the reaction was varied from 5-20°C to determine the apparent activation energy. All
experiments were carried out at pH = 5. The results show that the oxidation of Fe (DMSA)
has an apparent activation energy = 52 kJ/mol. The implications for the design of wet
scrubber systems are discussed.</t>
  </si>
  <si>
    <t>KlirisJ_1999-page1.pdf</t>
  </si>
  <si>
    <t>Sedimentation Due to Historic and Current Construction on Strawberry Creek</t>
  </si>
  <si>
    <t>Exposed soils associated with construction sites are highly prone to erosion necessitating the use of preventive measures to reduce soil loss during storms. The effectiveness of these measures is not well documented. Urban creeks like Strawberry Creek on the University of California, Berkeley campus wind up as the recipient of much of that sediment. This study gauges the effectiveness of erosion prevention at the many construction sites on the UCB campus. A follow up was conducted from a previous study of sedimentation in the creek to determine the lingering effects of construction sedimentation. In addition, the turbidity of the creek during rainfall was compared with a baseline to determine if current construction projects were adequately preventing soil erosion. The turbidity study found that the Haas Pavilion construction had a minimal effect on the turbidity of the creek during rainfall. The pebble count revealed that many of the sites correlated with previous studies but a closer look at the current data suggest that a contribution from the Haas site exist. The significance of the observed effects is unknown and is suggested for future studies.</t>
  </si>
  <si>
    <t>KwongA_1999-page1.pdf</t>
  </si>
  <si>
    <t>The Impact of Vegetation on Psychological Health</t>
  </si>
  <si>
    <t>People are increasingly acknowledging the value of nature for improving psychological health. This project illustrated how the level of vegetation in outdoor spaces affected people’s perceptions of aspects of their short-term psychological health on the U.C. Berkeley campus. This was tested using a survey study at three sites on campus which varied in degree of vegetation (~0%, 50%, and 100%). The four indices used to measure psychological health were personal comfort, social bonding, self-esteem, and mental stimulation. This study also determined how the impact of vegetation on psychological health is related to gender (a person’s biological identity as male or female) and gender identity (one’s self-perceived degree of masculinity or femininity). Furthermore, the project investigated the effect of different sources of self-esteem (ranging from completely internal to completely external) on self-esteem, one of the indices used to measure psychological health. The variation of the impact of sources of self-esteem was analyzed according to differences in gender and gender identity. Results showed that vegetation improves people’s temporary psychological state in an outdoor space. This study also found that women reacted more strongly than men to this effect and that there were greater correlations between gender identity than gender with the four indices used to measure psychological health.</t>
  </si>
  <si>
    <t>LaljiZ_1999-page1.pdf</t>
  </si>
  <si>
    <t>Lead Abatement Policy in the City of Berkeley</t>
  </si>
  <si>
    <t>Despite regulations reducing allowable concentrations of lead in paint, lead poisoning resulting from the inhalation or ingestion of lead-based paint particles persists as a major environmental hazard. The only regulations which aim to directly protect the Berkeley public from improper lead-paint abatement activities were set by the California Department of Health Services, and this department does not actively enforce these regulations in the city of Berkeley. The objective of this report is to assess the city of Berkeley’s need to oversee and enforce lead-based paint removal regulations through the implementation of a lead abatement plan. To determine the potential for lead poisoning from paint in the city of Berkeley, toxicological effects of lead, housing-stock statistics and current city policies were taken into account. In Berkeley, 98% of the housing units are likely to contain paint with levels of lead that pose a threat of lead poisoning to human health. Lead poisoning is an environmental illness which is preventable, since the causes of lead poisoning are well-understood as are the means of eliminating them. Taking into account the extreme physiological impacts of lead poisoning, along with the high proportion of high-risk housing stock, formal enforcement procedures for lead paint abatement would greatly protect the health of the people who reside in Berkeley.</t>
  </si>
  <si>
    <t>LearM_1999-page1.pdf</t>
  </si>
  <si>
    <t>David Levitan</t>
  </si>
  <si>
    <t>Trends in Lead Poisoning and Lead Source Exposure in Hispanic Children in California</t>
  </si>
  <si>
    <t>A retrospective cohort study was completed analyzing the differences in blood lead levels (BLLs) among Hispanic children based on (1) residence time in the US and (2) source of lead exposure. The study was conducted using data from the RASSCLE database maintained by the Childhood Lead Poisoning Prevention Branch (CLPPB) of the California Department of Health Services. Hispanic children between the ages of one and five that met case criteria of lead poisoning for the state of California were analyzed to determine any trends in lead poisoning in California’s Hispanic child population. Results showed residence time in the US to be a small but significant determinant towards the elevation of BLLs, increasing mean BLLs by just over 1 microgram/ deciliter (ug/dl). Home remedy exposure was found to be the most important single determinant of childhood lead poisoning in Hispanic children, and varied greatly according to residence time in the US. In addition, an analysis was conducted correlating socioeconomic data from the 1990 US Census with all children in the RASSCLE database that had been tested for lead poisoning, stratified by case status, zip code, and ethnicity. Socioeconomic variables such as child poverty and median household income were found to be closely correlated with increases in childhood lead poisoning. Overall, identifying traditional Mexican home remedies as a serious hazard for lead poisoning and phasing out residential housing with paint made before 1978 may help reduce the prevalence of lead poisoning in Hispanic children in California.</t>
  </si>
  <si>
    <t>LevitanD_1999-page1.pdf</t>
  </si>
  <si>
    <t>Lotina S. Lin</t>
  </si>
  <si>
    <t>Effect of pH on Chlorine Residual Decay in Chloramine-Treated Water</t>
  </si>
  <si>
    <t>Traditionally, our drinking water has been disinfected with chlorine to protect us against water-borne diseases. However, chlorine is not an ideal disinfectant because it forms harmful disinfection by-products and has low residual stability. As a result, many water companies are switching to using chloramine, a common alternative. Chloramine, a combination of chlorine and ammonia, does not have the problems that chlorine does, but its germicidal potency is also much weaker than chlorine. Utilities, therefore, must run tests and experiments, before a conversion, to find how best to implement the process into their existing operations. The San Francisco Water Department is currently undergoing this process. One component of the chloramination system that they are interested in studying is how variations in pH can affect the stability of their chloramine residuals. This was examined by treating their chlorinated samples with ammonia and then observing them under different pH conditions. It was found that hydrogen ions indeed do play a role in determining the decay rates of their chloramine residuals. In fact, the optimum pH range for the implementation of their chloramination system was found to be between 8.5 and 9.0. Further research, however, in the form of pilot tests, are needed for a more thorough and beneficial study.</t>
  </si>
  <si>
    <t>LinLS_1999-page1.pdf</t>
  </si>
  <si>
    <t>Wyslande G. Louis</t>
  </si>
  <si>
    <t>Looking at Agroecology as a Means to Revive Haiti’s Agricultural Condition</t>
  </si>
  <si>
    <t>Haiti, like many of the Caribbean islands, suffers greatly from famine and environmental degradation. The existing agricultural system has failed to provide enough food for its population. The present condition demands immediate attention. This paper analyzes the potential of Agroecology to remedy some of the country’s agricultural and ecological conditions by studying the application of its techniques in other countries. This study and drawing on interviews with persons who are familiar with the country’s situation suggests that agroecology, when used properly, can indeed relieve Haiti’s environmental problems. With its implementation the people may for once, with an increase in agricultural production and reduction of land degradation, enjoy the benefits of a thriving economy and environment.</t>
  </si>
  <si>
    <t>LouisWG_1999-page1.pdf</t>
  </si>
  <si>
    <t>An Assessment of Environmental Education Programs in the San Francisco Bay Area through Teacher and Student Perspectives by</t>
  </si>
  <si>
    <t>Environmental education has become a key tool for distributing information and promoting awareness to the public regarding environmental issues. This study evaluates the success of environmental education programs in the S.F. Bay Area by analyzing teacher and student ratings of current programs. I defined program success as positive change in student knowledge of the environment, student attitude towards the environment, and student behavior towards the environment. Student surveys and teacher interviews were used to assess program success. The study also compared teacher and student response to identify similarities and differences in attitudes and draw conclusions regarding the future success of programs. Surveys and interviews provided useful information on the status of current programs and on how to improve these programs to increase success. Overall, teachers felt there were great changes in student knowledge and attitude yet did not feel there were notable changes in student behavior. In comparison, student response indicated changes in behavior as well as knowledge and attitude. Private school students responded more favorably to environmental programs than public school students on all three levels. Thus, this study determined the effectiveness of current environmental education programs by analyzing and comparing teacher and student response to find that current EEP are successful in terms of causing changes in students, yet need improvements to ensure future success.</t>
  </si>
  <si>
    <t>MadhavanH_1999-page1.pdf</t>
  </si>
  <si>
    <t>Brian McFadden</t>
  </si>
  <si>
    <t>The Role of Parks in Environmental Education: A Study of the San Francisco Presidio's Outdoor Educational Program</t>
  </si>
  <si>
    <t>This study identifies and examines the essential elements of effective public, outdoor, environmental education programs in parks. This project was designed to develop a set of recommendations, that will enable the San Francisco Presidio to establish a distinct set of guidelines and parameters to be used in the development of future programs. As an urban National Park, the San Francisco Presidio offers a unique opportunity for effective public education about nature and the environment. Surveys distributed to visitors of the Presidio and three East Bay Regional Parks (Tilden, Crabcove and Sunol) served as an integral part of a local study to determine interest in environmentally related topics. They also served to determine how the opinions of program participants at the Presidio differ from those of parks that are more traditional. Program participants throughout the parks expressed through this survey an interest in learning about nature, sustainability and environmental issues. Relative to East Bay Park visitors, Presidio visitors found cultural history to be a more important aspect of the educational programs, but they were, overall, less confident that adequate focus was being given to other subjects, such as animals, trees, plants and environmental issues. The findings of this study suggest that if the appropriate steps are taken, under the proper planning and management, the San Francisco Presidio could serve as a model of sustainability and environmental education for other National Parks.</t>
  </si>
  <si>
    <t>McFaddenB_1999-page1.pdf</t>
  </si>
  <si>
    <t>The Chemical Composition of Soda Lake in the Carrizo Plains Natural Area and the Precipitation of Salts at Low Natural Temperatures</t>
  </si>
  <si>
    <t>Soda Lake is a terminal hypersaline lake in the Carrizo Plains Natural Area in the southern San Joaquin Valley. Salinity is approximately 90 ppt. The ionic composition of the lake consists of high cation concentrations of Na+ (36,180-53,220 ppm) and Mg+2 (5512- 7132 ppm) and high anion concentrations of Cl- (65,000 ppm) and SO4-2 (24,000 ppm). Sampling of the lake water was taken on three dates in the months of November and December in 1998 with each date approximately 18 days apart. Precipitation and crystallization of salts on the lake bottom were observed on 5Dec and 23Dec when natural temperatures fell below 6.1°C and 4.5 °C respectively. Laboratory tests show a precipitation threshold that varies with both temperature and salinity. The temperature threshold where precipitation occurs has a linear and positive correlation with salinity (correlation = 0.968) according to the equation: Precipitation Temperature Threshold (°C) = 0.1907 (salinity in ppt) – 8.893. Molarity ratio comparisons based on the ion concentrations of the lake water samples show that the crystal formation observed on 5Dec and 23Dec was composed mainly of the compound Na2SO4, a constituent of the minerals thenardite and mirabilite. Because Na2SO4 precipitates from solution as a function of the temperature and salinity of the lake water, the seasonal occurrence of salt crystallization over the lake bottom can be predicted using historical records of rainfall and average temperature.</t>
  </si>
  <si>
    <t>PengJH_1999-page1.pdf</t>
  </si>
  <si>
    <t>Ilana Stout</t>
  </si>
  <si>
    <t>Factors Affecting the Success of Amphibian Recovery Programs</t>
  </si>
  <si>
    <t>Data on amphibian recovery programs are limited and have yet to be compiled. This study compiles information on reintroduction and recolonization programs with emphasis on factors that affect differing lifestages at reintroduction. A survey of protocols in projects was conducted to determine factors correlated with reestablishment of populations. Literature review and interviews with persons involved in recovery projects suggest that programs that promote local recolonization have higher success rates than reintroduction programs and that non-native predators are a major problem for both recolonizations and the early lifestages in reintroduction. I examined the impact of an introduced species of crayfish(Pacifasticus lennisculus)on Pseudacris regilla, an anuran native to creeks in the east San Francisco Bay region. Predation experiments exposed P. regilla eggs and two sizes of larvae to P.lenniculus. Crayfish preyed upon recent hatchlings more than eggs or fully-grown larvae. Predator avoidance in large(1-2 month old) larvae was evident in changes in habitat use. Larger larvae spent more time on the walls of artificial pool habitats than small larvae. Larger larvae also showed higher concentrations along the walls following introduction of a crayfish. Small(&lt;1 month old) larvae remained on the floor of pools following crayfish introduction. Implications of predator avoidance behaviors in lifestage for reintroduction are discussed.</t>
  </si>
  <si>
    <t>StoutI_1999-page1.pdf</t>
  </si>
  <si>
    <t>Irene Tang</t>
  </si>
  <si>
    <t>The Ecological Impacts of the Chinese Mitten Crab, Eriocheir sinensis, an Invasive Species in the San Francisco Bay Area</t>
  </si>
  <si>
    <t>The Chinese mitten crab, Eriocheir sinensis, is a recent invader of San Francisco Bay and offers an opportunity to study the process of invasion early in its introduction. This paper assesses the habitat preference of the adult and juvenile Chinese mitten crab and study its impacts on the native flora and fauna in small streams. The crab’s impact on the Signal crayfish, Pacifastacus leniusculus, reveals that there may be some competition for resources since they share the same habitat. No adult crabs were found north of site 1 at the Boyes Boulevard cross street, approximately 15 km upstream of Sonoma Creek. Similarly, only one crayfish was found downstream of this site. This may indicate a competition of resources between the two species and competitive displacement of crayfish. The substrate size preference test conducted on juvenile crabs showed a marginal preference for rocks less than 2 cm long and packed closely together. These preferences may indicate that the juveniles may be able to find more substantial shelter with smaller particle sizes. Furthermore, the juveniles preferred deeper water depths of at least 21-30 mm.</t>
  </si>
  <si>
    <t>TangI_1999-page1.pdf</t>
  </si>
  <si>
    <t>Hsiang S. Wang</t>
  </si>
  <si>
    <t>Public Transportation Services Between Marin County and
San Francisco</t>
  </si>
  <si>
    <t>The Golden Gate Bridge and the Highway 101 corridor in the North Bay are
two of the most highly congested spots in the San Francisco Bay Area. During commute
hours, the number of vehicles on Highway 101 is well above the maximum capacity of the
roadway. Based on commuter surveys and transit plan reviews, this study concludes that in
order to solve the congestion problem on the Golden Gate Bridge and Highway 101, there
should be a high level of cooperation between transit agencies and city planners. Also, each
transit alternatives should be studied extensively until a long-term, cost-effective alternative is
found.</t>
  </si>
  <si>
    <t>WangHS_1999-page1.pdf</t>
  </si>
  <si>
    <t>Pei-hsuan Wu</t>
  </si>
  <si>
    <t>Volunteers at U.C. Berkeley: Motivations and Characteristics</t>
  </si>
  <si>
    <t>In search of more volunteers in this time of social and environmental problems,
this study examines characteristics and motivations of volunteers at three volunteer
organizations and an annual service event. The results raise five major points: 1) that women
outnumber men, and more research should be given to attracting men; 2) early exposure to
volunteerism correlates strongly with a future in volunteerism; 3) motivations are linked with
neither religion nor income; 4) the long-term volunteers surveyed in this study rate their
reasons for volunteering more highly than the volunteers from a short-term volunteering
activity; and 5) positions that attract volunteers help volunteers to broaden their horizons and
have a recognized positive social value. This project is limited by the small sample and
response rate, but the data are offered as the outcome of a small pilot study that should be
continued to form stronger statements about volunteerism.</t>
  </si>
  <si>
    <t>WuP_1999-page1.pdf</t>
  </si>
  <si>
    <t>Dietary Quality in Urban Versus Wildland Deer Populations</t>
  </si>
  <si>
    <t>Columbian black-tailed deer (Odocoileus hemionus columbianus) have proliferated in the urban residential neighborhoods of El Cerrito hills due to the abundant food available and the absence of predators. Their growing numbers, however, are threatening human health and safety. This study assesses the dietary quality of these urban deer by comparing their fecal nitrogen with that of deer in natural areas. The study did not find any differences in forage quality between the deer in the two areas. The average percent nitrogen difference in the fecal samples of the two areas was always less than 0.2%, which is lower than found in previous studies conducted by Gogan and Barrett (1995) and Massey et al. (1994). Low nitrogen content may be related to the difference in precipitation each area received during the study year. Possible solutions of controlling the deer population by means of limiting preferential food and nitrogen-rich food to the deer are also discussed.</t>
  </si>
  <si>
    <t>AllenL_1998-page1.pdf</t>
  </si>
  <si>
    <t>Maxwell Chau</t>
  </si>
  <si>
    <t>The Effects of Slope and Cover on Erosion in Strawberry Creek</t>
  </si>
  <si>
    <t>Two factors which affect erosion, slope and ground cover, were measured in Strawberry Canyon, a riparian area which is located less than one mile east of the UC Berkeley main campus. The ground cover types estimated were moss, litter, rocks, large branches, and vegetation. Also estimated were cover at a 30 cm height and canopy cover. There was little noticeable relationship between slope or cover with respect to erosion in this study. It appears that there may more factors affecting erosion than slope and vegetation at the study sites.</t>
  </si>
  <si>
    <t>AzerbegiR_1998-page1.pdf</t>
  </si>
  <si>
    <t>Yarnie Chen</t>
  </si>
  <si>
    <t>The Invasion of the Brown Tree Snake (Boiga irregularis) on Guam: The Use of Barriers to Control Population Expansion</t>
  </si>
  <si>
    <t>In this technological era of frequent international travel, human-assisted
migrations of invasive species are increasing and can sometimes create biological catastrophes
as opportunities for such unwanted guests expand. Combating these proliferating invasions of
exotic species can be costly and arduous, but it is not impossible. The invasion of the brown
tree snake, Boiga irregularis, on Guam exemplifies the range of problems caused by a single
invading species. The snake has decimated Guam's avifauna population where nine of the
twelve native forest birds became extinct, as well as created numerous economic problems and
adverse ecological impacts. Efforts to control and manage B. irregularis have slowly
moderated the problem, but the brown tree snake is still a major threat to Guam's ecosystems
and particularly to nearby islands where it is not yet present. Complete eradication of B.
irregularis has been considered infeasible and therefore the alternative would be control
methods to maintain the snake population on Guam and prevent further introductions to other
islands. In particular, construction of barriers may keep snakes out of cargo areas and airports
where dispersal to other islands are likely to occur. Testing the adequacy of two polyvinyl
barriers of different heights (1.2 m and 1.5 m) and evaluating population trends of the B.
irregularis are analyzed in this paper to evaluate the effectiveness of these barriers. With the
1.2 m barrier, only snakes in the largest size class were able to climb over the barrier. Snake
collections had shown that all the large snakes were males, suggesting that if the smaller female
snakes can be excluded, reproduction and establishment of new breeding populations can be
inhibited. The 1.5 m barrier proved to be 100 percent effective in preventing snakes from all
size classes to climb over. The snake may never be eradicated on Guam, but through
management techniques such as the barrier testing done in this study, its disastrous effects
could be avoided on other islands.</t>
  </si>
  <si>
    <t>BeizaieR_1998-page1.pdf</t>
  </si>
  <si>
    <t>Tammy Chew</t>
  </si>
  <si>
    <t>Riffles and Pools: Should Resource Managers Be Sampling from Both Habitat Types in Rapid Bioassessments?</t>
  </si>
  <si>
    <t>The goal of bioassessment is to determine the ecological integrity of a water body from sampling of the biota. Using past studies that compared the macroinvertebrate fauna of riffles and pools I intended to determine whether assessments of ecological health based on limited sampling (to riffles only) as suggested by the U.S. Environmental Protection Agency (Plafkin 1989) provides an accurate assessment of biological integrity. A survey of the literature on riffle pool comparisons was done to determine differences between riffle and pool fauna. Where species lists are provided, I computed the following bioassessment indices: family richness, Family Biotic Index (FBI), and %EPT for riffle-only, pool-only and a composite of riffle and pool data. The analysis performed indicates that richness increases with more habitats sampled. There was a significant difference between FBI and %EPT calculated from riffle samples versus pool samples. I conclude from my survey and subsequent analysis of data from past studies that riffle-only sampling causes loss of important information about water quality because riffle communities are distinct from pool communities and therefore is differently sensitive to water quality changes such as sedimentation.</t>
  </si>
  <si>
    <t>BernabeKG_1998-page1.pdf</t>
  </si>
  <si>
    <t>Ming-chu Chiu</t>
  </si>
  <si>
    <t>The Effects of Planting Native Species Into Non-native Eucalyptus Soil</t>
  </si>
  <si>
    <t>BrownE_1998-page1.pdf</t>
  </si>
  <si>
    <t>Water Laws in California and Ecuador</t>
  </si>
  <si>
    <t>BucknellT_1998-page1.pdf</t>
  </si>
  <si>
    <t>Nitrate in runoff from upland areas toward streams can be intercepted by vegetation in riparian zones, but the variability in uptake between species is poorly understood. I studied the effectiveness of various species in nitrate uptake in a simulated riparian zone, using a controlled greenhouse mesocosm experiment. Known concentrations of nitrate were applied to riparian channels which contained plants of approximately equal age in coarsely-grained sand of low organic content. Nitrate was extracted using KCl to measure nitrate uptake amounts over time for Populus (cottonwood), Alnus (alder), Salix (willow), and Arundo (giant reed) spp. Root mass and length were measured to standardize nitrate uptake levels for variations in plant size. I expected interception to be highest in channels containing all four species. This would indicate that maintenance of biologically diverse riparian zones is essential to the removal of excess nitrate from surface runoff and groundwater. I examined invasive giant reed for the potential threat it poses to native vegetation by conducting physiological tests, including stomatal conductance and water potential. I expected nitrate uptake levels of giant reed to be comparable to those of native species, thereby reducing excess nitrate flow into water. Related research, however, suggests that giant reed threatens biodiversity of riparian ecosystems. (Since this is an ongoing project, the full paper will appear in the 1999 Environmental Science 196 volume.)</t>
  </si>
  <si>
    <t>CaffeyS_1998-page1.pdf</t>
  </si>
  <si>
    <t>Catalytic Chemical Oxidation of Hazardous Waste</t>
  </si>
  <si>
    <t>As industry and technology have increased, so has the generation of various hazardous wastes. Studies of various treatment alternatives have become increasingly necessary in order to deal with the accumulation of hazardous waste. Catalytic chemical oxidation, an example of a thermal treatment, was examined by this study. Past studies of oxidation processes have focused on individual chemicals at smaller quantities and higher temperatures. Although these past studies have been done, not much is known about when various chemicals are combined and when water content of wastewater is increased in order to use steam as a mechanism for raising oxidation temperatures. Therefore this study focused on the mixture and steam effect of the treatment of the catalytic chemical oxidation system. Results showed complete oxidation of observed mixtures of chemicals. This indicated the oxidation system is an efficient method of treating various hazardous wastes. In addition, raising water content lead to steam, which raised oxidation temperatures therefore increasing the efficiency of the system. However, in this study, limitations of raising water content were also observed, as water can also serve to quench the oxidation system.</t>
  </si>
  <si>
    <t>ChamnessCJ_1998-page1.pdf</t>
  </si>
  <si>
    <t>Rowan Fennell</t>
  </si>
  <si>
    <t>Germination Rates of Genista monspessulana (French Broom) with Nitrogen Fertilization and Broadcast Watering Following Fire</t>
  </si>
  <si>
    <t>Genista monspessulana, a woody perennial leguminous species native to the Mediterranean region of Europe, has become widely distributed throughout California. This species, along with others similar to it, has the potential to become a serious environmental probem. Genista monspessulana, is capable of invading areas of disturbance, because of its spread and promotion of germination, by management activities such as road maintenence, roadside slashing and burning. Genista monspessulana exhibits many properties which make it a good invader, the most important is its prolific seed production. Areas infested with French Broom stands have seed densities up to 10,000 seeds/m2. This non-native species threatens native biodiversity and is a possible fire hazard. Control methods currently used are aimed at removing the existing plant biomass by manual and mechanical means. G. monspessulana is thriving on Mt. Tamalpais because there are no natural enemies to control it, and there is a lot of disturbance. The prescribed burns of French Broom are the best management techniques used today. It is beneficial in exhausting the seed bank and preserving the ecosystem biodiversity. The use of techniques aimed at increasing the germination rates are the goal of my research. Is there a management technique which uses prescribed burns to induce germination, therefore exhausting the seedbank. What affects will fertilization and broadcast watering have on germination rates?</t>
  </si>
  <si>
    <t>ChangM_1998-page1.pdf</t>
  </si>
  <si>
    <t>The Role of Micronutrients in Bladder Cancer Remission: Vitamin A, C, E, and Folate</t>
  </si>
  <si>
    <t>How does the food we ingest affect health? What role does nutrition play in health maintenance? Do micronutrients really combat disease or prevent cancer? By studying the biochemistry of vitamins A, C, E, and folate and by reviewing previous nutrition studies, I have addressed these questions as they relate to the onset and duration of bladder cancer remission. With this knowledge I have proposed a therapeutic intervention trial (n=600; 300 men and 300 women); I propose to measure dietary intake of foods rich in the named micronutrients using an interview administered food frequency questionnaire and then supplement individuals with varying concentrations of oral micronutrients. Supplementation will vary depending upon the group in which the individual is randomized. My single-blinded study investigates the effects of megadose supplementation (n=100 men and 100 women), RDA supplementation (n=100 men and 100 women), and no supplementation (n=100 men and 100 women). All eligible individuals are diagnosed with stage II bladder cancer, are within the ages of 25 and 35, have normal glucose metabolism, are free of other diseases, and do not take hormonal replacements. Based on my background research, I expect the highest rate of and longest remission to be a result of megadose supplementation, followed by the RDA supplementation and lastly by no supplementation. Additionally, I expect the greatest rate of remission to be at the onset of the study, tapering off as time passes within the ten year period. Practices of nutritional balance have been documented by previously conducted studies to provide health benefits in terms of the prevention and treatment of disease. The degree of benefit varies between men and women, therefore my study population is divided by sex. With this background and with the results of my intervention clinical trial as evidence, I would like to propose the use of micronutrients in conjunction with conventional medicine to treat diseases such as cancer.</t>
  </si>
  <si>
    <t>ChauM_1998-page1.pdf</t>
  </si>
  <si>
    <t>Justin Fong</t>
  </si>
  <si>
    <t>Xiaolongdi Dam: A Study of World Bank Environmental Management in China</t>
  </si>
  <si>
    <t>ChenY_1998-page1.pdf</t>
  </si>
  <si>
    <t>Gregory Frankel</t>
  </si>
  <si>
    <t>Preliminary Studies Examining the Potential of Pseudomonas fluorescens as a Biological Fertilizer or Control Agent: Inoculation and Application</t>
  </si>
  <si>
    <t>ChewT_1998-page1.pdf</t>
  </si>
  <si>
    <t>A comparative analysis of community participation in EPA- versus community-initiated brownfields redevelopment projects was conducted by researching three San Francisco Bay Area case studies, namely the EPA Brownfields Initiative pilot projects in Richmond and San Francisco and a project initiated by a community organization in San Francisco’s Mission District. Data was collected through interviews and document review. Using theoretical and practitioner frameworks for public participation, the mechanisms implemented to solicit participation were evaluated within the context of the redevelopment decisionmaking process. My findings reflect a need for improved resource allocation and exchange between government agencies and community groups in order to better coordinate the different types of participatory mechanisms employed by government and community groups. Such mechanism complementarity would maximize substantive participation by capitalizing on both community and government contributions in order to achieve a redevelopment project conceptualized and implemented in partnership with the affected constituency.</t>
  </si>
  <si>
    <t>ChiuM_1998-page1.pdf</t>
  </si>
  <si>
    <t>Laurie Gold</t>
  </si>
  <si>
    <t>Native Fish and Amphibian Introductions to Strawberry Creek</t>
  </si>
  <si>
    <t>Like many urban streams, Strawberry Creek experienced a major loss of native fish and amphibian species due to pollution, sedimentation, culverting, and other deleterious effects of human encroachment onto riparian areas. The purpose of this project was to ascertain the species of fish and amphibians that were historically found in the creek, and determine if these species could reestablish populations in Strawberry Creek in its present condition. Findings at prehistoric archaeological sites dating from 2500 years BP and historical fish census records dating from 1898 were analyzed in order to determine which species were native to Strawberry Creek. Habitat parameters of Strawberry Creek were also analyzed, including flow, depth, canopy cover, substrate, and vegetation to ascertain its present condition and capacity to provide suitable habitat to native species. Of the thirteen species of fish that were likely to be native to the creek, the most likely candidate for successful introduction was the prickly sculpin (Cottus asper). Several species of amphibians were also investigated, and the most likely to establish populations were the Pacific tree frog (Hyla regilla), the western toad (Bufo boreas), and the California newt (Taricha torosa). These four species are all found in other modified urban areas, which suggests they are suited to Strawberry Creek in its present condition. In March and May 1998, Pacific tree frogs and California newts were introduced as egg masses and larva to the creek. Monitoring of these populations is recommended to continue over the next ten years.</t>
  </si>
  <si>
    <t>ClarkAP_1998-page1.pdf</t>
  </si>
  <si>
    <t>Emily R. Goswami</t>
  </si>
  <si>
    <t>EVALUATION OF VARIABLES USED IN NATIONAL TRITIUM LABELING FACILITY HEALTH RISK ASSESSMENT</t>
  </si>
  <si>
    <t>The National Tritium Labeling Facility (NTLF) continuously emits radioactive tritium into the surrounding environment. Local residents are very concerned about the possibility of development of cancer among the population from excessive radiation. The NTLF has conducted a health risk assessment based on population and individual risk. The assessment concludes that the risks associated with the tritium emissions are negligible. Since the public is skeptical about the validity of the methods used, I have conducted an assessment of the maximally exposed individual. The maximally exposed individual risk is associated with the combination of several factors which increase the risk. These factors include increased exposure to employees at the laboratory, increased concentration in the level of tritium in the air, decreased individual body weight, exposure to contaminated rainwater, exposure to an accident at the lab, and living near the lab. I discovered that using high, previously recorded, concentration of tritium made the largest difference in the relative risk. A large accidental release also made a significant difference in relative risk. However, the overall, absolute risks are so tiny that the changes in risks are negligible. It is highly unlikely that even the maximally exposed individual will develop cancer as a result of radiation from the NTLF.</t>
  </si>
  <si>
    <t>ClausB_1998-page1.pdf</t>
  </si>
  <si>
    <t>Jason Ho</t>
  </si>
  <si>
    <t>Conductivity, pH, and Turbidity as Effective Indicators of Urbanization and Water Monitoring Parameters</t>
  </si>
  <si>
    <t>Water quality of urban creeks is heavily dictated by the amount of pollutants entering into them. As a result, effective methods of monitoring the presence of pollutants, how urbanization influences these input, and a comprehensive determination of stream quality needs to be developed. This study investigated whether increasing levels of urbanization correlated with increasing conductivity, turbidity, and decreasing pH along Strawberry and Wildcat Creeks. Correlation between urbanization and the measured parameters was not found, possibly because the limited number of watersheds used gave data that only reflected local changes versus broad changes. Readings of pH were stable throughout both creeks. Conductivity and turbidity increased along Wildcat Creek, while along Strawberry Creek conductivity remained stable and turbidity increased along the upper stretch before decreasing. This study also evaluated whether the measurement of these parameters was an effective approach to indicating the overall quality of the creeks. It was determined that monitoring these parameters alone was insufficient in providing an overall picture of stream quality because of the effects of geological and local factors. It was also the conclusion that incorporating invertebrate study along with the tested parameters of this research can provide a more accurate picture of stream quality.</t>
  </si>
  <si>
    <t>EmotoJ_1998-page1.pdf</t>
  </si>
  <si>
    <t>Judith Kim</t>
  </si>
  <si>
    <t>FennellR_1998-page1.pdf</t>
  </si>
  <si>
    <t>Angel Wing-Chung Lai</t>
  </si>
  <si>
    <t>Transmission of Cultural Memory of Medicinal Foods in Chinese Community in Urban California</t>
  </si>
  <si>
    <t>Food remedy was traditionally believed to be the first line of defense when Chinese confronted minor health problems. Such health practice had been very popular because these foods not only relieve patient’s sickness, but can also provide physical comfort. As Chinese migration had increased in the US in past decades, people’s health beliefs had been changed along with their new lifestyles. This project was designed to investigate the pattern of change of such beliefs within and across different age groups and to describe observed patterns. This study targeted three age groups: youth (ages 15-25), middle-aged (ages 35-56), and elderly (ages 60-85). Each group was asked about their knowledge of and past experiences with food remedy by either interview (elderly and middle-aged) or questionnaire (youth). The study focused on three areas of interest: 1) the belief and use of food remedy among Chinese Americans evaluated, 2) their acquisition of knowledge of food remedy and 3) the role of the elderly and middle-aged groups in transmission of such knowledge. The results showed that the middle-aged and the elderly had the most comparable health beliefs and food habits than any other combinations of age groups. The reason was that elderly preserved and treasured more of cultural beliefs than any other age groups, and were more willing to pass the knowledge on to the next generation. Therefore the gap between elderly and middle-aged was smaller than that between the middle-age and youth. The youth, however, might be more susceptible to change and were easily influenced by the outside culture because of their ages; therefore the knowledge that they actually obtained from family might be limited.</t>
  </si>
  <si>
    <t>FiferM_1998-page1.pdf</t>
  </si>
  <si>
    <t>Affects of Organic Loading Rates on Biogas Yields from Anaerobic Digestion</t>
  </si>
  <si>
    <t>FongJ_1998-page1.pdf</t>
  </si>
  <si>
    <t>Sherry Lee</t>
  </si>
  <si>
    <t>Bioremediation of Methyl Isobutyl Ketone</t>
  </si>
  <si>
    <t>Pollution and contamination of our environment are great concerns to people and to organisms that depend on a clean habitat to survive. Bioremediation is a new attempt to treat pollution, whether the pollution is in the water or in the ground. Based on the 1994 Toxic Inventory Release database, produced by EPA, approximately 2.6 billion pounds of methyl ethyl ketone (MEK) and 78 million pounds of methyl isobutyl ketone (MIBK) were released over the years of 1992-1994 (EPA 1994a). It is important to understand how a chemical degrades. This research focused on the bioremediation of MIBK since work has been done on MEK. The first batch of MIBK degrading culture was derived from MEK degrading culture. By measuring the rate of oxygen uptake when microorganisms are consuming a carbon source, the oxidation rate was found. Respirometry was used to determine the oxidation rate of MIBK. The MIBK degrading culture followed the characteristics of the Michaelis-Menten equation. The Michaelis-Menten equation is V=(Vmax*S)/ Km + S where V is the rate of reaction, Vmax is the maximum reaction rate, S is the substrate concentration and Km is the half-saturation constant. Based on the curve obtained from respirometry analysis, the Vmax is 25.6 micromoles/Liter per minute per biomass while the Km is 12 micromoles/Liter MIBK. Even though the Vmax and Km has been determined, more work is needed to confirm results.</t>
  </si>
  <si>
    <t>FrankelG_1998-page1.pdf</t>
  </si>
  <si>
    <t>The Effect of Leaf Leachate on the Survival, Growth and Activity of the Pacific Tree Frog (Hyla regilla)</t>
  </si>
  <si>
    <t>The effect of leaf leachates on the survival, growth and activity of Pacific tree frog (Hyla regilla) tadpoles was examined in a controlled laboratory setting. Leachates were prepared from fresh leaves of southern blue gum (Eucalyptus globulus), California bay (Umbellularia californica), coast redwood (Sequoia sempervirens) and coast live oak (Quercus agrifolia). Tadpoles were exposed to various concentrations of E. globulus leachate for a 10 day period and a mortality threshold for leachate concentration was found at the 1.9% leachate level. Mortality increased significantly in proportion to leachate concentration. Exposure to E. globulus leachate significantly reduced tadpole growth at a leachate concentration of 3.8%. All leachates caused similar levels of mortality and significantly decreased tadpole activity. Results indicate that leaf leachate can adversely impact water quality for tadpoles, as it contains high levels of phenolic compounds which may be directly toxic or induce hypoxia. Further research should be directed toward field studies to determine if polyphenol levels in nature can reach levels high enough to impact tadpoles and other freshwater organisms.</t>
  </si>
  <si>
    <t>GarzonC_1998-page1.pdf</t>
  </si>
  <si>
    <t>Bike-to-Shuttle Intermodal Transportation as a Means of Commute</t>
  </si>
  <si>
    <t>Transportation choices have a significant impact on air quality. Motor vehicle trips of short duration have a proportionally higher emission rate of pollutants. By getting individuals out of single occupancy vehicles and onto bicycles and shuttles for short commute trips, a reduction in pollution emissions can be realized. Bike-to-shuttle intermodal transportation is one solution for replacing single occupancy vehicles on our roadways. Through my research, I sought to determine what constitutes a successful bike-to-shuttle intermodal transportation project, and how such a project can be best adapted for the Lawrence Berkeley National Laboratory in order to accommodate its employees' specific needs. To do this, I conducted a survey of Berkeley Lab employees to determine their specific transportation decisions and concerns. In addition, I evaluated other bicycle intermodal transportation projects to discover what constitutes a successful project. The results show that implementing an improved bicycle intermodal project for Berkeley Lab employees may be a challenge because of specific conditions such as distance and geography associated with the Lab. In addition, employees are satisfied with their current transportation choices (77% of those surveyed are single occupancy drivers) and are predominantly unwilling to forgo their current convenient mode of transportation for a mode that may require more time and inconvenience. For the Berkeley Laboratory to attract and retain bicycle commuters, disincentives for driving need to be coupled with incentives for bicycling and shuttling.</t>
  </si>
  <si>
    <t>GoldL_1998-page1.pdf</t>
  </si>
  <si>
    <t>Supermarket Composting: Policy and Implementation</t>
  </si>
  <si>
    <t>My research focused on how supermarkets can contribute to reducing solid waste in order to help individual cities attain the 50 percent source reduction goal by the year 2000. More specifically, I looked at current disposal practices of food waste by supermarkets to see if they have considered composting as a viable option. I conducted three case studies: Vons (currently composts its food waste), Safeway (recently began a composting program that mirrors Vons), and Lucky (disposes of its food waste). I obtained data through telephone and personal interviews of different personnel from these companies. I asked them a set of questions in order to understand what caused or impeded the company from adopting a composting program. The interviews and case studies show that these companies primarily began a composting program when a composting facility brings the idea to the company and works with the supermarket to efficiently implement the program. A secondary way of starting a program is to simply follow the pattern of the innovator and copy their methods. For supermarkets that do not compost, the two main hindrances are lack of information and lack of a composting facility that is willing to initiate the process of making the policy.</t>
  </si>
  <si>
    <t>GoswamiER_1998-page1.pdf</t>
  </si>
  <si>
    <t>The Potential Distribution and Abundance of Zebra Mussels in California</t>
  </si>
  <si>
    <t>Since its initial introduction to North America in the 1980s, the zebra mussel (Dreissena polymorpha) has rapidly established in many water bodies east of the Continental Divide, altering native aquatic communities and causing economic damage. To assess the potential for the zebra mussel to invade California, I examined the suitability of water bodies in California to support it. I researched zebra mussel tolerance thresholds for various water quality variables, such as turbidity and discharge, and compared them with California water quality data from governmental agencies to determine locations suitable for colonization and population growth. I then estimated boat traffic at these regions, as boats are the predominant vector for introduction. I found that several water bodies in California, particularly aqueducts, reservoirs, and canals, have suitable habitat characteristics for zebra mussels. My analysis indicates that preventative measures, such as thorough inspections of boats, should be taken to impede introduction of zebra mussels and a plan should be prepared to mitigate impacts and prevent spread should they arrive.</t>
  </si>
  <si>
    <t>HoJ_1998-page1.pdf</t>
  </si>
  <si>
    <t>Nicole Monastersky</t>
  </si>
  <si>
    <t>The Relationship between Lung Cancer and Coal Smoke in China: A Call for Education</t>
  </si>
  <si>
    <t>One of the greatest environmental threats to health in the developing countries of Asia is indoor air pollution. Exposure to indoor air pollution is largely attributed to significant amounts of coal used for cooking and heating in homes. Women, in charge of household chores and cooking, are particularly exposed to magnified levels of coal smoke and have elevated indices of lung cancer. In order to reduce the risk of lung cancer, the local residents must be made aware of the risks associated with the current use of coal for cooking and heating. A number of programs, such as the Chinese National Improved Stove Program, have been promoting the use of improved cookstoves. The effectiveness of disseminating improved cookstoves is measured by how many people are using the new stoves. Individuals are prone to switch to new stoves when variables including cost of product, efficiency, and relative value are deemed worthwhile in terms of reducing threats to health and the environment. Education about long term health risks is vital to the welfare of the Chinese people; the subsequent implementation of improved cookstoves increases when people are educated about their options and about the consequences.</t>
  </si>
  <si>
    <t>KimJ_1998-page1.pdf</t>
  </si>
  <si>
    <t>Donald P. Naugle</t>
  </si>
  <si>
    <t>Title Transfer Compliance Evaluation of Berkeley's Commercial Energy Conservation Ordinance (Ordinance 6176-N.S.)</t>
  </si>
  <si>
    <t>The city of Berkeley in California has adopted the Commercial Energy Conservation Ordinance (CECO), which requires that commercial businesses install energy efficient measures at the time of sale or renovation to meet a minimum energy efficiency level. This study was designed to evaluate CECO compliance with regard to title transfers. The Ordinance is still in its infancy which allowed the entire population to be examined. Title transfer and CECO permit data from January 1994 through December 1997 were analyzed to produce the base compliance ratios. During this period there were 291 title transfer of which 23 % triggered CECO. Compliance for the four year period was near constant, not fluctuating more then 3 % in any year. Levels of compliance for the purposes of this study are defined as: full compliance, partial compliance, or non-compliance. The data shows a full compliance level of 2 %, a partial compliance of 20 %, and a non-compliance of 78 %. The investigation identifies four major problems with CECO causing poor compliance: (1) There is no tracking system or enforcement process following up CECO applications requests. (2) Current CECO informational material and application forms are confusing, and generally unprofessional in their appearance. (3). Distribution of CECO information is inconsistent causing low awareness about the ordinance. (4) Lack of communication between the City, real estate agents and major title companies creates an apathetic sentiment in the realty and title company community and building owners leading to low participation.</t>
  </si>
  <si>
    <t>LaiAWC_1998-page1.pdf</t>
  </si>
  <si>
    <t>John T. Newberg</t>
  </si>
  <si>
    <t>Ion Flotation: Predicting Metal Removal Rates From Surface Tension Measurements</t>
  </si>
  <si>
    <t>In light of strict regulations imposed by the government on the discharge of industrial effluents into our surface waters, chemical and metallurgical industries are continually seeking new technologies to efficiently remove metals from dilute aqueous systems. Ion flotation is a process involving the foam separation of metal ions from dilute metal-contaminated solutions that has the potential of treating large amounts of effluent while achieving very low final metal concentrations. Metal adsorption density estimates are central to the understanding of ion flotation as a thermodynamic process. In this investigation, surface tension measurements of solutions containing dodecylsulfate and tetradecylsulfate were studied as a function of the concentration of these surfactants. A semi-empirical expression was then derived to predict the adsorption density of the metal ions at the solution-air interface using surface tension data. Metal removal rates estimated from these adsorption density calculations matched well with those of actual removal rates from ion flotation. These findings suggest that ion flotation may be driven by fundamental thermodynamics. This provides a basis for industries to further exploit the use of various surfactants and utilize surface tension measurements as a means for predicting the thermodynamic behavior of these surfactants towards the removal of specific metal ions via ion flotation.</t>
  </si>
  <si>
    <t>LeeCK_1998-page1.pdf</t>
  </si>
  <si>
    <t>Alice Nguyen</t>
  </si>
  <si>
    <t>Vietnam: The Effects of Economic and Agricultural Reform On Rice Production in the Mekong River Delta</t>
  </si>
  <si>
    <t>The Vietnamese government’s recent attempts at structural and institutional reform have resulted in radical changes economically and agriculturally. Economic liberalization has introduced free market forces into agricultural production, trade, and management. A series of accelerated infrastructural and technological investments have been made to further the goal of maximizing agricultural output; especially of rice. This paper is a study of Vietnam’s macroeconomic and agricultural reforms and how they have affected rice production in the Mekong River Delta over recent decades. Although rice production averages have risen steadily over the past decade, the effects of agricultural reform have not been uniform throughout the country. Certain provinces within the Mekong River Delta have experienced different rates of change of rice production, rice yield, and area sown.</t>
  </si>
  <si>
    <t>LeeS_1998-page1.pdf</t>
  </si>
  <si>
    <t>Hai Phan</t>
  </si>
  <si>
    <t>SOURCES OF SEDIMENTS IN STRAWBERRY CREEK ON U. C. BERKELEY CAMPUS</t>
  </si>
  <si>
    <t>Strawberry Creek consists of two distinct ecological systems; the watershed of the upper portion of the creek is disturbed oak-woodland habitat while the watershed of the lower portion of the creek is more urbanized. However, the sediment budget suggested that more sediment was lost from the vegetated upper canyon and accumulated in the urban lower creek than would be expected in this type of system. This project was designed to estimate the sediment accumulation and erosion of both the upper and lower stretches of Strawberry Creek over the course of the 1997 water year(Fall 1997-Spring 1998). Seventeen cross-sectional profiles(14 at lower/3 at upper) between Fall 1997 and Spring 1998 were surveyed. Estimates of soil deposition and erosion were calculated, and the results showed: (1) More soil accumulation occurred at the lower creek. (2) Soil erosion was greater at the upper than the lower creek. (3) There is a negative correlation between the erosion pattern and vegetation distribution in these parts of the Strawberry Creek. There are few trees along the banks of the upper portion creek while they are abundant along the lower Creek especially after the restoration project in 1987 which can explain this distribution of sediment. Methods to control distribution of soil loss and deposition strategies include: building more check dams, and planting more vegetation (native preferred) at the upper portion of the Strawberry Creek.</t>
  </si>
  <si>
    <t>LevyR_1998-page1.pdf</t>
  </si>
  <si>
    <t>The Effect of Window Position on Indoor Residential Environmental Tobacco Smoke</t>
  </si>
  <si>
    <t>The adverse health effects associated with Environmental Tobacco Smoke (ETS) have been widely reported in many studies. Since most human activity occurs in the home environment, assessing indoor residential ETS exposure is needed. Few field studies have measured the role of ventilation on ETS contaminant levels in a real world environment. In the current pilot study, we investigated the extent to which open windows as compared to closed windows reduced ETS contaminant levels of respirable suspended particles (RSP), polycyclic aromatic hydrocarbons (PAHs), and nicotine in a closed indoor home environment. We found that opening windows did not make a consistent difference in reducing RSP and PAH levels but did result in increasing fluctuations in these contaminant concentrations across experiments. Inadequate ventilation and air mixture in the room could be associated with these fluctuations. Most RSP and PAH levels varied by a factor of two in each experiment. Weather conditions and smoking style could be two factors why RSP and PAH levels differed between trials. No correlation was found between RSP and PAH levels. In addition, no conclusions about nicotine levels could be made from this study. Future field studies investigating the role of ventilation in reducing residential ETS pollutants need to better monitor and control physical parameters. Air mixing should be monitored with an instrument or a tracer gas that can directly measure ventilation rate. Weather conditions inside and outside of the room should be closely monitored. Moreover, parameters such as cross ventilation and smoking style can be better controlled with proper choice of windows to open and a smoking machine. This pilot study demonstrated the complexity of evaluating the effect of ventilation in decreasing ETS contaminants and will aid future studies in improving their methodology to measure residential tobacco smoke.</t>
  </si>
  <si>
    <t>LewR_1998-page1.pdf</t>
  </si>
  <si>
    <t>LiewL_1998-page1.pdf</t>
  </si>
  <si>
    <t>Sraddha Mehta</t>
  </si>
  <si>
    <t>MehtaS_1998-page1.pdf</t>
  </si>
  <si>
    <t>MonasterskyN_1998-page1.pdf</t>
  </si>
  <si>
    <t>NaugleDP_1998-page1.pdf</t>
  </si>
  <si>
    <t>NewbergJT_1998-page1.pdf</t>
  </si>
  <si>
    <t>NguyenA_1998-page1.pdf</t>
  </si>
  <si>
    <t>PhanH_1998-page1.pdf</t>
  </si>
  <si>
    <t>Christine Quan</t>
  </si>
  <si>
    <t>QuanC_1998-page1.pdf</t>
  </si>
  <si>
    <t>Mirella Rangel</t>
  </si>
  <si>
    <t>Altenative Trade: Its Effectiveness in Helping Coffee Growers in Chiapas, Mexico</t>
  </si>
  <si>
    <t>Developing countries have historically been dependent on export cash crops as a source of currency, but often the communities producing these goods are not the ones benefiting from international trade. Small scale coffee producers in Mexico exemplify this. The recent evolution of the coffee trade has further marginalized these peasants. This is especially true for the peasants in the poorest state in Mexico, Chiapas, where most farmers own less than 5 hectares of land. To counter this, Alternative Trade Organizations (ATOs) formed networks to aid peasants in international trading. This study investigates the effects ATOs have had on marginalized communities. Most of the data was obtained through interviews and surveys conducted on peasants. ATOs help peasants through offering higher coffee prices and increasing yield through the use of organic fertilizer and renovation. ATOs also help establish health facilities, schools, and other development projects. Technicians help families learn about organic agriculture and ways to combat pests without the use of chemicals. There are, however, many restraints on the effectiveness of ATOs in helping marginalized communities. Many farmers are not trading through ATOs because they are either unaware of ATOs, lack the organization that trading through an ATO requires, or they lack the money technicians charge to certify. This leaves the most marginalized peasants without acess to ATOs and farmers who already have resources to benefit from alternative trade.</t>
  </si>
  <si>
    <t>RangelM_1998-page1.pdf</t>
  </si>
  <si>
    <t>Katy Suttorp</t>
  </si>
  <si>
    <t>In this paper I consider the role of two elements of natural resource agency behavior--agency dependency on external support and professional expertise-- and assess their relevance to the behavior of agencies concerned with land acquisition in Washington State. In order to learn about land acquisition in general and in Washington State, in particular, I conducted interviews with several agency officials and other parties involved in the land acquisition process in order to determine how land acquisition programs operate. Since most of the agencies concerned with conservation of natural lands rely primarily on the Washington Wildlife and Recreation Program (WWRP) for their projects' funding, I discuss the manner by which the three primary land acquisition agencies-- State Parks and Recreation Commission, State Department of Natural Resources and State Department of Fish &amp; Wildlife-- relate to the WWRP and analyze the roles that expertise and external support might play in mediating this relationship. Finally, I assess the process for acquiring land for two different purposes through the WWRP for habitat conservation and outdoor recreation. I explore which has been the most successful as a function of agency external support and expertise. In order to illustrate the dynamic state of the program, I briefly consider the implications for current salmon restoration programs on the program's funding structure.</t>
  </si>
  <si>
    <t>SuttorpK_1998-page1.pdf</t>
  </si>
  <si>
    <t>Local Agency Regulation of Underground Storage Tanks in Large Urban Areas in California</t>
  </si>
  <si>
    <t>When the U.S. Environmental Protection Agency issued regulations in 1988 to curb the proliferation of leaking underground storage tanks, it gave affected parties a decade to comply. Now, just six months away from the December 1998 deadline, only half of all regulated tanks in the United States are in full compliance. Enforcement of UST regulations at the local agency level is becoming more significant as the deadline approaches. This research project will evaluate the level of California local agency enforcement of the December 1998 UST deadline for upgrading and replacing tanks and identify certain characteristics which promote or hinder an agency's success. Correlation analysis will demonstrate that external factors, such as economic resources and social structure of the regulated community, can not be individually correlated. Instead, a more tangible correlation with agency performance can be found at the organizational and bureaucratic level. Senate Bill 1082 (SB 1082) set up Certified United Program Agencies (CUPAs) which were intended to coordinate local agency efforts. Attempts to coordinate agency efforts failed in certain counties, where the level of compliance to the December 1998 deadline is lowest.</t>
  </si>
  <si>
    <t>TaA_1998-page1.pdf</t>
  </si>
  <si>
    <t>Hibba Wahbeh</t>
  </si>
  <si>
    <t>Response of grassland species to elevated carbon dioxide</t>
  </si>
  <si>
    <t>WahbehH_1998-page1.pdf</t>
  </si>
  <si>
    <t>Alfred Wang</t>
  </si>
  <si>
    <t>Groundwater Nitrate Levels as Promoters of Arundo donax Invasion</t>
  </si>
  <si>
    <t>WangA_1998-page1.pdf</t>
  </si>
  <si>
    <t>Sarah Willan Weekes</t>
  </si>
  <si>
    <t>The Effects of Air Pollution on San Francisco Architecture</t>
  </si>
  <si>
    <t>WeekesSW_1998-page1.pdf</t>
  </si>
  <si>
    <t>Henry Wong</t>
  </si>
  <si>
    <t>Trichloroethylene Plumes in Southwest Berkeley</t>
  </si>
  <si>
    <t>Zoned for manufacturing purposes by Berkeley’s Planning Commission, Southwest Berkeley’s potential for trichloroethylene (TCE) plumes is high due to the prevalent usage of TCE-containing chemicals. With sparse data from different regulatory reports, undetected TCE plumes may exist beneath private and corporate properties. This project is intended to provide a clearer picture of whether TCE plumes are present in the area bounded by San Pablo Avenue (east), Aquatic Park (west), Carleton Street (north), and Ashby Avenue (south). I reviewed active files of monitoring well reports to gather information on the presence and/or concentrations of trichloroethylene. Then, I charted the TCE concentrations on a map. From the map, I applied a simplified version of the Wedge Model to construct the plumes, neglecting source locations and flow rates (Fischer 1998, pers. comm.). A simplified Wedge Model provided a sufficient method to identify plumes because the sources are unknown and plumes existed for at least several years. Based on TCE concentrations from sites in the area, two potential plumes were identified. The first plume centered around an area occupied by the Emerald Packaging Company (Site A) and Proen Products Company (Site G). The other plume involved the National Starch and Chemical Company (Site D). Several constraints prevented me from creating a more detailed picture of the area. First, the Berkeley Toxics Management Department did not have enough files with sufficiently detailed information regarding TCE presence or absence over time. Supplementing existing files with additional soil samples required timely gauged laboratory analyses and additional funding. More plumes may have existed and the plumes that I described might be part of a single larger plume; insufficient data and an artificial boundary necessitated by time constraints limited the scope of this project. Future research should run analytical tests for each block to clarify whether the plumes in Southwest Berkeley are connected or extended beyond my boundaries.</t>
  </si>
  <si>
    <t>WongH_1998-page1.pdf</t>
  </si>
  <si>
    <t>Frank T. Yoo</t>
  </si>
  <si>
    <t>Elimination of Coliform Bacteria Using Advanced Integrated Wastewater Pond Systems</t>
  </si>
  <si>
    <t>Untreated or improperly treated wastewater effluent that is discharged into major waterways can lead to environmental problems of eutrophication, degradation in biotic diversity, and epidemic human health risks. Therefore, efficient reduction of source pollutants in the wastewater is an important step in preserving the health of natural waterways as well as the health of the organisms and people that use them. This experiment evaluates the effectiveness of the Advanced Integrated Wastewater Pond System (AIWPS)--located at the University of California, Berkeley, Richmond Field Station--in removing pathogenic coliform bacteria from raw domestic sewage. The results of the study show that total coliform and more specifically, E. coli, densities (measured as Most Probable Number per 100mL of sample) decrease as the wastewater flows from one pond to the next in the series described by the AIWPS. It is also found that based on the stock density flows (of coliform and E. coli) and residence times of the four ponds studied in this experiment, each successive pond is more efficient at removing coliform bacteria than the previous pond in the series of four. Although the bacterial densities found in the final effluent of the AIWPS exceeded USEPA reuse water quality guidelines, these shortcomings may have been influenced by experimental biases in the data, and an inappropriate experimental approach. Nevertheless, past data records and other studies confirm that this cost effective, resourceful, efficient, and reliable wastewater treatment system is extremely valuable in its potential for providing resources like reusable quality water, fuel, and fertilizer.</t>
  </si>
  <si>
    <t>YooFT_1998-page1.pdf</t>
  </si>
  <si>
    <t>Neil D. Ahlsten</t>
  </si>
  <si>
    <t>The Recovery of Ceanothus gloriosus var. porrechtus following the 1995 Point Reyes fire</t>
  </si>
  <si>
    <t>In this study I analyze the post fire recovery of two populations of the endangered species Ceanothus gloriosus var. porrechtus during its second year of recovery. Decades of fire suppression at Point Reyes National Seashore have prevented the regeneration of ceanothus stands in an area of California chaparral prone to frequent natural fires. To analyze potential competition during seedling establishment, I compared seedling densities with the density of other plant species. Results show no evidence for interspecific competition in seedling recruitment through May of 1997. I also compared the amount of seedling recruitment in burned and unburned populations for the two years following the fire. While burned areas had very high levels of seedling recruitment, unburned areas had none. This shows the dependency which C. gloriosus has upon fire and illustrates the importance of incorporating this requirement for periodic fire into the Point Reyes fire management plan.</t>
  </si>
  <si>
    <t>AhlstenND_1997-page1.pdf</t>
  </si>
  <si>
    <t>Janice Alexander</t>
  </si>
  <si>
    <t>The Distribution of Spartina alterniflora in San Francisco Bay: A Study of Invasion and Restoration</t>
  </si>
  <si>
    <t>Spartina alterniflora is a non-indigenous cordgrass found in the tidal marshes of San Francisco Bay. Originally introduced in the early 1970's as part of tidal marsh restoration projects, the species has spread and invaded new sites, including marshes of previous restoration efforts. This study addresses the invasion of S. alterniflora by mapping its current distribution and comparing presence and absence on mudflats, natural marsh, and restored marsh, and potential invasion sites. Spartina alterniflora is currently found in a small number of mudflats and marshes but its spread seems relatively rapid compared to spread of other non-indigenous Spartina species present in the Bay. A higher percentage of restored marshes were invaded than natural marshes. The proximity of S. alterniflora to a new site is related to that site's invasion potential; restoration of diked baylands and salt ponds to contiguous tracts of tidal marsh increases the potential spread of this species. Spartina alterniflora invades completed restoration projects and threatens future restoration efforts in the San Francisco Bay.</t>
  </si>
  <si>
    <t>AlexanderJ_1997-page1.pdf</t>
  </si>
  <si>
    <t>James Allen</t>
  </si>
  <si>
    <t>A Study of the Relationship Between Toxin Levels in the Elkhorn Slough and Moss Landing State Beach</t>
  </si>
  <si>
    <t>To investigate the relationship between toxin concentrations from the Elkhorn Slough and Moss Landing State Beach, mussels were collected from a site within the Slough and a site at Moss Landing in order to be tested for DDE, DDD, and DDT. The mussels were put through the California Department of Food and Agriculture Organochlorine Pesticide Screen (AOAC 1995) and DDE, DDD, and DDT concentrations were determined. Through a two sided Z-test at the 1% significance level, I found a significant difference in DDE concentrations between the Elkhorn Slough and Moss Landing. There was a trend of decreasing concentration of DDE from the Slough to Moss Landing, which is to be expected because of Moss Landing's direct exposure to the ocean. Although the DDE concentrations at Moss Landing are more diluted than the Elkhorn Slough's, Moss Landing still receives DDE from the Slough.</t>
  </si>
  <si>
    <t>AllenJ_1997-page1.pdf</t>
  </si>
  <si>
    <t>Karen Anderson</t>
  </si>
  <si>
    <t>Baseline Study of Arthropod Population in Milagra Ridge (with a focus on ants)</t>
  </si>
  <si>
    <t>The endangered Mission Blue Butterfly (Plebejus icariodes missionensis) inhabits Milagra Ridge and is a member of the Lycaenidae, which are known to form symbiotic relationships with various ant species. P. i. missionensis larvae have been observed in myrmecophilous relationships with Prenolepis imparis, but interactions with other ant species remain undocumented. Research indicates that nonindigenous ant species, such as the Argentine ant (Iridomyrmex humilis), may pose a threat to the Mission Blue Butterfly larvae. Consequently, arthropod assemblages were censused at Milagra Ridge to characterize the insect fauna and its interaction with the Mission Blue Butterfly larvae. Pitfall traps showed a low diversity of arthropods with no known exotic ant species. The research suggests that the low diversity may be due to the small size of the reserve where the butterfly is found.</t>
  </si>
  <si>
    <t>AndersonK_1997-page1.pdf</t>
  </si>
  <si>
    <t>Andrew Q. Britton</t>
  </si>
  <si>
    <t>Comparison of the Small Mammal Fauna of Quercus agrifolia and Umbellularia californica Woodlands and E. globulus Stands</t>
  </si>
  <si>
    <t>Differences in the density and diversity of mammal species were investigated on plots in two forest stands, Quercus agrifolia (coast live oak) and Umbellularia californica (California bay) stands and Eucalyptus globulus (blue gum eucalyptus) stands. Five species were found during the course of the study which was conducted from March 19 through April 21. Peromyscus californicus(California mouse) and Neotoma fuscipes (Dusky-footed wood rat) were only found on the oak / bay sites whereas Mus musculus (house mouse) was only found in Eucalyptus sites. P. maniculatus (deer mouse) was found on both sites but only two individuals were found in Eucalyptus. P.truei (pinyon mouse) was also found on both sites but populations were significantly greater in oak sites, accounting for 68% of captures. Selectivity of each mammal species was measured for a variety habitat characteristics. This measure was the percent difference for sites where each species was found at as compared to the average value of all sites sampled. P. californicus was found to be the most selective. P . truei was found to be a generalist. Percent canopy and vegetation density was also greater on oak / bay sites and was an attribute that was selected for by all species except M. musculus. Using the selectivity indices and an index of food availability, vegetative cover was determined to be the variable that was most likely responsible for the variations in mammal distributions.</t>
  </si>
  <si>
    <t>BrittonAQ_1997-page1.pdf</t>
  </si>
  <si>
    <t>Meredith Cecil</t>
  </si>
  <si>
    <t>Science Education: A Comparison of Active and Passive Teaching Approaches</t>
  </si>
  <si>
    <t>This study investigated two methods of teaching science in elementary schools: the active and passive teaching approaches. This study was initiated in order to determine whether one of the methods of teaching science increased students' retention and comprehension of lesson material more so than the other. My hypothesis is that the active method results in better retention and comprehension. Sixty-eight students from four Berkeley-area 3rd and 4th grade classrooms, were involved in the study. Pre-tests and identical post-tests were administered to all students and an index was created by determining the difference between the post-test and pre-test scores for each student. The means of the indices for both the passive and active methods were computed and analyzed by a one-tailed t-test. Results supported the hypothesis that active teaching did indeed help students retain and comprehend the lesson material significantly better than passive teaching.</t>
  </si>
  <si>
    <t>CecilM_1997-page1.pdf</t>
  </si>
  <si>
    <t>Brent R. Chalem</t>
  </si>
  <si>
    <t>The Study of Tick Host Specificity Examining the Behavioral Patterns of Dermacentor occidentalis (Pacific Coast Tick) and Ixodes pacificus (Western Black-Legged Tick)</t>
  </si>
  <si>
    <t>Ticks transmit more infectious agents than any other arthropod
group. The collection of ticks is sometimes difficult and population
estimations can be somewhat rough. A standard lm2 cloth flag was used to
collect the two tick species. The problem with this method is that ticks can
easily drop-off the flag once they attach. In order to reduce tick drop-off,
two scented flags (human and dog) were challenged against the normal
unscented flag. The flags were tested both in the laboratory and in the field.
In the laboratory tests, the only significant difference in drop-off rate was
with the dog scented flag using the Ixodes pacificus species. The field
collections produced different results. In the high density areas, the
unscented flag's collection rate was not significantly different at the 95%
confidence level. The unscented/human comparison on the other hand was
significantly different at the 95% level. In low density areas, the unscented
flag was significantly different at the 95% level from the dog and human
scented flags. Hence, it is evident that a scented flag will increase tick
collection and slightly reduce drop-off rates.</t>
  </si>
  <si>
    <t>ChalemBR_1997-page1.pdf</t>
  </si>
  <si>
    <t>Cherilyn Chin</t>
  </si>
  <si>
    <t>Stomatopods and Cryptofaunal Communities as Bioindicators of Eutrophication Stress on Coral Reefs</t>
  </si>
  <si>
    <t>Most of the world's population lives near coastlines, and the greatest population increases are expected to be in developing countries adjacent to tropical coral reefs. Simple and inexpensive community-based biological monitoring programs are needed for local peoples so they can determine how to protect this fragile and rapidly degrading resource. This study compares the use of the cryptofaunal coral reef community and stomtatopod crustaceans as bioindicators in tropical coral reef monitoring. The major port city of Ujung Pandang, Sulawesi, in Indonesia has a chronic source of pollution due to untreated sewage and agricultural run-off flowing directly onto its coral reefs. Inner sites near Ujung Pandang, mid-reef sites and offshore sites were sampled. A trend of higher species abundance and biomass in the inner sites was found for all organisms sampled except for the pollution-sensitive stomatopods and alpheid shrimp. Both community-level and single species monitoring have their advantages and disadvantages, and this study shows that community-level monitoring does not produce the statistically significant results that single species monitoring produces.</t>
  </si>
  <si>
    <t>ChinC_1997-page1.pdf</t>
  </si>
  <si>
    <t>Laura Cuoco</t>
  </si>
  <si>
    <t>Light Level Effects on Nitrogen Removal by Algae in an Experimental Wastewater Pond System</t>
  </si>
  <si>
    <t>Treatment of wastewater in a pond system as opposed to a traditional, mechanical approach has been in use for approximately 25 years (Green et al. 1996). This alternative method originated from the need for re-usable wastewater in developing countries as traditional treatments require some resources that can not be found in these regions. When treating wastewater, one concern is over the removal of nitrogen (Green et al. 1996). However, in the Advanced Integrated Wastewater Pond System, algae are generated for a number of reasons including the uptake of nitrogen. This use of algae is beneficial in that the algae can be collected and re-used as a fertilizer with a high nutrient content. The ponds have been constructed in a unique manner to account for the amount of light needed to maintain enough algal growth. However, the effect of different light levels with respect to nitrogen uptake by algae has never been studied. Thus, the hypothesis I have tested is whether there would be any variance in this uptake if the ponds had been designed differently. To explore this question, I took samples from three points in the ponds and exposed them to two different light levels for a period of two weeks. In this time, I measured nitrogen, volatile suspended solids (VSS), pH and temperature. The results throughout the first week show a greater uptake of nitrogen in the samples in the lower light levels than in the higher light levels. Consistently higher temperatures and pH levels in the high light samples may have increased ammonia stripping and subsequently, lowered nitrogen uptake as nitrogen was lost to the atmosphere as ammonia gas. Over the last week, the samples from two of the points exhibited higher percentages in the high light level than in the lower light level while the reverse was true for the third point. Temperature readings were still high throughout this week but they were lower than at the end of the first week. pH levels dropped in the first two high level ponds while every other sample showed a steady increase in pH. It appears that lowering of the pH caused more nitrogen uptake in the first two samples and the higher pH levels of the other samples contributed to ammonia stripping and lower percentages of nitrogen removed by the algae.</t>
  </si>
  <si>
    <t>CuocoL_1997-page1.pdf</t>
  </si>
  <si>
    <t>Aaron Foxworthy</t>
  </si>
  <si>
    <t>The Effectiveness of Water Quality Regulation in a Rural Environment</t>
  </si>
  <si>
    <t>The United States water quality control program, guided by the Clean Water Act and the US Environmental Protection Agency, has been relatively unsuccessful at preventing Nonpoint Source water pollution. This paper discusses the actors involved in regulating water quality in the Stemple Creek Watershed in Marin County, California, a rural environment where nonpoint sources are the main threat to water. The paper analyzes how these actors work within established community social systems as a means of creating an interactive regulatory strategy. Using biological testing of water quality and social survey of ranchers within the watershed, the paper found that attempts at working within established community social structures is an effective and efficient water quality regulation strategy.</t>
  </si>
  <si>
    <t>FoxworthyA_1997-page1.pdf</t>
  </si>
  <si>
    <t>Salima Hassanali</t>
  </si>
  <si>
    <t>Do levels of PM10 below the current US standard pose a potential threat to health?</t>
  </si>
  <si>
    <t>This paper poses the predominant question of whether particulate matter (PM10) can potentially cause adverse health effects at levels below the current US EPA Standard of 150 ug/m3. Currently two distinct and dichotomous views exist on airborne particulates and their possible health risks to humans. The proponents believe that PM10 is casually linked with mortality and morbidity endpoints at levels below the present standard. As a result, this group advocates change of the status quo. However, the other competing side opposes any changes of the current standard because they believe that PM10 does not cause any dire medical risks. Therefore, in order to resolve this dilemma and to adequately answer the primary question of interest, I have implemented a Hypothesis Testing scheme in which five out of Hill's seven criteria for establishing "causality" are rigorously tested and evaluated. After researching the extensive evidence presented by the two competing sides, I have assessed in this thesis that three out of five criteria that were employed have effectively established causality between PM10 and various different health endpoints.</t>
  </si>
  <si>
    <t>HassanaliS_1997-page1.pdf</t>
  </si>
  <si>
    <t>Angelica M. Herrera</t>
  </si>
  <si>
    <t>Invertebrate community reduction in response to Arundo donax invasion at Sonoma Creek</t>
  </si>
  <si>
    <t>The non-native grass, Arundo donax, invades riparian areas throughout California. It has been hypothesized that Arundo provides poorer quality habitat for native wildlife in riparian systems. In this study, I sampled invertebrates and other arthropods on Arundo, native willow vegetation (Salix sp.), and mixtures of the two vegetation types to determine how Arundo influences invertebrate composition at Sonoma Creek, Sonoma County, California. The total number of insects, total insect biomass and taxonomic richness of invertebrates associated with native vegetation was significantly higher than that associated with Arundo vegetation, while mixed vegetation supported intermediate levels of invertebrates. The species diversity index (H') associated with native vegetation stands was also higher than that of Arundo vegetation. Overall, I found that vegetation type is a significant factor reducing the abundance and diversity of invertebrates. Arundo invasion can potentially change the vegetation structure of riparian zones and in turn, jeopardize the survival of birds, and other wildlife, whose diets are largely composed of insects found in native vegetation.</t>
  </si>
  <si>
    <t>HerreraAM_1997-page1.pdf</t>
  </si>
  <si>
    <t>Andrea Jani</t>
  </si>
  <si>
    <t>Parasitoid Interactions with the Codling Moth, Cydia pomonella</t>
  </si>
  <si>
    <t>Mastrus ridibundus (Hymenoptera: Ichneumonidae) and Liotryphon caudatus (Hymenoptera: Ichneumonidae) are known parasitoids of the codling moth, Cydia pomonella. While attempts are being made to use these parasitoids as biological control agents of the codling moth in orchards, little is known of their biology or behavior. This study examines the effects of interspecific competition on the number of codling moth larvae attacked and number of eggs laid by M. ridibundus and L. caudatus. Attack rates and numbers of eggs laid are being recorded for each parasitoid in two scenarios: phase I, in which Mastrus and Liotryphon are separated from each other, and phase II, in which Mastrus and Liotryphon are confined in single container. Results from phase I show higher overall attack rates for Liotryphon but more eggs laid during each attack by Mastrus. Liotryphon appears to avoid superparasitism while Mastrus does not. Attack rates for both parasitoid species appear to be density dependent. Phase II has not yet been implemented. Dibrachys cavus (Hymenoptera: Chalcidoidea) is known as a hyperparasitoid of the codling moth. This study examined whether it can act as a primary parasitoid as well. Dibrachys were repeatedly exposed to codling moth larvae but did not attack, suggesting that it acts solely as a hyperparasitoid in relation to the codling moth.</t>
  </si>
  <si>
    <t>JaniA_1997-page1.pdf</t>
  </si>
  <si>
    <t>Michael Kincaid</t>
  </si>
  <si>
    <t>Complications of Exotic Plants in the Natural Vegetative Recovery of Eucalyptus globulus Eradication Sites</t>
  </si>
  <si>
    <t>This study documented the early stages of regeneration of native and exotic species to a cleared E. globulus area on Angel Island in the San Francisco Bay. The plants were monitored for abundance and percent cover to compare the rates of native and exotic species repopulation on the newly exposed soil, beginning shortly after eucalyptus removal in November 1996 and continuing until April 1997. In the absence of active vegetation management, exotic species and their abundance increased over the time period. Native species initially repopulated the sites more so than did exotic species, but subsequently declined as exotics increased. By April, exotics species outgained native species in percent cover and it appears native species were displaced by interspecific competition. From these initial observations, it is likely that a few exotic species will eventually expand over most of the site, reducing the probability of successful restoration of a native plant community. Alternatively, exotic species may only dominate until the soil recovers from physical disturbance whereupon native species may recover, but the influence of exotic species still retards this process. To foster regrowth of native vegetation, it may be necessary for resource managers to actively control the spread of exotic species.</t>
  </si>
  <si>
    <t>KincaidM_1997-page1.pdf</t>
  </si>
  <si>
    <t>Sheela J. Kinhal</t>
  </si>
  <si>
    <t>An Analysis of PCB Concentrations in White Croaker (Genyonemus lineatus) Along the California Coast</t>
  </si>
  <si>
    <t>California currently employs a statewide fish monitoring system, known as the Toxic Substance Monitoring Program (TSMP), to ensure that contaminant concentrations off the coast do not reach unsafe levels. Polychlorinated biphenyls (PCBs), recognized as universal contaminants, are common in several species of edible fish. High levels of PCB contamination have been found in the white croaker (genyonemus lineatus), a popularly consumed species. Using data from the annual TSMP reports, my study will focus on: 1) the determination of significant levels of PCB concentrations in the white croaker, and 2) the comparison of PCB concentrations in white croaker from the San Francisco, Los Angeles, and San Diego regions.</t>
  </si>
  <si>
    <t>KinhalSJ_1997-page1.pdf</t>
  </si>
  <si>
    <t>Anna Y. Ku</t>
  </si>
  <si>
    <t>Reuse of Pond Effluents as Plant Fertilizer</t>
  </si>
  <si>
    <t>Waste stabilization ponds can provide reclaimed water for agricultural use and a potential fertilizer for crops. The goal of this research project was to determine the viability of using effluent from an Advanced Integrated Wastewater Pond System (AIWPS) as a suitable replacement for chemical fertilizers. Corn plants were grown from seed in low nutrient soil and treated with AIWPS effluent or a commercial fertilizer. Plants were monitored to determine the growth responses to each fertilizer treatment. It was found that corn treated with AIWPS effluent alone did not exhibit the same growth increases as those treated with the chemical fertilizer. Results from this experiment showed that plants treated with pond effluent alone does have greater height increase than water (P &lt; 0.01). Plants treated with AIWPS effluent showed ca. 55% greater height increase than the control group. However, the chemical fertilizer group exhibited a height increase of 5.5 times of the AIWPS effluent. This lack of growth response from AIWPS effluent treated plants probably result from the relatively low nitrogen and phosphorus concentrations in the effluent. However, A possible way to make more effective use of the nutrients in the AIWPS effluent is to harvest algae from the ponds for soil amendment before seeding, then use the effluent to irrigate the plants to improve soil structure and fertility.</t>
  </si>
  <si>
    <t>KuAY_1997-page1.pdf</t>
  </si>
  <si>
    <t>Timur Nusratty</t>
  </si>
  <si>
    <t>Assessment of Possible Substance Loading in Strawberry Creek due to Runoff from the Owners' Leasing System Cogeneration Plant on the University of California at Berkeley Campus</t>
  </si>
  <si>
    <t>My thesis project involved the assumption that the OLS Cogeneration Plant on the University of California at Berkeley Campus was polluting nearby Strawberry Creek (the natural ornament of the campus). I hypothesized that the waste water derived from condensate cleansing activities of the cogeneration plant did not contain substances at EPA determined toxic levels, and that the waste water did not leak into Strawberry Creek and alter its chemistry. To prove my hypotheses, I tested nine water quality parameters at five sites, three times a day for four days, and once I had determined mean concentrations and measurements, I compared the test results to EPA surface water quality standards. All of the test results fell well below the EPA standards, and because of this, I upheld my alternate hypotheses. In conclusion, I claim that the activities of the waste water derived from the OLS plant condensate polishing activities does not contain substances at toxic levels, and the waste water does not alter the chemistry of Strawberry Creek.</t>
  </si>
  <si>
    <t>NusrattyT_1997-page1.pdf</t>
  </si>
  <si>
    <t>Adam Patrick O'Connor</t>
  </si>
  <si>
    <t>Competition as a Factor in S. foliosa and S. virginica Distribution</t>
  </si>
  <si>
    <t>Tidal salt marshes in San Francisco Bay are often dominated by two species of vegetation with a sharp ecotone defining the edges of their distributions. Spartina foliosa (Pacific cordgrass) is found at lower elevations while Salicornia virginica (Perennial pickleweed) is typically above the ecotone. This study is designed to determine the importance of interspecific competition as a factor limiting the ranges of these two species. Both species were transplanted across the ecotone into the zone dominated by the other species. Half of these transplants were planted into unmodified stands of the other species, while the other half was planted in an area in which the other species had been removed. The difference in survival rates for the two sets of transplants was used to determine the importance of competition as a limit on ranges. The results show that removing competition had a statistically significant effect on survival of Salicornia virginica but not on Spartina foliosa. I have concluded that competition does not seem to be a factor limiting of the range of S. foliosa, which is limited to areas of lower salinity. Competition, and possibly a physical factor like duration of tidal immersion, limit the seaward range of S. virginica is at this site.</t>
  </si>
  <si>
    <t>O'ConnorAP_1997-page1.pdf</t>
  </si>
  <si>
    <t>Alexander Duy Q. Phun</t>
  </si>
  <si>
    <t>Analysis of Environmental Risk Financing Mechanisms</t>
  </si>
  <si>
    <t>Private sector attitudes toward environmental risk is a result of the day to day business operations of the firm. One of the main factors in determining the firm's operations is the cost of its production process. Environmental impact resulting from the firms' operations is an uncertain cost factor for the firm. Risk management by the firm is the process by which these uncertain factors are recorded as part of the firms' costs. Risk financing mechanisms are used to control the uncertain costs and reduce the possibility of business failure. Environmental risk financing mechanisms are financing mechanisms specifically used to control risks associated with environmental liability or remediation costs. This paper compares the relationship between the environmental risk financing mechanisms of self-insurance, industry pools, and integrated-insurance policies with the number of environmental liability cases filed against a firm. Using the Principal Agent Model as the basis to follow the expected utility trends of publicly traded corporations, individual company portfolios in the construction and environmental engineering industry are sampled to determine the components of the model. The components of the Principal Agent Model (environmental liability cases as a function of total revenues, total coverage, and annual premium) will demonstrate the relationship of each risk financing mechanism on environmental liability behavior. The empirical study of the Principal Agent Model will demonstrate the ability of environmental risk financing mechanisms to control the environmental behavior of publicly traded firms in the construction and environmental engineering industry. This study will show that self-insurance is the least effective risk financing mechanism in controlling risky environmental behavior, the greatest deflator of risky behavior is found in correctly pricing the cost of monitoring through premiums, and the reduction in risky environmental behavior through total project coverage occurs only when an interested third party is monitoring the activity of the firm.</t>
  </si>
  <si>
    <t>PhunADQ_1997-page1.pdf</t>
  </si>
  <si>
    <t>Ajith Pyati</t>
  </si>
  <si>
    <t>Hemp and Cotton: A Comparative Look at Fertilizer Use Between the Two Crops</t>
  </si>
  <si>
    <t>Cotton is the world’s major fiber crop, but increasing concerns about its detrimental environmental effects, such as the increasing use of fertilizers and pesticides, has opened up the debate on the use of alternative fiber crops, such as hemp. The focus of this paper is to compare the fertilizer requirements for hemp and cotton, and the yields associated with them. United States Department of Agriculture statistics were used for cotton yield and fertilization data, and data from hemp was gathered from experiments conducted during the 1940’s in the midwestern United States. A qualitative comparison of fertilizer inputs and associated yields were conducted, and on small-scale plots, hemp appears to have less fertilizer demands and larger yields than cotton. An expansion of growing area and growth in areas that overlap with cotton should be conducted to give an accurate comparison of the nutrient needs of the two plants.</t>
  </si>
  <si>
    <t>PyatiA_1997-page1.pdf</t>
  </si>
  <si>
    <t>PART I ENVIRONMENTAL ECONOMICS, POLICY &amp; EDUCATION</t>
  </si>
  <si>
    <t>RabinovichA_1997-page1.pdf</t>
  </si>
  <si>
    <t>Justin Victor Remais</t>
  </si>
  <si>
    <t>EVALUATING SALICORNIA VIRGINICA PLANTING AT THE ORO LOMA WETLAND RESTORATION PROJECT</t>
  </si>
  <si>
    <t>Coastal wetlands, such as the Oro Loma Marsh, located in Hayward, California, perform valuable functions for the environment such as supporting productive plant growth, acting as spawning areas for non-game and commercial fishes, providing habitat to rare species, detoxifying water pollutants, and preventing soil erosion. However, human activities, such as salt-extraction and agricultural conversion, have destroyed these wetlands, prompting San Francisco Bay Area agencies to restore them. The Oro Loma Marsh Enhancement Project calls for the breaching of two levees that currently prevent tidal flows from entering the site. Pickleweed (Salicornia virginica) was planted in March,1997 to augment the natural habitat of the salt marsh harvest mouse (Reithrodontomys raviventris) and to control erosion. Experimental plots that varied in location, elevation, orientation, density and method of erosion control were planted to determine which set of planting variables leads to successful establishment of S. virginica populations, minimizes erosion potential, promotes suitable habitat for SMHM, and excludes invading non-native plants. The wetland’s recovery will be monitored using both biological and physical performance indicators, which will allow evaluation of the site’s biota and physical properties (such as plant population distributions, stature, and biomass, as well as soil redox potential, salinity and pH). These indicators will be measured in the restored wetland and compared to measurements from nearby reference sites. Unexpected procedural and natural obstacles, such as miscommunication, exceptionally low precipitation and lack of human resources led to the irreversible damage of 96.2 percent of the planted material. My research experience demonstrates the need for a more organized, committed approach to wetland restoration projects.</t>
  </si>
  <si>
    <t>RemaisJV_1997-page1.pdf</t>
  </si>
  <si>
    <t>Heather Schneider</t>
  </si>
  <si>
    <t>Regulation of Discharges into State Waters: The Role of Citizen Suits in Ensuring Compliance with NPDES Permits</t>
  </si>
  <si>
    <t>The Clean Water Act is a federal statute mandating that major companies which discharge waste into state waters comply with federally determined discharge limits. The statute additionally specifies that the permitted companies submit monthly reports, detailing compliance with the permits, to a regional board designed to oversee compliance. There is little incentive for a company to self-report, and therefore monitoring and enforcement are lacking. To enhance compliance, Congress enabled citizens to file suit against violators. However, the number of restrictions placed upon citizens filing suits has hindered their effectiveness. In an effort to test the effectiveness of citizens ensuring compliance, I have examined six permitted oil refineries in the San Francisco Bay area from 1994-1996. Descriptive statistics show that there is a void in enforcement actions against violators. My hypothesis that larger companies are more highly regulated and therefore have fewer violations is supported by my data.</t>
  </si>
  <si>
    <t>SchneiderH_1997-page1.pdf</t>
  </si>
  <si>
    <t>William Wang</t>
  </si>
  <si>
    <t>The Economic Value of Bair Island: from a wetland functional perspective</t>
  </si>
  <si>
    <t>The U.S. Fish and Wildlife Service estimates that prior to the European Settlement, California had an approximated 5 millions acres of wetlands. Unfortunately, since 1850, 90% of the wetlands have been drained, filled and diked for agricultural, industrial, and commercial purposes. Not until the early 1970s did people begin to realize the importance of wetlands and to examine them more closely. Studies have been done to calculate the economic value of wetland functions in different locations of the Unites Stated using various techniques. The purpose of this paper is to estimate the use value of Bair Island by examining economic valuation studies that had been done elsewhere in the U.S. between 1971-1994. The result of this study indicates that the current market value does not necessarily reflect the economic value of Bair Island. Furthermore, by draining and converting Bair Island for housing purpose, California will lose approximately $39 million worth of the economic benefits provided by the wetland.</t>
  </si>
  <si>
    <t>WangW_1997-page1.pdf</t>
  </si>
  <si>
    <t xml:space="preserve">Lucy Liew </t>
  </si>
  <si>
    <t>Laura Allen</t>
  </si>
  <si>
    <t>The Economics of PV Technologies: A Hypothetical Case Study at UCB</t>
  </si>
  <si>
    <t>Photovoltaic (PV) systems currently produce clean renewable energy, though at a higher cost than utility power. New technologies of PV systems, such as building integrated photovoltaics (BIPV) systems help close the price gap between PV and utility electricity. In the urban environment, where the majority of electricity is consumed, there is a growing market for BIPV systems. In certain geographic locations the economic feasibility of solar applications approaches that of utility power. The University of California at Berkeley campus is a prime site for testing the feasibility of this type of solar application due to the favorable climate and current tax incentives and rebates offered by the government for solar energy applications. A financial analysis was completed for a hypothetical two megawatt BIPV system on the campus. The lifecycle unit cost for this system would be $0.049 per kilowatt-hour (kWh), compared to the average $0.051 per kWh the University paid for electricity last year.</t>
  </si>
  <si>
    <t>Renee Azerbegi</t>
  </si>
  <si>
    <t>Mexico, the United States, and Solar Energy: Comparing Impediments and Solutions to Photovoltaic Applications</t>
  </si>
  <si>
    <t>Photovoltaic cells can be used in a wide variety of applications for production of electricity. They rely on sunlight, have little impact on the environment, and can be used as independent power sources, as electricity connected to the electricity grid, or in combination with other sources. Cost-effective markets for photovoltaic systems (PVS) differ in size and application in developed and developing countries due to differences in electricity costs and in the size of populations without access to the electricity grid. This study compares usage of PVS in Mexico to usage in the United States with a focus on the states of Arizona and Sonora. Data was gathered from numerous sources and interviews of professionals in the solar energy field in both countries were conducted. Barriers and solutions to use of PVS have been identified in decreasing order as financial, sociocultural, infrastructural, institutional and technical. Although barriers to photovoltaics are similar, the degree to which the various barriers reduce market penetration vary greatly, as do the opportunities for further development of photovoltaic applications. Due to identified cost-effective PVS markets and the size of these markets, it is recommended that PVS be expanded for on-grid applications in Arizona and off-grid applications in Sonora. Nationally, Mexico should increase its off-grid PVS supply infrastructure and financing options, manufacture its own PVS, and incorporate users to a greater extent in its government led promotion of PVS. The United States should continue to research and develop the technical components of PVS, identify the most cost-effective markets, and expand its on-grid PVS supply infrastructure. The US government should encourage on-grid PVS via tax credits, financing options, incorporation of environmental externalities, and information dissemination.</t>
  </si>
  <si>
    <t>Ramin Beizaie</t>
  </si>
  <si>
    <t>PM10 vs. PM2.5: Beginning the Search for a Correlation</t>
  </si>
  <si>
    <t>On July 16, 1997, the Environmental Protection Agency (EPA) adopted a new group of National Ambient Air Quality Standards (NAAQS) to control airborne particulates of less than 2.5 microns (μm) diameter (PM2.5) . This report quantifies the relationship between PM2.5 and currently available PM10 (particles smaller than 10 μm in diameter) ambient concentration measurements as well as site-specific meteorological and seasonal data. Bay Area Air Quality Management District (BAAQMD) dichotomous sampler readings from Livermore, Concord, and San Jose were statistically analyzed and regressions were fit to the data to explain variations in the ratio of PM2.5 to PM10 concentrations (Fine/Total ratio). Strong correlations were found between this ratio and temperature, average wind speed, maximum wind speed, relative humidity, and total PM10 levels. In addition, seasonal analysis indicates that while fine particles make up the significant part of PM10 in the winter months, coarse (d &gt; 2.5 μm) particles make up the bulk of PM10 in the summer.</t>
  </si>
  <si>
    <t>K. Gayle Bernabe</t>
  </si>
  <si>
    <t>Determining if Hydrocarbon Presence is Necessary for Selective Enrichment of Hexadecane and Phenanthrene Degraders in Rhizosphere Soils</t>
  </si>
  <si>
    <t>Hydrocarbon-contaminated soils planted with Avena barbata (rhizosphere soil), were able to selectively enrich for degrader organisms as compared to unplanted (bulk) soils. The role of hydrocarbon presence, hexadecane and phenanthrene, was examined in order to determine if they were a necessary component in the selection of hydrocarbon degraders. In non-contaminated soils planted with Avena barbata, selective enrichment of hexadecane and phenanthrene degraders was not observed. Rhizosphere to bulk soil population ratio (R/ S ratio) data from non-contaminated soils suggests that hexadecane and phenanthrene presence is required for selective enrichment of microbial degraders in rhizosphere soils.</t>
  </si>
  <si>
    <t>Erik Brown</t>
  </si>
  <si>
    <t>ECONOMIC AND PHYSICAL FEASIBILITY OF VEHILECTRICAL POWER SYSTEMS</t>
  </si>
  <si>
    <t>The need for feasible renewable energy systems to replace the environmentally damaging fossil fuel combustion plants has inspired creative inventors to develop novel energy generating technologies. One such design is the Vehilectrical Power System, a vertical axis turbine mounted in the median of highways which will harness the combined bi-directionally induced winds of traffic flow. This study contributed to the determination of the feasibility of VPS by obtaining direct wind measurements from the median barrier. The data were analyzed, and an economic assessment of the system’s initial maximum capital investment was determined to be $280 per 20 ft segment of median barrier. Under the conditions of the study, the VPS was not found to be economical in the current energy market due to high operation and maintenance costs, low energy output, and low wind velocities generated on the highway.</t>
  </si>
  <si>
    <t>University of California Residence Hall Waste Composition Analysis</t>
  </si>
  <si>
    <t>The level of recyclable materials found in a refuse stream is widely assumed to decrease with the availability of recycling locations. This project examines the overall composition of the waste stream of selected residence halls at the University of California at Berkeley, and examines whether there is a significant relationship between the number and placement of recycling locations and the percentage of refuse that is recyclable. Sixteen samples of refuse were sorted into nineteen material categories. The overall percentage of recyclable material in the refuse was 38.28%. The sample sites were divided into two groups based upon the availability of recycling locations at each site. The mean percentage of recyclable material in the refuse of the first group was 16.15%. For the second group the mean was 21.64%. When analyzed using a t-test at a 0.90 confidence level these results show that there is a statistically significant correlation between the number of recycling locations and the percentage of recyclable material in the refuse.</t>
  </si>
  <si>
    <t>Sean Caffey</t>
  </si>
  <si>
    <t>Using Animal Sentinels to Protect European Freshwater Habitats</t>
  </si>
  <si>
    <t>Techniques that monitor invertebrates and fish in fresh water rivers and lakes are the most effective means for assessing an ecosystem's health. In this thesis, I explain Europe's need for standardized aquatic monitoring and present the most cost-effective and pragmatic biomonitoring methods available for implementing an effective monitoring process throughout the continent in order to successfully implement entire policies. The specific techniques that I propose include macroinvertebrate identification within water bodies in order to assign each family a score based upon their relative sensitivity to pollution. Established indices such as the British BMWP that correlate these scores are useful and cost-effective methods for comparing the relative amount of water pollution among rivers. In addition to invertebrate sampling, I propose biomonitoring techniques that examine the tissue samples of fish in order to assess physiological damage caused by the many different types of xenobiotics. By analyzing the fish tissues at the molecular level, one can measure aquatic pollution's effect on the immune system, metabolic energy, reproductive capabilities, and overall fitness levels of a fish population. All of these biomarking tests are extremely useful since they can explain the effects of pollution at the level of individuals before more irreversible symptoms begin to affect ecosystems at the community level.</t>
  </si>
  <si>
    <t>Flooding to Reduce Selenium Toxicity</t>
  </si>
  <si>
    <t>Selenium concentrations in some wetlands within California have been measured well above EPA standards for the protection of wildlife resulting in mutations and the reduction of wildlife populations. Wastewater treatment facilities for selenium in agricultural runoff, the primary transport mechanism of selenium to wetlands, are currently being developed. However, wetlands already contaminated with selenium from agricultural wastewater need be managed or remediated to reduce the dissolved, toxic form of selenium. Reduction processes during flooded conditions can transport this form of selenium to the sediments, while oxidation processes during dry conditions can remobilize it to the water column. I evaluated the rates of selenium oxidation in wetland sediments with different total selenium concentrations during a simulated dry season to estimate the rate at which wetlands reach toxic levels during oxidizing conditions. I found that selenium oxidation is a first order rate reaction whose rate of oxidation or k-constant is independent of initial selenium sediment concentrations. This oxidation rate formula, which is a function of initial selenium sediment concentrations and the time of drying, was used to accurately model the increase in dissolved selenium concentrations upon re-flooding. Ideally, and with further field research, this formula could be used by wetland management to determine periodic flooding regimes which will minimize selenium toxicity in contaminated wetlands. Additionally, I identified the role of organic selenium in increasing dissolved concentrations during drying, thereby aiding in the discussion of the proper disposal regiment for selenium rich plant matter in constructed wetlands used for wastewater treatment.</t>
  </si>
  <si>
    <t>This research project tested whether eucalyptus soil from a site at Oakwood Valley Park in Marin would inhibit the germination and growth of several native species. This would help predict whether future plantings of native Valley Live Oaks would survive in soil previously occupied by Eucalyptus globulus. Soil samples of oak and eucalyptus were taken from the site and the experiment was carried out on the UC Berkeley campus. I measured the germination rates of four different native species (Achillea millefonium, Festuca californica, Layia platyglossa, and Eschscholzia californica) in both eucalyptus and oak soil and compared results to determine whether a relationship exists between soil type and germination rate. In order to look at effects on growth, I also planted a native grass and a native forb, Festuca Californica and Layia Platyglossa, in both oak and eucalyptus soil. Data of number of leaves were gathered over a period of three weeks, along with total biomass and compared to see whether there is a notable difference in growth. Experiment data indicates no significant difference in the growth of the grass . between the two types of soil. In the germination tests, however, oak soil in genereal yields higher germination rates. Although it has been shown that eucalyptus may produce toxic compounds, this may not inhibit growth of other species. Therefore, replanting the site with native oaks may not be problematic.</t>
  </si>
  <si>
    <t>Significantly greater environmental degradation is occurring in underdeveloped nations than in developed nations today.  An example is water pollution in Ecuador, where water laws are similar to California's, but the results are dramatically different.  A major reason for this difference is that the political conditions surrounding the formation of the two regions' water laws were vastly different.  In California, water protection was recognized as a necessary measure to prevent water scarcity, a threat posed by a rapidly growing population in the 1950s.  In Ecuador, water protection was the result of a political power struggle in which a nationalist military government gained control of the resource.  California's relative success in water policy enforcement can be traced to this divergence in water protection motives between California and Ecuador.</t>
  </si>
  <si>
    <t>Megan Fifer</t>
  </si>
  <si>
    <t>This study is an examination of the effectiveness of World Bank environmental policy in regulating environmental impacts of development projects in the People's Republic of China. An in-depth case study of China's second largest dam under construction, the Xiaolongdi Multipurpose Dam Project along the Yellow River, is presented. A brief environmental evaluation of the project is conducted as well as a comparison of concerns shared with the Three Gorges Dam Project. Three main questions are to be answered: 1) Are environmental policies of the World Bank in China adhered to? 2) Are such policies effective in abating environmental degradation in development projects? and 3) How do the internal operations of the World Bank in China impact the effectiveness of environmental projects? Conclusions drawn from this research show that violations of World Bank environmental policy are apparent in examining the Xiaolongdi Multipurpose Dam Project, environmental regulation by the World Bank is ineffective in preventing environmental degradation, and the lack of effectiveness in environmental regulation can be partially traced to problematic systems of accountability and economic priorities practiced by the World Bank.</t>
  </si>
  <si>
    <t>In this study I examined the potential of Pseudomonas fluorescens as a large-scale organic fertilizer and/or biological control agent. Three questions, in particular, were asked: 1) How long does the bacteria persist in the soil following inoculation? 2) Does soil moisture content affect its survivorship? 3) If the bacteria is to be used by farmers through conventional irrigation systems, can P. fluorescens survive in tap water long enough for soil inoculation to be effective? P. fluorescens strain A506 (streptomycin and rifampicin resistant) was grown in Luria Broth. The exponential growth phase of the bacteria in the liquid medium ended with a final density of P. fluorescens between 3.7 x 10⁹ cfu/ ml and 1.2 x 10¹⁰ cfu/ ml. P. fluorescens was than inoculated into a non-sterile 50% clay-loam 50% sand soil, at a density of 6.0 x 10⁶ cfu/ g soil(dry) at 15% soil moisture and 25% soil moisture. Results of the experiment showed that the population of P. fluorescens began to decrease immediately following inoculation, and continued to decrease exponentially until extinction at approximately three weeks following inoculation. Soil moisture did not have a significant effect on survivorship. It is clear that the bacteria must be applied several times over a growing season in order for high populations to be maintained. Exactly how many times is unclear because the inoculated soils in this experiment were free of plant life which may have led to a more rapid decline in bacterial populations due to starvation. The survival of P. fluorescens when added to tap water following centrifugation from the growth media was analyzed at one hour and two hours. Results show that bacterial population density decreased by 54% during the centrifugation process, but actually increased 48% in between one hour and two hours. This demonstrates that P. fluorescens can survive in tap water long enough to be distributed through conventional irrigation systems on commercial farms. In conclusion, if further studies continue to demonstrate the benefits of P. fluorescens in agricultural systems, soil inoculation can be effective if it is done more than once per season.</t>
  </si>
  <si>
    <t>Catalina Garzón</t>
  </si>
  <si>
    <t>Community Participation in Brownfields Redevelopment: A Comparative Analysis of EPA- and Community-Initiated Projects in the San Francisco Bay Area</t>
  </si>
  <si>
    <t>CO2 Sequestration Using Wastewater Microalgae Cultivation using the Advanced Integrated Wastewater Pond System</t>
  </si>
  <si>
    <t>Accumulation of carbon dioxide in the atmosphere as a result of fossil fuel combustion has been linked to potential global climate change. Contrasted with the potential for negative environmental effects is the value of carbon dioxide as a resource for plant growth. Capture and use of the carbon dioxide by microalgae in wastewater reclamation systems has emerged as a promising technology to help reduce emissions from fossil fuel-fired power plants. I studied the controls of carbon sequestration by microalgae in a pond system at the Advanced Integrated Wastewater Pond System (AIWPS) at the Richmond Field Station. I used the Redfield ratio (C:N:P = 106:16:1) to compare the relative ratio of these elements in algae grown in the High Rate Pond (HRP). Over an 8 month period, the ratio of total nitrogen and soluble reactive phosphorus at the influent and the effluent of the HRP were 27.4 (_x0018__x0011_8.3) and 30.2 (_x0018__x0011_14.8), respectively. Based on these data, I hypothesized carbon limited algal production. To test the hypothesis, I performed weekly laboratory bench-scale experiments from September to December, 1997. The principle HRP algal species identified were Scendesmus, Chlorella, and Pediastrum. Addition of carbon dioxide at 22 ml/min approximately doubled the algal productivity as indicated by measurement of total suspended solids. My experiment showed that HRP of the AIWPS is carbon limited. My results suggest that there is a potential for mitigating industrial gaseous effluent that contains CO2 and feeding it into HRP to yield higher biomass.</t>
  </si>
  <si>
    <t>The Advanced Integrated Wastewater Pond System (AIWPS) is a low technology wastewater treatment system which, along with the characteristic energetics, is ideal for use by undeveloped communities. A characteristic which defines the AIWPS is the emission of methane gas which is produced from anaerobic digestion of organic wastes, the first stage of sewage treatment. As opposed to aerobic degradation of waste, the conventional mechanism of wastewater treatment, which requires energy, the produced methane gas from the anaerobic digestion stage is a source of energy. The purpose of this stage is to maximize the rate of organic waste degradation and simultaneous methane production while minimizing the rate of untreated waste flowing to the next stage. Higher loading rates of wastewater increases the available organics for degradation, but it decreases the residence time of the organic wastes in the digestion tank. Therefore, as total biogas (i.e. methane, carbon dioxide, etc.) production rate increases, the efficiency of waste degradation decreases which decreases the yield of biogas per unit organic waste. When varying organic loading rates were compared to the resulting yields of biogas in two trial digester tanks, the yields of biogas decreased as the organic loading rate increased. In Digester 1(Small), the linear relationship was -1/∖gas yield = -1.3177 - 1.8977∖BOD. In Digester 2(Large), the linear relationship was -1/∖gas yield = -1.6319 - 2.6421 log BOD. Therefore, in treating higher rates of wastewater, the more organic wastes in effluent from anaerobic stage of the AIWPS remain untreated.</t>
  </si>
  <si>
    <t>Acquisition of Natural Lands by the Washington State Government by</t>
  </si>
  <si>
    <t>Eight grassland species were grown under 360 and 720 ppm carbon dioxide concentrations in controlled chambers to compare final dry mass. Annual grassland species were collected from the experimental site which are: Bromus hordeacus, Avena barbata, Plantago lanceolata, Anagallis arvensis, Geranium dissectum, Lotus wrangelianus, Trifolium hirtum and Vicia sativa. The plants were grown in sandstone soil in controlled chambers with ambient levels of atmospheric CO₂ and experimental chambers with double ambient values of CO₂. Water and fertilizer were not applied, they were watered only by natural conditions. Biomass data is unavailable for Lotus. The other plants’ biomass data reveal that they had similar mass despite the type of treatment. A reconsideration of the hypothesis is essential.</t>
  </si>
  <si>
    <t>Streams and rivers are becoming increasingly contaminated with nutrients due to agricultural practices. Most noticeably, there have been huge increases in the amount of nitrogen fertilizers used, which in turn release nitrates into the ground and surface water through leaching and runoff. The focus of this study will be to see if there is any correlation between Arundo donax density and nitrate concentrations in the groundwater of California’s major streams and rivers. Nitrate data was collected through the Environmental Protection Agency’s STORET system and will be limited to the past three decades. Arundo donax distribution throughout California was obtained through collaborations with Tom Dudley and Jim Robins at the University of California at Berkeley, as well as through various agencies throughout California. Nitrates potentially promote the growth of Arundo donax in California, an invasive plant species. Arundo donax is present in over half of California’s major streams and rivers. It displaces native riparian vegetation and destroys the habitats of native wildlife. This study has shown that nitrate levels of 0.06 mg/l or greater tend to be associated with Arundo donax growth since the streams and rivers that had Arundo in them almost all had nitrate levels this high. Therefore, fertilizer use needs to be decreased so that we can preserve our water quality as well as protect the biodiversity of our ecosystem.</t>
  </si>
  <si>
    <t>The goal of this study was to determine whether air pollution negatively affects San Francisco architecture. To test this question, a general survey of the ways that different air pollutants react with different materials was completed. After the application of this information to the Bay Area, a visual survey of San Francisco buildings was completed. The selection of three buildings, the Palace of Fine Arts, San Francisco City Hall, and the Palace of the Legion of Honor was accomplished using archival review, information obtained by personal interviews, and a more substantial survey of San Francisco buildings. These structures were used to test the study's hypothesis that air pollution does cause damage to architecture in San Francisco. Results did support the hypothesis; damage, such as erosion and black soot deposits upon stonework and corrosion of metals, was evident. Due to the types of damage and prevalence of certain air pollutants in the Bay Area, it was deduced that Particulate Matter (PM) and ozone are to blame for the damage.</t>
  </si>
  <si>
    <t xml:space="preserve">Michael P. Aschoff Jr. </t>
  </si>
  <si>
    <t xml:space="preserve">Sara Laurin Ash </t>
  </si>
  <si>
    <t xml:space="preserve">Bonnie Lee </t>
  </si>
  <si>
    <t xml:space="preserve">Melissa Nichole Brandt </t>
  </si>
  <si>
    <t xml:space="preserve">Clement Hsieh </t>
  </si>
  <si>
    <t xml:space="preserve">Andy Parks </t>
  </si>
  <si>
    <t xml:space="preserve">Divy Ravindranath </t>
  </si>
  <si>
    <t xml:space="preserve">Leah Rogers </t>
  </si>
  <si>
    <t>Erwin Tam</t>
  </si>
  <si>
    <t xml:space="preserve">Matt Bandel </t>
  </si>
  <si>
    <t xml:space="preserve">David Han </t>
  </si>
  <si>
    <t xml:space="preserve">Roddy Khadem </t>
  </si>
  <si>
    <t xml:space="preserve">Alan Kwong </t>
  </si>
  <si>
    <t xml:space="preserve">Zaylin Lalji </t>
  </si>
  <si>
    <t xml:space="preserve">Meridith Lear </t>
  </si>
  <si>
    <t xml:space="preserve">Harini Madhavan </t>
  </si>
  <si>
    <t xml:space="preserve">John H. Peng </t>
  </si>
  <si>
    <t xml:space="preserve">Tim Bucknell </t>
  </si>
  <si>
    <t xml:space="preserve">Crystal J. Chamness </t>
  </si>
  <si>
    <t xml:space="preserve">Martha Chang </t>
  </si>
  <si>
    <t>Andrea P. Clark</t>
  </si>
  <si>
    <t xml:space="preserve">Julianne Emoto </t>
  </si>
  <si>
    <t xml:space="preserve">Clarence Kaizen Lee </t>
  </si>
  <si>
    <t>Robin Levy</t>
  </si>
  <si>
    <t>Ryan Lew</t>
  </si>
  <si>
    <t xml:space="preserve">Alice Ta </t>
  </si>
  <si>
    <t>zintzun-page1.pdf</t>
  </si>
  <si>
    <t>https://www.ocf.berkeley.edu/~pkmendez/envsci/projects/2005final/</t>
  </si>
  <si>
    <t>https://www.ocf.berkeley.edu/~pkmendez/envsci/projects/2004final/</t>
  </si>
  <si>
    <t>https://www.ocf.berkeley.edu/~pkmendez/envsci/projects/2003final/</t>
  </si>
  <si>
    <t>https://www.ocf.berkeley.edu/~pkmendez/envsci/projects/2002final/</t>
  </si>
  <si>
    <t>https://www.ocf.berkeley.edu/~pkmendez/envsci/projects/2001final/</t>
  </si>
  <si>
    <t>https://www.ocf.berkeley.edu/~pkmendez/envsci/projects/2000final/</t>
  </si>
  <si>
    <t>https://www.ocf.berkeley.edu/~pkmendez/envsci/projects/1999final/</t>
  </si>
  <si>
    <t>https://www.ocf.berkeley.edu/~pkmendez/envsci/projects/1998final/</t>
  </si>
  <si>
    <t>https://www.ocf.berkeley.edu/~pkmendez/envsci/projects/1997final/</t>
  </si>
  <si>
    <t>This project quantitatively compares the environmental impact resulting from the
use ofsport utility vehicles (SUVs) and passenger vehicles for commuting in the San
Francisco Bay area. The average number ofpassengers per vehicle, fuel efficiency per person
and quantity ofemissions per person for SUVs and for the total vehicle population. These
estimates are based on data from asample of3000 vehicles observed in different parts ofthe
San Francisco Bay Area. This study has shown that while the average number ofpassengers
per available space carried bySUVs is the same asthe fleet average, SUVs consume more
gasoline and produce more emissions. Therefore, SUVs appear to be less efficient for the
purposes of commuting than an average Bay Area automobile. However, due to sampling
limitations, I can not determine if these results are statistically significant.</t>
  </si>
  <si>
    <t>Aleksander Rabinovich</t>
  </si>
  <si>
    <t>Over two decades of carbon farming experiments in the Sacramento-San
Joaquin River Delta (Delta) have indicated that the restoration of freshwater
marshes from highly developed farmland precipitates a net influx of carbon.
Consequently, the reestablishment of historically tule- and cattail-dominated
wetlands has been employed as a climate change mitigation tool, inducing
the fixation and sequestration of atmospheric carbon in-situ. However, while
much research has been conducted on the atmospheric fluxes of greenhouse
gases into and out of these terrestrial systems – correlating storage with the
growth and un-decayed senescence of large emergent graminoids – few stud-
ies have examined the aquatic processes that occur while these wetlands are
flooded year-round. I examined four Delta wetlands that together represent
a 20-year space-for-time sequence, in order to link changes in the broader
productivity of the systems to changes in the aquatic primary productivity,
particularly of phytoplankton, over time. I found that neither the satellites
nor the on-site pheno-cameras considered could readily be accurately used to
remotely sense changes in aquatic primary productivity via NDVI; that as
wetlands get older their developmental trajectories likely encourage first large
oxygenation then eventually slow deoxygenation; that measureable aquatic
changes in carbon potentially represented between one and 20% of average
yearly emergent productivity; and that diﬀerences in aquatic productivity
could significantly be attributed to diﬀerences in photosynthetic biomass.
This research suggests that aquatic autotrophs may contribute diﬀerentially
throughout time (e.g., as reservoirs) to the fixation of carbon, and that re-
searchers should account for these primary producers when modeling gas
fluxes in newer systems and when designing additional wetland sites.</t>
  </si>
  <si>
    <t>TY</t>
  </si>
  <si>
    <t>THES</t>
  </si>
  <si>
    <t>AU</t>
  </si>
  <si>
    <t>TI</t>
  </si>
  <si>
    <t>PY</t>
  </si>
  <si>
    <t>AB</t>
  </si>
  <si>
    <t>PB</t>
  </si>
  <si>
    <t>T2</t>
  </si>
  <si>
    <t>U1</t>
  </si>
  <si>
    <t>UR</t>
  </si>
  <si>
    <t>ER</t>
  </si>
  <si>
    <t>KW1</t>
  </si>
  <si>
    <t>KW2</t>
  </si>
  <si>
    <t>KW3</t>
  </si>
  <si>
    <t>KW4</t>
  </si>
  <si>
    <t>KW5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</si>
</sst>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20"/>
      <color theme="1"/>
      <name val="Aptos Narrow"/>
      <scheme val="minor"/>
    </font>
    <font>
      <u/>
      <sz val="12"/>
      <color theme="10"/>
      <name val="Aptos Narrow"/>
      <family val="2"/>
      <scheme val="minor"/>
    </font>
    <font>
      <sz val="20"/>
      <color rgb="FF222222"/>
      <name val="Aptos Narrow"/>
      <scheme val="minor"/>
    </font>
    <font>
      <u/>
      <sz val="20"/>
      <color theme="10"/>
      <name val="Aptos Narrow"/>
      <scheme val="minor"/>
    </font>
    <font>
      <i/>
      <sz val="20"/>
      <color rgb="FF00000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2" fillId="0" borderId="0" xfId="1"/>
    <xf numFmtId="0" fontId="1" fillId="0" borderId="0" xfId="0" applyFont="1"/>
    <xf numFmtId="0" fontId="4" fillId="0" borderId="0" xfId="1" applyFont="1" applyAlignment="1"/>
    <xf numFmtId="0" fontId="3" fillId="0" borderId="0" xfId="0" applyFont="1"/>
    <xf numFmtId="0" fontId="5" fillId="0" borderId="0" xfId="0" applyFont="1"/>
    <xf numFmtId="0" fontId="2"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ocf.berkeley.edu/~pkmendez/envsci/projects/2021final/" TargetMode="External"/><Relationship Id="rId21" Type="http://schemas.openxmlformats.org/officeDocument/2006/relationships/hyperlink" Target="https://www.ocf.berkeley.edu/~pkmendez/envsci/projects/2021final/" TargetMode="External"/><Relationship Id="rId42" Type="http://schemas.openxmlformats.org/officeDocument/2006/relationships/hyperlink" Target="https://www.ocf.berkeley.edu/~pkmendez/envsci/projects/2021final/" TargetMode="External"/><Relationship Id="rId47" Type="http://schemas.openxmlformats.org/officeDocument/2006/relationships/hyperlink" Target="https://www.ocf.berkeley.edu/~pkmendez/envsci/projects/2021final/" TargetMode="External"/><Relationship Id="rId63" Type="http://schemas.openxmlformats.org/officeDocument/2006/relationships/hyperlink" Target="https://www.ocf.berkeley.edu/~pkmendez/envsci/projects/2018final/" TargetMode="External"/><Relationship Id="rId68" Type="http://schemas.openxmlformats.org/officeDocument/2006/relationships/hyperlink" Target="https://www.ocf.berkeley.edu/~pkmendez/envsci/projects/2015final/" TargetMode="External"/><Relationship Id="rId84" Type="http://schemas.openxmlformats.org/officeDocument/2006/relationships/hyperlink" Target="https://www.ocf.berkeley.edu/~pkmendez/envsci/projects/2007final/" TargetMode="External"/><Relationship Id="rId89" Type="http://schemas.openxmlformats.org/officeDocument/2006/relationships/hyperlink" Target="https://www.ocf.berkeley.edu/~pkmendez/envsci/projects/2006final/" TargetMode="External"/><Relationship Id="rId16" Type="http://schemas.openxmlformats.org/officeDocument/2006/relationships/hyperlink" Target="https://www.ocf.berkeley.edu/~pkmendez/envsci/projects/2021final/" TargetMode="External"/><Relationship Id="rId107" Type="http://schemas.openxmlformats.org/officeDocument/2006/relationships/hyperlink" Target="https://www.ocf.berkeley.edu/~pkmendez/envsci/projects/1997final/" TargetMode="External"/><Relationship Id="rId11" Type="http://schemas.openxmlformats.org/officeDocument/2006/relationships/hyperlink" Target="https://www.ocf.berkeley.edu/~pkmendez/envsci/projects/2021final/" TargetMode="External"/><Relationship Id="rId32" Type="http://schemas.openxmlformats.org/officeDocument/2006/relationships/hyperlink" Target="https://www.ocf.berkeley.edu/~pkmendez/envsci/projects/2021final/" TargetMode="External"/><Relationship Id="rId37" Type="http://schemas.openxmlformats.org/officeDocument/2006/relationships/hyperlink" Target="https://www.ocf.berkeley.edu/~pkmendez/envsci/projects/2021final/" TargetMode="External"/><Relationship Id="rId53" Type="http://schemas.openxmlformats.org/officeDocument/2006/relationships/hyperlink" Target="https://www.ocf.berkeley.edu/~pkmendez/envsci/projects/2021final/" TargetMode="External"/><Relationship Id="rId58" Type="http://schemas.openxmlformats.org/officeDocument/2006/relationships/hyperlink" Target="https://www.ocf.berkeley.edu/~pkmendez/envsci/projects/2020final/" TargetMode="External"/><Relationship Id="rId74" Type="http://schemas.openxmlformats.org/officeDocument/2006/relationships/hyperlink" Target="https://www.ocf.berkeley.edu/~pkmendez/envsci/projects/2012final/" TargetMode="External"/><Relationship Id="rId79" Type="http://schemas.openxmlformats.org/officeDocument/2006/relationships/hyperlink" Target="https://www.ocf.berkeley.edu/~pkmendez/envsci/projects/2010final/" TargetMode="External"/><Relationship Id="rId102" Type="http://schemas.openxmlformats.org/officeDocument/2006/relationships/hyperlink" Target="https://www.ocf.berkeley.edu/~pkmendez/envsci/projects/1999final/" TargetMode="External"/><Relationship Id="rId5" Type="http://schemas.openxmlformats.org/officeDocument/2006/relationships/hyperlink" Target="https://www.ocf.berkeley.edu/~pkmendez/envsci/projects/2022final/" TargetMode="External"/><Relationship Id="rId90" Type="http://schemas.openxmlformats.org/officeDocument/2006/relationships/hyperlink" Target="https://www.ocf.berkeley.edu/~pkmendez/envsci/projects/2005final/" TargetMode="External"/><Relationship Id="rId95" Type="http://schemas.openxmlformats.org/officeDocument/2006/relationships/hyperlink" Target="https://www.ocf.berkeley.edu/~pkmendez/envsci/projects/2003final/" TargetMode="External"/><Relationship Id="rId22" Type="http://schemas.openxmlformats.org/officeDocument/2006/relationships/hyperlink" Target="https://www.ocf.berkeley.edu/~pkmendez/envsci/projects/2021final/" TargetMode="External"/><Relationship Id="rId27" Type="http://schemas.openxmlformats.org/officeDocument/2006/relationships/hyperlink" Target="https://www.ocf.berkeley.edu/~pkmendez/envsci/projects/2021final/" TargetMode="External"/><Relationship Id="rId43" Type="http://schemas.openxmlformats.org/officeDocument/2006/relationships/hyperlink" Target="https://www.ocf.berkeley.edu/~pkmendez/envsci/projects/2021final/" TargetMode="External"/><Relationship Id="rId48" Type="http://schemas.openxmlformats.org/officeDocument/2006/relationships/hyperlink" Target="https://www.ocf.berkeley.edu/~pkmendez/envsci/projects/2021final/" TargetMode="External"/><Relationship Id="rId64" Type="http://schemas.openxmlformats.org/officeDocument/2006/relationships/hyperlink" Target="https://www.ocf.berkeley.edu/~pkmendez/envsci/projects/2017final/" TargetMode="External"/><Relationship Id="rId69" Type="http://schemas.openxmlformats.org/officeDocument/2006/relationships/hyperlink" Target="https://www.ocf.berkeley.edu/~pkmendez/envsci/projects/2015final/" TargetMode="External"/><Relationship Id="rId80" Type="http://schemas.openxmlformats.org/officeDocument/2006/relationships/hyperlink" Target="https://www.ocf.berkeley.edu/~pkmendez/envsci/projects/2009final/" TargetMode="External"/><Relationship Id="rId85" Type="http://schemas.openxmlformats.org/officeDocument/2006/relationships/hyperlink" Target="https://www.ocf.berkeley.edu/~pkmendez/envsci/projects/2008final/" TargetMode="External"/><Relationship Id="rId12" Type="http://schemas.openxmlformats.org/officeDocument/2006/relationships/hyperlink" Target="https://www.ocf.berkeley.edu/~pkmendez/envsci/projects/2021final/" TargetMode="External"/><Relationship Id="rId17" Type="http://schemas.openxmlformats.org/officeDocument/2006/relationships/hyperlink" Target="https://www.ocf.berkeley.edu/~pkmendez/envsci/projects/2021final/" TargetMode="External"/><Relationship Id="rId33" Type="http://schemas.openxmlformats.org/officeDocument/2006/relationships/hyperlink" Target="https://www.ocf.berkeley.edu/~pkmendez/envsci/projects/2021final/" TargetMode="External"/><Relationship Id="rId38" Type="http://schemas.openxmlformats.org/officeDocument/2006/relationships/hyperlink" Target="https://www.ocf.berkeley.edu/~pkmendez/envsci/projects/2021final/" TargetMode="External"/><Relationship Id="rId59" Type="http://schemas.openxmlformats.org/officeDocument/2006/relationships/hyperlink" Target="https://www.ocf.berkeley.edu/~pkmendez/envsci/projects/2020final/" TargetMode="External"/><Relationship Id="rId103" Type="http://schemas.openxmlformats.org/officeDocument/2006/relationships/hyperlink" Target="https://www.ocf.berkeley.edu/~pkmendez/envsci/projects/1999final/" TargetMode="External"/><Relationship Id="rId20" Type="http://schemas.openxmlformats.org/officeDocument/2006/relationships/hyperlink" Target="https://www.ocf.berkeley.edu/~pkmendez/envsci/projects/2021final/" TargetMode="External"/><Relationship Id="rId41" Type="http://schemas.openxmlformats.org/officeDocument/2006/relationships/hyperlink" Target="https://www.ocf.berkeley.edu/~pkmendez/envsci/projects/2021final/" TargetMode="External"/><Relationship Id="rId54" Type="http://schemas.openxmlformats.org/officeDocument/2006/relationships/hyperlink" Target="https://www.ocf.berkeley.edu/~pkmendez/envsci/projects/2021final/" TargetMode="External"/><Relationship Id="rId62" Type="http://schemas.openxmlformats.org/officeDocument/2006/relationships/hyperlink" Target="https://www.ocf.berkeley.edu/~pkmendez/envsci/projects/2018final/" TargetMode="External"/><Relationship Id="rId70" Type="http://schemas.openxmlformats.org/officeDocument/2006/relationships/hyperlink" Target="https://www.ocf.berkeley.edu/~pkmendez/envsci/projects/2014final/" TargetMode="External"/><Relationship Id="rId75" Type="http://schemas.openxmlformats.org/officeDocument/2006/relationships/hyperlink" Target="https://www.ocf.berkeley.edu/~pkmendez/envsci/projects/2012final/" TargetMode="External"/><Relationship Id="rId83" Type="http://schemas.openxmlformats.org/officeDocument/2006/relationships/hyperlink" Target="https://www.ocf.berkeley.edu/~pkmendez/envsci/projects/2008final/" TargetMode="External"/><Relationship Id="rId88" Type="http://schemas.openxmlformats.org/officeDocument/2006/relationships/hyperlink" Target="https://www.ocf.berkeley.edu/~pkmendez/envsci/projects/2007final/" TargetMode="External"/><Relationship Id="rId91" Type="http://schemas.openxmlformats.org/officeDocument/2006/relationships/hyperlink" Target="https://www.ocf.berkeley.edu/~pkmendez/envsci/projects/2005final/" TargetMode="External"/><Relationship Id="rId96" Type="http://schemas.openxmlformats.org/officeDocument/2006/relationships/hyperlink" Target="https://www.ocf.berkeley.edu/~pkmendez/envsci/projects/2002final/" TargetMode="External"/><Relationship Id="rId1" Type="http://schemas.openxmlformats.org/officeDocument/2006/relationships/hyperlink" Target="https://www.ocf.berkeley.edu/~pkmendez/envsci/projects/2024final/" TargetMode="External"/><Relationship Id="rId6" Type="http://schemas.openxmlformats.org/officeDocument/2006/relationships/hyperlink" Target="https://www.ocf.berkeley.edu/~pkmendez/envsci/projects/2022final/" TargetMode="External"/><Relationship Id="rId15" Type="http://schemas.openxmlformats.org/officeDocument/2006/relationships/hyperlink" Target="https://www.ocf.berkeley.edu/~pkmendez/envsci/projects/2021final/" TargetMode="External"/><Relationship Id="rId23" Type="http://schemas.openxmlformats.org/officeDocument/2006/relationships/hyperlink" Target="https://www.ocf.berkeley.edu/~pkmendez/envsci/projects/2021final/" TargetMode="External"/><Relationship Id="rId28" Type="http://schemas.openxmlformats.org/officeDocument/2006/relationships/hyperlink" Target="https://www.ocf.berkeley.edu/~pkmendez/envsci/projects/2021final/" TargetMode="External"/><Relationship Id="rId36" Type="http://schemas.openxmlformats.org/officeDocument/2006/relationships/hyperlink" Target="https://www.ocf.berkeley.edu/~pkmendez/envsci/projects/2021final/" TargetMode="External"/><Relationship Id="rId49" Type="http://schemas.openxmlformats.org/officeDocument/2006/relationships/hyperlink" Target="https://www.ocf.berkeley.edu/~pkmendez/envsci/projects/2021final/" TargetMode="External"/><Relationship Id="rId57" Type="http://schemas.openxmlformats.org/officeDocument/2006/relationships/hyperlink" Target="https://www.ocf.berkeley.edu/~pkmendez/envsci/projects/2021final/" TargetMode="External"/><Relationship Id="rId106" Type="http://schemas.openxmlformats.org/officeDocument/2006/relationships/hyperlink" Target="https://www.ocf.berkeley.edu/~pkmendez/envsci/projects/1997final/" TargetMode="External"/><Relationship Id="rId10" Type="http://schemas.openxmlformats.org/officeDocument/2006/relationships/hyperlink" Target="https://www.ocf.berkeley.edu/~pkmendez/envsci/projects/2021final/" TargetMode="External"/><Relationship Id="rId31" Type="http://schemas.openxmlformats.org/officeDocument/2006/relationships/hyperlink" Target="https://www.ocf.berkeley.edu/~pkmendez/envsci/projects/2021final/" TargetMode="External"/><Relationship Id="rId44" Type="http://schemas.openxmlformats.org/officeDocument/2006/relationships/hyperlink" Target="https://www.ocf.berkeley.edu/~pkmendez/envsci/projects/2021final/" TargetMode="External"/><Relationship Id="rId52" Type="http://schemas.openxmlformats.org/officeDocument/2006/relationships/hyperlink" Target="https://www.ocf.berkeley.edu/~pkmendez/envsci/projects/2021final/" TargetMode="External"/><Relationship Id="rId60" Type="http://schemas.openxmlformats.org/officeDocument/2006/relationships/hyperlink" Target="https://www.ocf.berkeley.edu/~pkmendez/envsci/projects/2019final/" TargetMode="External"/><Relationship Id="rId65" Type="http://schemas.openxmlformats.org/officeDocument/2006/relationships/hyperlink" Target="https://www.ocf.berkeley.edu/~pkmendez/envsci/projects/2017final/" TargetMode="External"/><Relationship Id="rId73" Type="http://schemas.openxmlformats.org/officeDocument/2006/relationships/hyperlink" Target="https://www.ocf.berkeley.edu/~pkmendez/envsci/projects/2013final/" TargetMode="External"/><Relationship Id="rId78" Type="http://schemas.openxmlformats.org/officeDocument/2006/relationships/hyperlink" Target="https://www.ocf.berkeley.edu/~pkmendez/envsci/projects/2010final/" TargetMode="External"/><Relationship Id="rId81" Type="http://schemas.openxmlformats.org/officeDocument/2006/relationships/hyperlink" Target="https://www.ocf.berkeley.edu/~pkmendez/envsci/projects/2009final/" TargetMode="External"/><Relationship Id="rId86" Type="http://schemas.openxmlformats.org/officeDocument/2006/relationships/hyperlink" Target="https://www.ocf.berkeley.edu/~pkmendez/envsci/projects/2007final/" TargetMode="External"/><Relationship Id="rId94" Type="http://schemas.openxmlformats.org/officeDocument/2006/relationships/hyperlink" Target="https://www.ocf.berkeley.edu/~pkmendez/envsci/projects/2003final/" TargetMode="External"/><Relationship Id="rId99" Type="http://schemas.openxmlformats.org/officeDocument/2006/relationships/hyperlink" Target="https://www.ocf.berkeley.edu/~pkmendez/envsci/projects/2001final/" TargetMode="External"/><Relationship Id="rId101" Type="http://schemas.openxmlformats.org/officeDocument/2006/relationships/hyperlink" Target="https://www.ocf.berkeley.edu/~pkmendez/envsci/projects/2000final/" TargetMode="External"/><Relationship Id="rId4" Type="http://schemas.openxmlformats.org/officeDocument/2006/relationships/hyperlink" Target="https://www.ocf.berkeley.edu/~pkmendez/envsci/projects/2023final/" TargetMode="External"/><Relationship Id="rId9" Type="http://schemas.openxmlformats.org/officeDocument/2006/relationships/hyperlink" Target="https://www.ocf.berkeley.edu/~pkmendez/envsci/projects/2021final/" TargetMode="External"/><Relationship Id="rId13" Type="http://schemas.openxmlformats.org/officeDocument/2006/relationships/hyperlink" Target="https://www.ocf.berkeley.edu/~pkmendez/envsci/projects/2021final/" TargetMode="External"/><Relationship Id="rId18" Type="http://schemas.openxmlformats.org/officeDocument/2006/relationships/hyperlink" Target="https://www.ocf.berkeley.edu/~pkmendez/envsci/projects/2021final/" TargetMode="External"/><Relationship Id="rId39" Type="http://schemas.openxmlformats.org/officeDocument/2006/relationships/hyperlink" Target="https://www.ocf.berkeley.edu/~pkmendez/envsci/projects/2021final/" TargetMode="External"/><Relationship Id="rId34" Type="http://schemas.openxmlformats.org/officeDocument/2006/relationships/hyperlink" Target="https://www.ocf.berkeley.edu/~pkmendez/envsci/projects/2021final/" TargetMode="External"/><Relationship Id="rId50" Type="http://schemas.openxmlformats.org/officeDocument/2006/relationships/hyperlink" Target="https://www.ocf.berkeley.edu/~pkmendez/envsci/projects/2021final/" TargetMode="External"/><Relationship Id="rId55" Type="http://schemas.openxmlformats.org/officeDocument/2006/relationships/hyperlink" Target="https://www.ocf.berkeley.edu/~pkmendez/envsci/projects/2021final/" TargetMode="External"/><Relationship Id="rId76" Type="http://schemas.openxmlformats.org/officeDocument/2006/relationships/hyperlink" Target="https://www.ocf.berkeley.edu/~pkmendez/envsci/projects/2011final/" TargetMode="External"/><Relationship Id="rId97" Type="http://schemas.openxmlformats.org/officeDocument/2006/relationships/hyperlink" Target="https://www.ocf.berkeley.edu/~pkmendez/envsci/projects/2002final/" TargetMode="External"/><Relationship Id="rId104" Type="http://schemas.openxmlformats.org/officeDocument/2006/relationships/hyperlink" Target="https://www.ocf.berkeley.edu/~pkmendez/envsci/projects/1998final/" TargetMode="External"/><Relationship Id="rId7" Type="http://schemas.openxmlformats.org/officeDocument/2006/relationships/hyperlink" Target="https://www.ocf.berkeley.edu/~pkmendez/envsci/projects/2022final/" TargetMode="External"/><Relationship Id="rId71" Type="http://schemas.openxmlformats.org/officeDocument/2006/relationships/hyperlink" Target="https://www.ocf.berkeley.edu/~pkmendez/envsci/projects/2014final/" TargetMode="External"/><Relationship Id="rId92" Type="http://schemas.openxmlformats.org/officeDocument/2006/relationships/hyperlink" Target="https://www.ocf.berkeley.edu/~pkmendez/envsci/projects/2004final/" TargetMode="External"/><Relationship Id="rId2" Type="http://schemas.openxmlformats.org/officeDocument/2006/relationships/hyperlink" Target="https://www.ocf.berkeley.edu/~pkmendez/envsci/projects/2024final/" TargetMode="External"/><Relationship Id="rId29" Type="http://schemas.openxmlformats.org/officeDocument/2006/relationships/hyperlink" Target="https://www.ocf.berkeley.edu/~pkmendez/envsci/projects/2021final/" TargetMode="External"/><Relationship Id="rId24" Type="http://schemas.openxmlformats.org/officeDocument/2006/relationships/hyperlink" Target="https://www.ocf.berkeley.edu/~pkmendez/envsci/projects/2021final/" TargetMode="External"/><Relationship Id="rId40" Type="http://schemas.openxmlformats.org/officeDocument/2006/relationships/hyperlink" Target="https://www.ocf.berkeley.edu/~pkmendez/envsci/projects/2021final/" TargetMode="External"/><Relationship Id="rId45" Type="http://schemas.openxmlformats.org/officeDocument/2006/relationships/hyperlink" Target="https://www.ocf.berkeley.edu/~pkmendez/envsci/projects/2021final/" TargetMode="External"/><Relationship Id="rId66" Type="http://schemas.openxmlformats.org/officeDocument/2006/relationships/hyperlink" Target="https://www.ocf.berkeley.edu/~pkmendez/envsci/projects/2016final/" TargetMode="External"/><Relationship Id="rId87" Type="http://schemas.openxmlformats.org/officeDocument/2006/relationships/hyperlink" Target="https://www.ocf.berkeley.edu/~pkmendez/envsci/projects/2006final/" TargetMode="External"/><Relationship Id="rId61" Type="http://schemas.openxmlformats.org/officeDocument/2006/relationships/hyperlink" Target="https://www.ocf.berkeley.edu/~pkmendez/envsci/projects/2019final/" TargetMode="External"/><Relationship Id="rId82" Type="http://schemas.openxmlformats.org/officeDocument/2006/relationships/hyperlink" Target="https://www.ocf.berkeley.edu/~pkmendez/envsci/projects/2008final/" TargetMode="External"/><Relationship Id="rId19" Type="http://schemas.openxmlformats.org/officeDocument/2006/relationships/hyperlink" Target="https://www.ocf.berkeley.edu/~pkmendez/envsci/projects/2021final/" TargetMode="External"/><Relationship Id="rId14" Type="http://schemas.openxmlformats.org/officeDocument/2006/relationships/hyperlink" Target="https://www.ocf.berkeley.edu/~pkmendez/envsci/projects/2021final/" TargetMode="External"/><Relationship Id="rId30" Type="http://schemas.openxmlformats.org/officeDocument/2006/relationships/hyperlink" Target="https://www.ocf.berkeley.edu/~pkmendez/envsci/projects/2021final/" TargetMode="External"/><Relationship Id="rId35" Type="http://schemas.openxmlformats.org/officeDocument/2006/relationships/hyperlink" Target="https://www.ocf.berkeley.edu/~pkmendez/envsci/projects/2021final/" TargetMode="External"/><Relationship Id="rId56" Type="http://schemas.openxmlformats.org/officeDocument/2006/relationships/hyperlink" Target="https://www.ocf.berkeley.edu/~pkmendez/envsci/projects/2021final/" TargetMode="External"/><Relationship Id="rId77" Type="http://schemas.openxmlformats.org/officeDocument/2006/relationships/hyperlink" Target="https://www.ocf.berkeley.edu/~pkmendez/envsci/projects/2011final/" TargetMode="External"/><Relationship Id="rId100" Type="http://schemas.openxmlformats.org/officeDocument/2006/relationships/hyperlink" Target="https://www.ocf.berkeley.edu/~pkmendez/envsci/projects/2000final/" TargetMode="External"/><Relationship Id="rId105" Type="http://schemas.openxmlformats.org/officeDocument/2006/relationships/hyperlink" Target="https://www.ocf.berkeley.edu/~pkmendez/envsci/projects/1998final/" TargetMode="External"/><Relationship Id="rId8" Type="http://schemas.openxmlformats.org/officeDocument/2006/relationships/hyperlink" Target="https://www.ocf.berkeley.edu/~pkmendez/envsci/projects/2021final/" TargetMode="External"/><Relationship Id="rId51" Type="http://schemas.openxmlformats.org/officeDocument/2006/relationships/hyperlink" Target="https://www.ocf.berkeley.edu/~pkmendez/envsci/projects/2021final/" TargetMode="External"/><Relationship Id="rId72" Type="http://schemas.openxmlformats.org/officeDocument/2006/relationships/hyperlink" Target="https://www.ocf.berkeley.edu/~pkmendez/envsci/projects/2013final/" TargetMode="External"/><Relationship Id="rId93" Type="http://schemas.openxmlformats.org/officeDocument/2006/relationships/hyperlink" Target="https://www.ocf.berkeley.edu/~pkmendez/envsci/projects/2004final/" TargetMode="External"/><Relationship Id="rId98" Type="http://schemas.openxmlformats.org/officeDocument/2006/relationships/hyperlink" Target="https://www.ocf.berkeley.edu/~pkmendez/envsci/projects/2001final/" TargetMode="External"/><Relationship Id="rId3" Type="http://schemas.openxmlformats.org/officeDocument/2006/relationships/hyperlink" Target="https://www.ocf.berkeley.edu/~pkmendez/envsci/projects/2023final/" TargetMode="External"/><Relationship Id="rId25" Type="http://schemas.openxmlformats.org/officeDocument/2006/relationships/hyperlink" Target="https://www.ocf.berkeley.edu/~pkmendez/envsci/projects/2021final/" TargetMode="External"/><Relationship Id="rId46" Type="http://schemas.openxmlformats.org/officeDocument/2006/relationships/hyperlink" Target="https://www.ocf.berkeley.edu/~pkmendez/envsci/projects/2021final/" TargetMode="External"/><Relationship Id="rId67" Type="http://schemas.openxmlformats.org/officeDocument/2006/relationships/hyperlink" Target="https://www.ocf.berkeley.edu/~pkmendez/envsci/projects/2016fin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6768-C42E-C941-AAF8-B7DFE99EFBD2}">
  <dimension ref="A1:R1270"/>
  <sheetViews>
    <sheetView tabSelected="1" topLeftCell="I1" zoomScale="75" workbookViewId="0">
      <selection activeCell="O2" sqref="O2"/>
    </sheetView>
  </sheetViews>
  <sheetFormatPr baseColWidth="10" defaultRowHeight="27" x14ac:dyDescent="0.35"/>
  <cols>
    <col min="1" max="3" width="10.83203125" style="2"/>
    <col min="4" max="4" width="11.1640625" style="2" bestFit="1" customWidth="1"/>
    <col min="5" max="5" width="15.83203125" style="2" bestFit="1" customWidth="1"/>
    <col min="6" max="8" width="10.83203125" style="2"/>
    <col min="9" max="10" width="129.5" style="2" customWidth="1"/>
    <col min="11" max="11" width="13.5" style="2" bestFit="1" customWidth="1"/>
    <col min="12" max="16384" width="10.83203125" style="2"/>
  </cols>
  <sheetData>
    <row r="1" spans="1:18" x14ac:dyDescent="0.35">
      <c r="A1" s="2" t="s">
        <v>5883</v>
      </c>
      <c r="B1" s="2" t="s">
        <v>5885</v>
      </c>
      <c r="C1" s="2" t="s">
        <v>5886</v>
      </c>
      <c r="D1" s="2" t="s">
        <v>5887</v>
      </c>
      <c r="E1" s="2" t="s">
        <v>5888</v>
      </c>
      <c r="F1" s="2" t="s">
        <v>0</v>
      </c>
      <c r="G1" s="2" t="s">
        <v>5891</v>
      </c>
      <c r="H1" s="2" t="s">
        <v>1</v>
      </c>
      <c r="I1" s="2" t="s">
        <v>2</v>
      </c>
      <c r="J1" s="2" t="s">
        <v>5892</v>
      </c>
      <c r="K1" s="2" t="s">
        <v>5894</v>
      </c>
      <c r="L1" s="2" t="s">
        <v>5895</v>
      </c>
      <c r="M1" s="2" t="s">
        <v>5896</v>
      </c>
      <c r="N1" s="2" t="s">
        <v>5897</v>
      </c>
      <c r="O1" s="2" t="s">
        <v>5898</v>
      </c>
      <c r="P1" s="2" t="s">
        <v>5889</v>
      </c>
      <c r="Q1" s="2" t="s">
        <v>5890</v>
      </c>
      <c r="R1" s="2" t="s">
        <v>5893</v>
      </c>
    </row>
    <row r="2" spans="1:18" x14ac:dyDescent="0.35">
      <c r="A2" s="2" t="s">
        <v>5884</v>
      </c>
      <c r="B2" s="2" t="s">
        <v>3</v>
      </c>
      <c r="C2" s="2" t="s">
        <v>4</v>
      </c>
      <c r="D2" s="2">
        <v>2024</v>
      </c>
      <c r="E2" s="2" t="s">
        <v>5</v>
      </c>
      <c r="F2" s="2" t="s">
        <v>6</v>
      </c>
      <c r="G2" s="2" t="s">
        <v>7</v>
      </c>
      <c r="H2" s="2" t="s">
        <v>8</v>
      </c>
      <c r="I2" s="2" t="str" cm="1">
        <f t="array" ref="I2">H2 &amp; _xlfn.REGEXEXTRACT(G2,"^[^_]+_\d{4}") &amp; ".pdf"</f>
        <v>https://www.ocf.berkeley.edu/~pkmendez/envsci/projects/2024final/AriyoshiM_2024.pdf</v>
      </c>
      <c r="J2" s="1" t="str">
        <f>HYPERLINK(I2, I2)</f>
        <v>https://www.ocf.berkeley.edu/~pkmendez/envsci/projects/2024final/AriyoshiM_2024.pdf</v>
      </c>
      <c r="K2" s="2" t="str" cm="1">
        <f t="array" ref="K2:O2">_xlfn.TAKE(TRIM(_xlfn.TEXTSPLIT(F2,{",",";"})),,5)</f>
        <v>Crop editing</v>
      </c>
      <c r="L2" s="2" t="str">
        <v>Wuschel2-assisted transformation</v>
      </c>
      <c r="M2" s="2" t="str">
        <v>immature embryo transformation</v>
      </c>
      <c r="N2" s="2" t="str">
        <v>stomatal manipulation</v>
      </c>
      <c r="O2" s="2" t="str">
        <v>water use efficiency</v>
      </c>
      <c r="P2" s="2" t="s">
        <v>9</v>
      </c>
      <c r="Q2" s="2" t="s">
        <v>10</v>
      </c>
    </row>
    <row r="3" spans="1:18" x14ac:dyDescent="0.35">
      <c r="A3" s="2" t="s">
        <v>5884</v>
      </c>
      <c r="B3" s="2" t="s">
        <v>11</v>
      </c>
      <c r="C3" s="2" t="s">
        <v>12</v>
      </c>
      <c r="D3" s="2">
        <v>2024</v>
      </c>
      <c r="E3" s="2" t="s">
        <v>13</v>
      </c>
      <c r="F3" s="2" t="s">
        <v>14</v>
      </c>
      <c r="G3" s="2" t="s">
        <v>15</v>
      </c>
      <c r="H3" s="2" t="s">
        <v>8</v>
      </c>
      <c r="I3" s="2" t="str" cm="1">
        <f t="array" ref="I3">H3 &amp; _xlfn.REGEXEXTRACT(G3,"^[^_]+_\d{4}") &amp; ".pdf"</f>
        <v>https://www.ocf.berkeley.edu/~pkmendez/envsci/projects/2024final/AsprecK_2024.pdf</v>
      </c>
      <c r="J3" s="1" t="str">
        <f t="shared" ref="J3:J66" si="0">HYPERLINK(I3, I3)</f>
        <v>https://www.ocf.berkeley.edu/~pkmendez/envsci/projects/2024final/AsprecK_2024.pdf</v>
      </c>
      <c r="K3" s="2" t="str" cm="1">
        <f t="array" ref="K3:O3">_xlfn.TAKE(TRIM(_xlfn.TEXTSPLIT(F3,{",",";"})),,5)</f>
        <v>digital storage space</v>
      </c>
      <c r="L3" s="2" t="str">
        <v>e-waste</v>
      </c>
      <c r="M3" s="2" t="str">
        <v>e-waste disposal methods</v>
      </c>
      <c r="N3" s="2" t="str">
        <v>Nintendo</v>
      </c>
      <c r="O3" s="2" t="str">
        <v>survey</v>
      </c>
      <c r="P3" s="2" t="s">
        <v>9</v>
      </c>
      <c r="Q3" s="2" t="s">
        <v>10</v>
      </c>
    </row>
    <row r="4" spans="1:18" x14ac:dyDescent="0.35">
      <c r="A4" s="2" t="s">
        <v>5884</v>
      </c>
      <c r="B4" s="2" t="s">
        <v>16</v>
      </c>
      <c r="C4" s="2" t="s">
        <v>17</v>
      </c>
      <c r="D4" s="2">
        <v>2024</v>
      </c>
      <c r="E4" s="2" t="s">
        <v>18</v>
      </c>
      <c r="F4" s="2" t="s">
        <v>19</v>
      </c>
      <c r="G4" s="2" t="s">
        <v>20</v>
      </c>
      <c r="H4" s="2" t="s">
        <v>8</v>
      </c>
      <c r="I4" s="2" t="str" cm="1">
        <f t="array" ref="I4">H4 &amp; _xlfn.REGEXEXTRACT(G4,"^[^_]+_\d{4}") &amp; ".pdf"</f>
        <v>https://www.ocf.berkeley.edu/~pkmendez/envsci/projects/2024final/AuerT_2024.pdf</v>
      </c>
      <c r="J4" s="1" t="str">
        <f t="shared" si="0"/>
        <v>https://www.ocf.berkeley.edu/~pkmendez/envsci/projects/2024final/AuerT_2024.pdf</v>
      </c>
      <c r="K4" s="2" t="str" cm="1">
        <f t="array" ref="K4:O4">_xlfn.TAKE(TRIM(_xlfn.TEXTSPLIT(F4,{",",";"})),,5)</f>
        <v>Labile Carbon</v>
      </c>
      <c r="L4" s="2" t="str">
        <v>Hot Water Extraction</v>
      </c>
      <c r="M4" s="2" t="str">
        <v>Compost</v>
      </c>
      <c r="N4" s="2" t="str">
        <v>Persistent Carbon</v>
      </c>
      <c r="O4" s="2" t="str">
        <v>Nitrogen</v>
      </c>
      <c r="P4" s="2" t="s">
        <v>9</v>
      </c>
      <c r="Q4" s="2" t="s">
        <v>10</v>
      </c>
    </row>
    <row r="5" spans="1:18" x14ac:dyDescent="0.35">
      <c r="A5" s="2" t="s">
        <v>5884</v>
      </c>
      <c r="B5" s="2" t="s">
        <v>21</v>
      </c>
      <c r="C5" s="2" t="s">
        <v>22</v>
      </c>
      <c r="D5" s="2">
        <v>2024</v>
      </c>
      <c r="E5" s="2" t="s">
        <v>23</v>
      </c>
      <c r="F5" s="2" t="s">
        <v>24</v>
      </c>
      <c r="G5" s="2" t="s">
        <v>25</v>
      </c>
      <c r="H5" s="2" t="s">
        <v>8</v>
      </c>
      <c r="I5" s="2" t="str" cm="1">
        <f t="array" ref="I5">H5 &amp; _xlfn.REGEXEXTRACT(G5,"^[^_]+_\d{4}") &amp; ".pdf"</f>
        <v>https://www.ocf.berkeley.edu/~pkmendez/envsci/projects/2024final/AvidaN_2024.pdf</v>
      </c>
      <c r="J5" s="1" t="str">
        <f t="shared" si="0"/>
        <v>https://www.ocf.berkeley.edu/~pkmendez/envsci/projects/2024final/AvidaN_2024.pdf</v>
      </c>
      <c r="K5" s="2" t="str" cm="1">
        <f t="array" ref="K5:O5">_xlfn.TAKE(TRIM(_xlfn.TEXTSPLIT(F5,{",",";"})),,5)</f>
        <v>Interconnection queues</v>
      </c>
      <c r="L5" s="2" t="str">
        <v>renewable energy</v>
      </c>
      <c r="M5" s="2" t="str">
        <v>electricity</v>
      </c>
      <c r="N5" s="2" t="str">
        <v>PJM</v>
      </c>
      <c r="O5" s="2" t="str">
        <v>machine learning</v>
      </c>
      <c r="P5" s="2" t="s">
        <v>9</v>
      </c>
      <c r="Q5" s="2" t="s">
        <v>10</v>
      </c>
    </row>
    <row r="6" spans="1:18" x14ac:dyDescent="0.35">
      <c r="A6" s="2" t="s">
        <v>5884</v>
      </c>
      <c r="B6" s="2" t="s">
        <v>26</v>
      </c>
      <c r="C6" s="2" t="s">
        <v>27</v>
      </c>
      <c r="D6" s="2">
        <v>2024</v>
      </c>
      <c r="E6" s="2" t="s">
        <v>28</v>
      </c>
      <c r="F6" s="2" t="s">
        <v>29</v>
      </c>
      <c r="G6" s="2" t="s">
        <v>30</v>
      </c>
      <c r="H6" s="2" t="s">
        <v>8</v>
      </c>
      <c r="I6" s="2" t="str" cm="1">
        <f t="array" ref="I6">H6 &amp; _xlfn.REGEXEXTRACT(G6,"^[^_]+_\d{4}") &amp; ".pdf"</f>
        <v>https://www.ocf.berkeley.edu/~pkmendez/envsci/projects/2024final/BillatM_2024.pdf</v>
      </c>
      <c r="J6" s="1" t="str">
        <f t="shared" si="0"/>
        <v>https://www.ocf.berkeley.edu/~pkmendez/envsci/projects/2024final/BillatM_2024.pdf</v>
      </c>
      <c r="K6" s="2" t="str" cm="1">
        <f t="array" ref="K6:O6">_xlfn.TAKE(TRIM(_xlfn.TEXTSPLIT(F6,{",",";"})),,5)</f>
        <v>Secondary Metabolites</v>
      </c>
      <c r="L6" s="2" t="str">
        <v>Germination Rates</v>
      </c>
      <c r="M6" s="2" t="str">
        <v>Growth Rates</v>
      </c>
      <c r="N6" s="2" t="str">
        <v>Perennial Grasses</v>
      </c>
      <c r="O6" s="2" t="str">
        <v>Annual Grasses</v>
      </c>
      <c r="P6" s="2" t="s">
        <v>9</v>
      </c>
      <c r="Q6" s="2" t="s">
        <v>10</v>
      </c>
    </row>
    <row r="7" spans="1:18" x14ac:dyDescent="0.35">
      <c r="A7" s="2" t="s">
        <v>5884</v>
      </c>
      <c r="B7" s="2" t="s">
        <v>31</v>
      </c>
      <c r="C7" s="2" t="s">
        <v>32</v>
      </c>
      <c r="D7" s="2">
        <v>2024</v>
      </c>
      <c r="E7" s="2" t="s">
        <v>33</v>
      </c>
      <c r="F7" s="2" t="s">
        <v>34</v>
      </c>
      <c r="G7" s="2" t="s">
        <v>35</v>
      </c>
      <c r="H7" s="2" t="s">
        <v>8</v>
      </c>
      <c r="I7" s="2" t="str" cm="1">
        <f t="array" ref="I7">H7 &amp; _xlfn.REGEXEXTRACT(G7,"^[^_]+_\d{4}") &amp; ".pdf"</f>
        <v>https://www.ocf.berkeley.edu/~pkmendez/envsci/projects/2024final/BoydG_2024.pdf</v>
      </c>
      <c r="J7" s="1" t="str">
        <f t="shared" si="0"/>
        <v>https://www.ocf.berkeley.edu/~pkmendez/envsci/projects/2024final/BoydG_2024.pdf</v>
      </c>
      <c r="K7" s="2" t="str" cm="1">
        <f t="array" ref="K7:O7">_xlfn.TAKE(TRIM(_xlfn.TEXTSPLIT(F7,{",",";"})),,5)</f>
        <v>wetland loss</v>
      </c>
      <c r="L7" s="2" t="str">
        <v>socioecology</v>
      </c>
      <c r="M7" s="2" t="str">
        <v>hybrid infrastructure</v>
      </c>
      <c r="N7" s="2" t="str">
        <v>land use planning</v>
      </c>
      <c r="O7" s="2" t="str">
        <v>mangrove habitat</v>
      </c>
      <c r="P7" s="2" t="s">
        <v>9</v>
      </c>
      <c r="Q7" s="2" t="s">
        <v>10</v>
      </c>
    </row>
    <row r="8" spans="1:18" x14ac:dyDescent="0.35">
      <c r="A8" s="2" t="s">
        <v>5884</v>
      </c>
      <c r="B8" s="2" t="s">
        <v>36</v>
      </c>
      <c r="C8" s="2" t="s">
        <v>37</v>
      </c>
      <c r="D8" s="2">
        <v>2024</v>
      </c>
      <c r="E8" s="2" t="s">
        <v>38</v>
      </c>
      <c r="F8" s="2" t="s">
        <v>39</v>
      </c>
      <c r="G8" s="2" t="s">
        <v>40</v>
      </c>
      <c r="H8" s="2" t="s">
        <v>8</v>
      </c>
      <c r="I8" s="2" t="str" cm="1">
        <f t="array" ref="I8">H8 &amp; _xlfn.REGEXEXTRACT(G8,"^[^_]+_\d{4}") &amp; ".pdf"</f>
        <v>https://www.ocf.berkeley.edu/~pkmendez/envsci/projects/2024final/BurnsM_2024.pdf</v>
      </c>
      <c r="J8" s="1" t="str">
        <f t="shared" si="0"/>
        <v>https://www.ocf.berkeley.edu/~pkmendez/envsci/projects/2024final/BurnsM_2024.pdf</v>
      </c>
      <c r="K8" s="2" t="str" cm="1">
        <f t="array" ref="K8:N8">_xlfn.TAKE(TRIM(_xlfn.TEXTSPLIT(F8,{",",";"})),,5)</f>
        <v>Vegetation health</v>
      </c>
      <c r="L8" s="2" t="str">
        <v>fog and low cloud cover (FLCC)</v>
      </c>
      <c r="M8" s="2" t="str">
        <v>remote sensing tools</v>
      </c>
      <c r="N8" s="2" t="str">
        <v>wildfire burn severity</v>
      </c>
      <c r="P8" s="2" t="s">
        <v>9</v>
      </c>
      <c r="Q8" s="2" t="s">
        <v>10</v>
      </c>
    </row>
    <row r="9" spans="1:18" x14ac:dyDescent="0.35">
      <c r="A9" s="2" t="s">
        <v>5884</v>
      </c>
      <c r="B9" s="2" t="s">
        <v>41</v>
      </c>
      <c r="C9" s="2" t="s">
        <v>42</v>
      </c>
      <c r="D9" s="2">
        <v>2024</v>
      </c>
      <c r="E9" s="2" t="s">
        <v>43</v>
      </c>
      <c r="F9" s="2" t="s">
        <v>44</v>
      </c>
      <c r="G9" s="2" t="s">
        <v>45</v>
      </c>
      <c r="H9" s="2" t="s">
        <v>8</v>
      </c>
      <c r="I9" s="2" t="str" cm="1">
        <f t="array" ref="I9">H9 &amp; _xlfn.REGEXEXTRACT(G9,"^[^_]+_\d{4}") &amp; ".pdf"</f>
        <v>https://www.ocf.berkeley.edu/~pkmendez/envsci/projects/2024final/CampbellJ_2024.pdf</v>
      </c>
      <c r="J9" s="1" t="str">
        <f t="shared" si="0"/>
        <v>https://www.ocf.berkeley.edu/~pkmendez/envsci/projects/2024final/CampbellJ_2024.pdf</v>
      </c>
      <c r="K9" s="2" t="str" cm="1">
        <f t="array" ref="K9:O9">_xlfn.TAKE(TRIM(_xlfn.TEXTSPLIT(F9,{",",";"})),,5)</f>
        <v>Benthic Zone</v>
      </c>
      <c r="L9" s="2" t="str">
        <v>Riffle Zone</v>
      </c>
      <c r="M9" s="2" t="str">
        <v>Depositional Zone</v>
      </c>
      <c r="N9" s="2" t="str">
        <v>Pollution</v>
      </c>
      <c r="O9" s="2" t="str">
        <v>Disturbance</v>
      </c>
      <c r="P9" s="2" t="s">
        <v>9</v>
      </c>
      <c r="Q9" s="2" t="s">
        <v>10</v>
      </c>
    </row>
    <row r="10" spans="1:18" x14ac:dyDescent="0.35">
      <c r="A10" s="2" t="s">
        <v>5884</v>
      </c>
      <c r="B10" s="2" t="s">
        <v>46</v>
      </c>
      <c r="C10" s="2" t="s">
        <v>47</v>
      </c>
      <c r="D10" s="2">
        <v>2024</v>
      </c>
      <c r="E10" s="2" t="s">
        <v>48</v>
      </c>
      <c r="F10" s="2" t="s">
        <v>49</v>
      </c>
      <c r="G10" s="2" t="s">
        <v>50</v>
      </c>
      <c r="H10" s="2" t="s">
        <v>8</v>
      </c>
      <c r="I10" s="2" t="str" cm="1">
        <f t="array" ref="I10">H10 &amp; _xlfn.REGEXEXTRACT(G10,"^[^_]+_\d{4}") &amp; ".pdf"</f>
        <v>https://www.ocf.berkeley.edu/~pkmendez/envsci/projects/2024final/CampellE_2024.pdf</v>
      </c>
      <c r="J10" s="1" t="str">
        <f t="shared" si="0"/>
        <v>https://www.ocf.berkeley.edu/~pkmendez/envsci/projects/2024final/CampellE_2024.pdf</v>
      </c>
      <c r="K10" s="2" t="str" cm="1">
        <f t="array" ref="K10:O10">_xlfn.TAKE(TRIM(_xlfn.TEXTSPLIT(F10,{",",";"})),,5)</f>
        <v>MARSS model</v>
      </c>
      <c r="L10" s="2" t="str">
        <v>Central California Coast coho</v>
      </c>
      <c r="M10" s="2" t="str">
        <v>phenology</v>
      </c>
      <c r="N10" s="2" t="str">
        <v>endangered species</v>
      </c>
      <c r="O10" s="2" t="str">
        <v>ocean upwelling</v>
      </c>
      <c r="P10" s="2" t="s">
        <v>9</v>
      </c>
      <c r="Q10" s="2" t="s">
        <v>10</v>
      </c>
    </row>
    <row r="11" spans="1:18" x14ac:dyDescent="0.35">
      <c r="A11" s="2" t="s">
        <v>5884</v>
      </c>
      <c r="B11" s="2" t="s">
        <v>51</v>
      </c>
      <c r="C11" s="2" t="s">
        <v>52</v>
      </c>
      <c r="D11" s="2">
        <v>2024</v>
      </c>
      <c r="E11" s="2" t="s">
        <v>53</v>
      </c>
      <c r="F11" s="2" t="s">
        <v>54</v>
      </c>
      <c r="G11" s="2" t="s">
        <v>55</v>
      </c>
      <c r="H11" s="2" t="s">
        <v>8</v>
      </c>
      <c r="I11" s="2" t="str" cm="1">
        <f t="array" ref="I11">H11 &amp; _xlfn.REGEXEXTRACT(G11,"^[^_]+_\d{4}") &amp; ".pdf"</f>
        <v>https://www.ocf.berkeley.edu/~pkmendez/envsci/projects/2024final/CasoS_2024.pdf</v>
      </c>
      <c r="J11" s="1" t="str">
        <f t="shared" si="0"/>
        <v>https://www.ocf.berkeley.edu/~pkmendez/envsci/projects/2024final/CasoS_2024.pdf</v>
      </c>
      <c r="K11" s="2" t="str" cm="1">
        <f t="array" ref="K11:O11">_xlfn.TAKE(TRIM(_xlfn.TEXTSPLIT(F11,{",",";"})),,5)</f>
        <v>solitary bee</v>
      </c>
      <c r="L11" s="2" t="str">
        <v>urbanization</v>
      </c>
      <c r="M11" s="2" t="str">
        <v>fecundity</v>
      </c>
      <c r="N11" s="2" t="str">
        <v>landscape composition</v>
      </c>
      <c r="O11" s="2" t="str">
        <v>mixed effect model</v>
      </c>
      <c r="P11" s="2" t="s">
        <v>9</v>
      </c>
      <c r="Q11" s="2" t="s">
        <v>10</v>
      </c>
    </row>
    <row r="12" spans="1:18" x14ac:dyDescent="0.35">
      <c r="A12" s="2" t="s">
        <v>5884</v>
      </c>
      <c r="B12" s="2" t="s">
        <v>56</v>
      </c>
      <c r="C12" s="2" t="s">
        <v>57</v>
      </c>
      <c r="D12" s="2">
        <v>2024</v>
      </c>
      <c r="E12" s="2" t="s">
        <v>58</v>
      </c>
      <c r="F12" s="2" t="s">
        <v>59</v>
      </c>
      <c r="G12" s="2" t="s">
        <v>60</v>
      </c>
      <c r="H12" s="2" t="s">
        <v>8</v>
      </c>
      <c r="I12" s="2" t="str" cm="1">
        <f t="array" ref="I12">H12 &amp; _xlfn.REGEXEXTRACT(G12,"^[^_]+_\d{4}") &amp; ".pdf"</f>
        <v>https://www.ocf.berkeley.edu/~pkmendez/envsci/projects/2024final/CastilloM_2024.pdf</v>
      </c>
      <c r="J12" s="1" t="str">
        <f t="shared" si="0"/>
        <v>https://www.ocf.berkeley.edu/~pkmendez/envsci/projects/2024final/CastilloM_2024.pdf</v>
      </c>
      <c r="K12" s="2" t="str" cm="1">
        <f t="array" ref="K12:O12">_xlfn.TAKE(TRIM(_xlfn.TEXTSPLIT(F12,{",",";"})),,5)</f>
        <v>intermittent streams</v>
      </c>
      <c r="L12" s="2" t="str">
        <v>climate change</v>
      </c>
      <c r="M12" s="2" t="str">
        <v>multivariate autoregressive state space (MARSS) models</v>
      </c>
      <c r="N12" s="2" t="str">
        <v>wavelet analyses</v>
      </c>
      <c r="O12" s="2" t="str">
        <v>spatial scale interactions</v>
      </c>
      <c r="P12" s="2" t="s">
        <v>9</v>
      </c>
      <c r="Q12" s="2" t="s">
        <v>10</v>
      </c>
    </row>
    <row r="13" spans="1:18" x14ac:dyDescent="0.35">
      <c r="A13" s="2" t="s">
        <v>5884</v>
      </c>
      <c r="B13" s="2" t="s">
        <v>61</v>
      </c>
      <c r="C13" s="2" t="s">
        <v>62</v>
      </c>
      <c r="D13" s="2">
        <v>2024</v>
      </c>
      <c r="E13" s="2" t="s">
        <v>63</v>
      </c>
      <c r="F13" s="2" t="s">
        <v>64</v>
      </c>
      <c r="G13" s="2" t="s">
        <v>65</v>
      </c>
      <c r="H13" s="2" t="s">
        <v>8</v>
      </c>
      <c r="I13" s="2" t="str" cm="1">
        <f t="array" ref="I13">H13 &amp; _xlfn.REGEXEXTRACT(G13,"^[^_]+_\d{4}") &amp; ".pdf"</f>
        <v>https://www.ocf.berkeley.edu/~pkmendez/envsci/projects/2024final/ChanR_2024.pdf</v>
      </c>
      <c r="J13" s="1" t="str">
        <f t="shared" si="0"/>
        <v>https://www.ocf.berkeley.edu/~pkmendez/envsci/projects/2024final/ChanR_2024.pdf</v>
      </c>
      <c r="K13" s="2" t="str" cm="1">
        <f t="array" ref="K13:O13">_xlfn.TAKE(TRIM(_xlfn.TEXTSPLIT(F13,{",",";"})),,5)</f>
        <v>Parks</v>
      </c>
      <c r="L13" s="2" t="str">
        <v>green buildings</v>
      </c>
      <c r="M13" s="2" t="str">
        <v>city planning</v>
      </c>
      <c r="N13" s="2" t="str">
        <v>green architecture</v>
      </c>
      <c r="O13" s="2" t="str">
        <v>resilience</v>
      </c>
      <c r="P13" s="2" t="s">
        <v>9</v>
      </c>
      <c r="Q13" s="2" t="s">
        <v>10</v>
      </c>
    </row>
    <row r="14" spans="1:18" x14ac:dyDescent="0.35">
      <c r="A14" s="2" t="s">
        <v>5884</v>
      </c>
      <c r="B14" s="2" t="s">
        <v>66</v>
      </c>
      <c r="C14" s="2" t="s">
        <v>67</v>
      </c>
      <c r="D14" s="2">
        <v>2024</v>
      </c>
      <c r="E14" s="2" t="s">
        <v>68</v>
      </c>
      <c r="F14" s="2" t="s">
        <v>69</v>
      </c>
      <c r="G14" s="2" t="s">
        <v>70</v>
      </c>
      <c r="H14" s="2" t="s">
        <v>8</v>
      </c>
      <c r="I14" s="2" t="str" cm="1">
        <f t="array" ref="I14">H14 &amp; _xlfn.REGEXEXTRACT(G14,"^[^_]+_\d{4}") &amp; ".pdf"</f>
        <v>https://www.ocf.berkeley.edu/~pkmendez/envsci/projects/2024final/ChenG_2024.pdf</v>
      </c>
      <c r="J14" s="1" t="str">
        <f t="shared" si="0"/>
        <v>https://www.ocf.berkeley.edu/~pkmendez/envsci/projects/2024final/ChenG_2024.pdf</v>
      </c>
      <c r="K14" s="2" t="str" cm="1">
        <f t="array" ref="K14:O14">_xlfn.TAKE(TRIM(_xlfn.TEXTSPLIT(F14,{",",";"})),,5)</f>
        <v>Waste Management</v>
      </c>
      <c r="L14" s="2" t="str">
        <v>Black Soldier Fly</v>
      </c>
      <c r="M14" s="2" t="str">
        <v>Life Cycle Assessment</v>
      </c>
      <c r="N14" s="2" t="str">
        <v>Composting</v>
      </c>
      <c r="O14" s="2" t="str">
        <v>Plastic Alternative</v>
      </c>
      <c r="P14" s="2" t="s">
        <v>9</v>
      </c>
      <c r="Q14" s="2" t="s">
        <v>10</v>
      </c>
    </row>
    <row r="15" spans="1:18" x14ac:dyDescent="0.35">
      <c r="A15" s="2" t="s">
        <v>5884</v>
      </c>
      <c r="B15" s="2" t="s">
        <v>71</v>
      </c>
      <c r="C15" s="2" t="s">
        <v>72</v>
      </c>
      <c r="D15" s="2">
        <v>2024</v>
      </c>
      <c r="E15" s="2" t="s">
        <v>73</v>
      </c>
      <c r="F15" s="2" t="s">
        <v>74</v>
      </c>
      <c r="G15" s="2" t="s">
        <v>75</v>
      </c>
      <c r="H15" s="2" t="s">
        <v>8</v>
      </c>
      <c r="I15" s="2" t="str" cm="1">
        <f t="array" ref="I15">H15 &amp; _xlfn.REGEXEXTRACT(G15,"^[^_]+_\d{4}") &amp; ".pdf"</f>
        <v>https://www.ocf.berkeley.edu/~pkmendez/envsci/projects/2024final/ChoiK_2024.pdf</v>
      </c>
      <c r="J15" s="1" t="str">
        <f t="shared" si="0"/>
        <v>https://www.ocf.berkeley.edu/~pkmendez/envsci/projects/2024final/ChoiK_2024.pdf</v>
      </c>
      <c r="K15" s="2" t="str" cm="1">
        <f t="array" ref="K15:O15">_xlfn.TAKE(TRIM(_xlfn.TEXTSPLIT(F15,{",",";"})),,5)</f>
        <v>random forests</v>
      </c>
      <c r="L15" s="2" t="str">
        <v>temperature</v>
      </c>
      <c r="M15" s="2" t="str">
        <v>chlorophyll</v>
      </c>
      <c r="N15" s="2" t="str">
        <v>salinity</v>
      </c>
      <c r="O15" s="2" t="str">
        <v>taxonomic family</v>
      </c>
      <c r="P15" s="2" t="s">
        <v>9</v>
      </c>
      <c r="Q15" s="2" t="s">
        <v>10</v>
      </c>
    </row>
    <row r="16" spans="1:18" x14ac:dyDescent="0.35">
      <c r="A16" s="2" t="s">
        <v>5884</v>
      </c>
      <c r="B16" s="2" t="s">
        <v>76</v>
      </c>
      <c r="C16" s="2" t="s">
        <v>77</v>
      </c>
      <c r="D16" s="2">
        <v>2024</v>
      </c>
      <c r="E16" s="2" t="s">
        <v>78</v>
      </c>
      <c r="F16" s="2" t="s">
        <v>79</v>
      </c>
      <c r="G16" s="2" t="s">
        <v>80</v>
      </c>
      <c r="H16" s="2" t="s">
        <v>8</v>
      </c>
      <c r="I16" s="2" t="str" cm="1">
        <f t="array" ref="I16">H16 &amp; _xlfn.REGEXEXTRACT(G16,"^[^_]+_\d{4}") &amp; ".pdf"</f>
        <v>https://www.ocf.berkeley.edu/~pkmendez/envsci/projects/2024final/CundiffB_2024.pdf</v>
      </c>
      <c r="J16" s="1" t="str">
        <f t="shared" si="0"/>
        <v>https://www.ocf.berkeley.edu/~pkmendez/envsci/projects/2024final/CundiffB_2024.pdf</v>
      </c>
      <c r="K16" s="2" t="str" cm="1">
        <f t="array" ref="K16:O16">_xlfn.TAKE(TRIM(_xlfn.TEXTSPLIT(F16,{",",";"})),,5)</f>
        <v>Latex exudation</v>
      </c>
      <c r="L16" s="2" t="str">
        <v>laticifers</v>
      </c>
      <c r="M16" s="2" t="str">
        <v>plant defense</v>
      </c>
      <c r="N16" s="2" t="str">
        <v>trenching behaviors</v>
      </c>
      <c r="O16" s="2" t="str">
        <v>vein hierarchies</v>
      </c>
      <c r="P16" s="2" t="s">
        <v>9</v>
      </c>
      <c r="Q16" s="2" t="s">
        <v>10</v>
      </c>
    </row>
    <row r="17" spans="1:17" x14ac:dyDescent="0.35">
      <c r="A17" s="2" t="s">
        <v>5884</v>
      </c>
      <c r="B17" s="2" t="s">
        <v>81</v>
      </c>
      <c r="C17" s="2" t="s">
        <v>82</v>
      </c>
      <c r="D17" s="2">
        <v>2024</v>
      </c>
      <c r="E17" s="2" t="s">
        <v>83</v>
      </c>
      <c r="F17" s="2" t="s">
        <v>84</v>
      </c>
      <c r="G17" s="2" t="s">
        <v>85</v>
      </c>
      <c r="H17" s="2" t="s">
        <v>8</v>
      </c>
      <c r="I17" s="2" t="str" cm="1">
        <f t="array" ref="I17">H17 &amp; _xlfn.REGEXEXTRACT(G17,"^[^_]+_\d{4}") &amp; ".pdf"</f>
        <v>https://www.ocf.berkeley.edu/~pkmendez/envsci/projects/2024final/DharmapalanDR_2024.pdf</v>
      </c>
      <c r="J17" s="1" t="str">
        <f t="shared" si="0"/>
        <v>https://www.ocf.berkeley.edu/~pkmendez/envsci/projects/2024final/DharmapalanDR_2024.pdf</v>
      </c>
      <c r="K17" s="2" t="str" cm="1">
        <f t="array" ref="K17:O17">_xlfn.TAKE(TRIM(_xlfn.TEXTSPLIT(F17,{",",";"})),,5)</f>
        <v>Air Quality</v>
      </c>
      <c r="L17" s="2" t="str">
        <v>Environmental Health</v>
      </c>
      <c r="M17" s="2" t="str">
        <v>Regression</v>
      </c>
      <c r="N17" s="2" t="str">
        <v>Race</v>
      </c>
      <c r="O17" s="2" t="str">
        <v>Gestation</v>
      </c>
      <c r="P17" s="2" t="s">
        <v>9</v>
      </c>
      <c r="Q17" s="2" t="s">
        <v>10</v>
      </c>
    </row>
    <row r="18" spans="1:17" x14ac:dyDescent="0.35">
      <c r="A18" s="2" t="s">
        <v>5884</v>
      </c>
      <c r="B18" s="2" t="s">
        <v>86</v>
      </c>
      <c r="C18" s="2" t="s">
        <v>87</v>
      </c>
      <c r="D18" s="2">
        <v>2024</v>
      </c>
      <c r="E18" s="2" t="s">
        <v>88</v>
      </c>
      <c r="F18" s="2" t="s">
        <v>89</v>
      </c>
      <c r="G18" s="2" t="s">
        <v>90</v>
      </c>
      <c r="H18" s="2" t="s">
        <v>8</v>
      </c>
      <c r="I18" s="2" t="str" cm="1">
        <f t="array" ref="I18">H18 &amp; _xlfn.REGEXEXTRACT(G18,"^[^_]+_\d{4}") &amp; ".pdf"</f>
        <v>https://www.ocf.berkeley.edu/~pkmendez/envsci/projects/2024final/DhillonS_2024.pdf</v>
      </c>
      <c r="J18" s="1" t="str">
        <f t="shared" si="0"/>
        <v>https://www.ocf.berkeley.edu/~pkmendez/envsci/projects/2024final/DhillonS_2024.pdf</v>
      </c>
      <c r="K18" s="2" t="str" cm="1">
        <f t="array" ref="K18:O18">_xlfn.TAKE(TRIM(_xlfn.TEXTSPLIT(F18,{",",";"})),,5)</f>
        <v>infectivity</v>
      </c>
      <c r="L18" s="2" t="str">
        <v>disease ecology</v>
      </c>
      <c r="M18" s="2" t="str">
        <v>phylogenetic clade</v>
      </c>
      <c r="N18" s="2" t="str">
        <v>genetic sequence</v>
      </c>
      <c r="O18" s="2" t="str">
        <v>PCR amplification</v>
      </c>
      <c r="P18" s="2" t="s">
        <v>9</v>
      </c>
      <c r="Q18" s="2" t="s">
        <v>10</v>
      </c>
    </row>
    <row r="19" spans="1:17" x14ac:dyDescent="0.35">
      <c r="A19" s="2" t="s">
        <v>5884</v>
      </c>
      <c r="B19" s="2" t="s">
        <v>91</v>
      </c>
      <c r="C19" s="2" t="s">
        <v>92</v>
      </c>
      <c r="D19" s="2">
        <v>2024</v>
      </c>
      <c r="E19" s="2" t="s">
        <v>93</v>
      </c>
      <c r="F19" s="2" t="s">
        <v>94</v>
      </c>
      <c r="G19" s="2" t="s">
        <v>95</v>
      </c>
      <c r="H19" s="2" t="s">
        <v>8</v>
      </c>
      <c r="I19" s="2" t="str" cm="1">
        <f t="array" ref="I19">H19 &amp; _xlfn.REGEXEXTRACT(G19,"^[^_]+_\d{4}") &amp; ".pdf"</f>
        <v>https://www.ocf.berkeley.edu/~pkmendez/envsci/projects/2024final/DoranD_2024.pdf</v>
      </c>
      <c r="J19" s="1" t="str">
        <f t="shared" si="0"/>
        <v>https://www.ocf.berkeley.edu/~pkmendez/envsci/projects/2024final/DoranD_2024.pdf</v>
      </c>
      <c r="K19" s="2" t="str" cm="1">
        <f t="array" ref="K19:O19">_xlfn.TAKE(TRIM(_xlfn.TEXTSPLIT(F19,{",",";"})),,5)</f>
        <v>Atmospheric River</v>
      </c>
      <c r="L19" s="2" t="str">
        <v>Climate Change</v>
      </c>
      <c r="M19" s="2" t="str">
        <v>California Flood</v>
      </c>
      <c r="N19" s="2" t="str">
        <v>Kings River</v>
      </c>
      <c r="O19" s="2" t="str">
        <v>Extreme Precipitation</v>
      </c>
      <c r="P19" s="2" t="s">
        <v>9</v>
      </c>
      <c r="Q19" s="2" t="s">
        <v>10</v>
      </c>
    </row>
    <row r="20" spans="1:17" x14ac:dyDescent="0.35">
      <c r="A20" s="2" t="s">
        <v>5884</v>
      </c>
      <c r="B20" s="2" t="s">
        <v>96</v>
      </c>
      <c r="C20" s="2" t="s">
        <v>97</v>
      </c>
      <c r="D20" s="2">
        <v>2024</v>
      </c>
      <c r="E20" s="2" t="s">
        <v>98</v>
      </c>
      <c r="F20" s="2" t="s">
        <v>99</v>
      </c>
      <c r="G20" s="2" t="s">
        <v>100</v>
      </c>
      <c r="H20" s="2" t="s">
        <v>8</v>
      </c>
      <c r="I20" s="2" t="str" cm="1">
        <f t="array" ref="I20">H20 &amp; _xlfn.REGEXEXTRACT(G20,"^[^_]+_\d{4}") &amp; ".pdf"</f>
        <v>https://www.ocf.berkeley.edu/~pkmendez/envsci/projects/2024final/EchevarriaT_2024.pdf</v>
      </c>
      <c r="J20" s="1" t="str">
        <f t="shared" si="0"/>
        <v>https://www.ocf.berkeley.edu/~pkmendez/envsci/projects/2024final/EchevarriaT_2024.pdf</v>
      </c>
      <c r="K20" s="2" t="str" cm="1">
        <f t="array" ref="K20:O20">_xlfn.TAKE(TRIM(_xlfn.TEXTSPLIT(F20,{",",";"})),,5)</f>
        <v>Perfluorooctanoic Acid</v>
      </c>
      <c r="L20" s="2" t="str">
        <v>public health</v>
      </c>
      <c r="M20" s="2" t="str">
        <v>groundwater</v>
      </c>
      <c r="N20" s="2" t="str">
        <v>spatial analysis</v>
      </c>
      <c r="O20" s="2" t="str">
        <v>public water systems</v>
      </c>
      <c r="P20" s="2" t="s">
        <v>9</v>
      </c>
      <c r="Q20" s="2" t="s">
        <v>10</v>
      </c>
    </row>
    <row r="21" spans="1:17" x14ac:dyDescent="0.35">
      <c r="A21" s="2" t="s">
        <v>5884</v>
      </c>
      <c r="B21" s="2" t="s">
        <v>101</v>
      </c>
      <c r="C21" s="2" t="s">
        <v>102</v>
      </c>
      <c r="D21" s="2">
        <v>2024</v>
      </c>
      <c r="E21" s="2" t="s">
        <v>103</v>
      </c>
      <c r="F21" s="2" t="s">
        <v>104</v>
      </c>
      <c r="G21" s="2" t="s">
        <v>105</v>
      </c>
      <c r="H21" s="2" t="s">
        <v>8</v>
      </c>
      <c r="I21" s="2" t="str" cm="1">
        <f t="array" ref="I21">H21 &amp; _xlfn.REGEXEXTRACT(G21,"^[^_]+_\d{4}") &amp; ".pdf"</f>
        <v>https://www.ocf.berkeley.edu/~pkmendez/envsci/projects/2024final/EliasT_2024.pdf</v>
      </c>
      <c r="J21" s="1" t="str">
        <f t="shared" si="0"/>
        <v>https://www.ocf.berkeley.edu/~pkmendez/envsci/projects/2024final/EliasT_2024.pdf</v>
      </c>
      <c r="K21" s="2" t="str" cm="1">
        <f t="array" ref="K21:O21">_xlfn.TAKE(TRIM(_xlfn.TEXTSPLIT(F21,{",",";"})),,5)</f>
        <v>entomology</v>
      </c>
      <c r="L21" s="2" t="str">
        <v>Lepidoptera</v>
      </c>
      <c r="M21" s="2" t="str">
        <v>plant-insect interactions</v>
      </c>
      <c r="N21" s="2" t="str">
        <v>wandering stage</v>
      </c>
      <c r="O21" s="2" t="str">
        <v>insect behavior</v>
      </c>
      <c r="P21" s="2" t="s">
        <v>9</v>
      </c>
      <c r="Q21" s="2" t="s">
        <v>10</v>
      </c>
    </row>
    <row r="22" spans="1:17" x14ac:dyDescent="0.35">
      <c r="A22" s="2" t="s">
        <v>5884</v>
      </c>
      <c r="B22" s="2" t="s">
        <v>106</v>
      </c>
      <c r="C22" s="2" t="s">
        <v>107</v>
      </c>
      <c r="D22" s="2">
        <v>2024</v>
      </c>
      <c r="E22" s="2" t="s">
        <v>108</v>
      </c>
      <c r="F22" s="2" t="s">
        <v>109</v>
      </c>
      <c r="G22" s="2" t="s">
        <v>110</v>
      </c>
      <c r="H22" s="2" t="s">
        <v>8</v>
      </c>
      <c r="I22" s="2" t="str" cm="1">
        <f t="array" ref="I22">H22 &amp; _xlfn.REGEXEXTRACT(G22,"^[^_]+_\d{4}") &amp; ".pdf"</f>
        <v>https://www.ocf.berkeley.edu/~pkmendez/envsci/projects/2024final/FisterA_2024.pdf</v>
      </c>
      <c r="J22" s="1" t="str">
        <f t="shared" si="0"/>
        <v>https://www.ocf.berkeley.edu/~pkmendez/envsci/projects/2024final/FisterA_2024.pdf</v>
      </c>
      <c r="K22" s="2" t="str" cm="1">
        <f t="array" ref="K22:O22">_xlfn.TAKE(TRIM(_xlfn.TEXTSPLIT(F22,{",",";"})),,5)</f>
        <v>wildlife management</v>
      </c>
      <c r="L22" s="2" t="str">
        <v>sea turtle conservation</v>
      </c>
      <c r="M22" s="2" t="str">
        <v>seasonal erosion and accretion</v>
      </c>
      <c r="N22" s="2" t="str">
        <v>washovers</v>
      </c>
      <c r="O22" s="2" t="str">
        <v>nest inundation</v>
      </c>
      <c r="P22" s="2" t="s">
        <v>9</v>
      </c>
      <c r="Q22" s="2" t="s">
        <v>10</v>
      </c>
    </row>
    <row r="23" spans="1:17" x14ac:dyDescent="0.35">
      <c r="A23" s="2" t="s">
        <v>5884</v>
      </c>
      <c r="B23" s="2" t="s">
        <v>111</v>
      </c>
      <c r="C23" s="2" t="s">
        <v>112</v>
      </c>
      <c r="D23" s="2">
        <v>2024</v>
      </c>
      <c r="E23" s="2" t="s">
        <v>113</v>
      </c>
      <c r="F23" s="2" t="s">
        <v>114</v>
      </c>
      <c r="G23" s="2" t="s">
        <v>115</v>
      </c>
      <c r="H23" s="2" t="s">
        <v>8</v>
      </c>
      <c r="I23" s="2" t="str" cm="1">
        <f t="array" ref="I23">H23 &amp; _xlfn.REGEXEXTRACT(G23,"^[^_]+_\d{4}") &amp; ".pdf"</f>
        <v>https://www.ocf.berkeley.edu/~pkmendez/envsci/projects/2024final/GarzaM_2024.pdf</v>
      </c>
      <c r="J23" s="1" t="str">
        <f t="shared" si="0"/>
        <v>https://www.ocf.berkeley.edu/~pkmendez/envsci/projects/2024final/GarzaM_2024.pdf</v>
      </c>
      <c r="K23" s="2" t="str" cm="1">
        <f t="array" ref="K23:O23">_xlfn.TAKE(TRIM(_xlfn.TEXTSPLIT(F23,{",",";"})),,5)</f>
        <v>E-Bird/Merlin</v>
      </c>
      <c r="L23" s="2" t="str">
        <v>bird species diversity</v>
      </c>
      <c r="M23" s="2" t="str">
        <v>costal-sage scrub</v>
      </c>
      <c r="N23" s="2" t="str">
        <v>fire regimes</v>
      </c>
      <c r="O23" s="2" t="str">
        <v>fuel-moisture content</v>
      </c>
      <c r="P23" s="2" t="s">
        <v>9</v>
      </c>
      <c r="Q23" s="2" t="s">
        <v>10</v>
      </c>
    </row>
    <row r="24" spans="1:17" x14ac:dyDescent="0.35">
      <c r="A24" s="2" t="s">
        <v>5884</v>
      </c>
      <c r="B24" s="2" t="s">
        <v>116</v>
      </c>
      <c r="C24" s="2" t="s">
        <v>117</v>
      </c>
      <c r="D24" s="2">
        <v>2024</v>
      </c>
      <c r="E24" s="2" t="s">
        <v>118</v>
      </c>
      <c r="F24" s="2" t="s">
        <v>119</v>
      </c>
      <c r="G24" s="2" t="s">
        <v>120</v>
      </c>
      <c r="H24" s="2" t="s">
        <v>8</v>
      </c>
      <c r="I24" s="2" t="str" cm="1">
        <f t="array" ref="I24">H24 &amp; _xlfn.REGEXEXTRACT(G24,"^[^_]+_\d{4}") &amp; ".pdf"</f>
        <v>https://www.ocf.berkeley.edu/~pkmendez/envsci/projects/2024final/GatdulaI_2024.pdf</v>
      </c>
      <c r="J24" s="1" t="str">
        <f t="shared" si="0"/>
        <v>https://www.ocf.berkeley.edu/~pkmendez/envsci/projects/2024final/GatdulaI_2024.pdf</v>
      </c>
      <c r="K24" s="2" t="str" cm="1">
        <f t="array" ref="K24:O24">_xlfn.TAKE(TRIM(_xlfn.TEXTSPLIT(F24,{",",";"})),,5)</f>
        <v>place-based learning</v>
      </c>
      <c r="L24" s="2" t="str">
        <v>inquiry-based learning</v>
      </c>
      <c r="M24" s="2" t="str">
        <v>self-efficacy</v>
      </c>
      <c r="N24" s="2" t="str">
        <v>Social Cognitive Career Theory (SCCT)</v>
      </c>
      <c r="O24" s="2" t="str">
        <v>interest</v>
      </c>
      <c r="P24" s="2" t="s">
        <v>9</v>
      </c>
      <c r="Q24" s="2" t="s">
        <v>10</v>
      </c>
    </row>
    <row r="25" spans="1:17" x14ac:dyDescent="0.35">
      <c r="A25" s="2" t="s">
        <v>5884</v>
      </c>
      <c r="B25" s="2" t="s">
        <v>121</v>
      </c>
      <c r="C25" s="2" t="s">
        <v>122</v>
      </c>
      <c r="D25" s="2">
        <v>2024</v>
      </c>
      <c r="E25" s="2" t="s">
        <v>123</v>
      </c>
      <c r="F25" s="2" t="s">
        <v>124</v>
      </c>
      <c r="G25" s="2" t="s">
        <v>125</v>
      </c>
      <c r="H25" s="2" t="s">
        <v>8</v>
      </c>
      <c r="I25" s="2" t="str" cm="1">
        <f t="array" ref="I25">H25 &amp; _xlfn.REGEXEXTRACT(G25,"^[^_]+_\d{4}") &amp; ".pdf"</f>
        <v>https://www.ocf.berkeley.edu/~pkmendez/envsci/projects/2024final/GonzalezA_2024.pdf</v>
      </c>
      <c r="J25" s="1" t="str">
        <f t="shared" si="0"/>
        <v>https://www.ocf.berkeley.edu/~pkmendez/envsci/projects/2024final/GonzalezA_2024.pdf</v>
      </c>
      <c r="K25" s="2" t="str" cm="1">
        <f t="array" ref="K25:O25">_xlfn.TAKE(TRIM(_xlfn.TEXTSPLIT(F25,{",",";"})),,5)</f>
        <v>non-perennial</v>
      </c>
      <c r="L25" s="2" t="str">
        <v>terrestrial vertebrate</v>
      </c>
      <c r="M25" s="2" t="str">
        <v>climate change</v>
      </c>
      <c r="N25" s="2" t="str">
        <v>Mediterranean climate</v>
      </c>
      <c r="O25" s="2" t="str">
        <v>biodiversity</v>
      </c>
      <c r="P25" s="2" t="s">
        <v>9</v>
      </c>
      <c r="Q25" s="2" t="s">
        <v>10</v>
      </c>
    </row>
    <row r="26" spans="1:17" x14ac:dyDescent="0.35">
      <c r="A26" s="2" t="s">
        <v>5884</v>
      </c>
      <c r="B26" s="2" t="s">
        <v>126</v>
      </c>
      <c r="C26" s="2" t="s">
        <v>127</v>
      </c>
      <c r="D26" s="2">
        <v>2024</v>
      </c>
      <c r="E26" s="2" t="s">
        <v>128</v>
      </c>
      <c r="F26" s="2" t="s">
        <v>129</v>
      </c>
      <c r="G26" s="2" t="s">
        <v>130</v>
      </c>
      <c r="H26" s="2" t="s">
        <v>8</v>
      </c>
      <c r="I26" s="2" t="str" cm="1">
        <f t="array" ref="I26">H26 &amp; _xlfn.REGEXEXTRACT(G26,"^[^_]+_\d{4}") &amp; ".pdf"</f>
        <v>https://www.ocf.berkeley.edu/~pkmendez/envsci/projects/2024final/HeM_2024.pdf</v>
      </c>
      <c r="J26" s="1" t="str">
        <f t="shared" si="0"/>
        <v>https://www.ocf.berkeley.edu/~pkmendez/envsci/projects/2024final/HeM_2024.pdf</v>
      </c>
      <c r="K26" s="2" t="str" cm="1">
        <f t="array" ref="K26:O26">_xlfn.TAKE(TRIM(_xlfn.TEXTSPLIT(F26,{",",";"})),,5)</f>
        <v>responsibility</v>
      </c>
      <c r="L26" s="2" t="str">
        <v>equity</v>
      </c>
      <c r="M26" s="2" t="str">
        <v>policies</v>
      </c>
      <c r="N26" s="2" t="str">
        <v>carbon emissions</v>
      </c>
      <c r="O26" s="2" t="str">
        <v>society</v>
      </c>
      <c r="P26" s="2" t="s">
        <v>9</v>
      </c>
      <c r="Q26" s="2" t="s">
        <v>10</v>
      </c>
    </row>
    <row r="27" spans="1:17" x14ac:dyDescent="0.35">
      <c r="A27" s="2" t="s">
        <v>5884</v>
      </c>
      <c r="B27" s="2" t="s">
        <v>131</v>
      </c>
      <c r="C27" s="2" t="s">
        <v>132</v>
      </c>
      <c r="D27" s="2">
        <v>2024</v>
      </c>
      <c r="E27" s="2" t="s">
        <v>133</v>
      </c>
      <c r="F27" s="2" t="s">
        <v>134</v>
      </c>
      <c r="G27" s="2" t="s">
        <v>135</v>
      </c>
      <c r="H27" s="2" t="s">
        <v>8</v>
      </c>
      <c r="I27" s="2" t="str" cm="1">
        <f t="array" ref="I27">H27 &amp; _xlfn.REGEXEXTRACT(G27,"^[^_]+_\d{4}") &amp; ".pdf"</f>
        <v>https://www.ocf.berkeley.edu/~pkmendez/envsci/projects/2024final/HessC_2024.pdf</v>
      </c>
      <c r="J27" s="1" t="str">
        <f t="shared" si="0"/>
        <v>https://www.ocf.berkeley.edu/~pkmendez/envsci/projects/2024final/HessC_2024.pdf</v>
      </c>
      <c r="K27" s="2" t="str" cm="1">
        <f t="array" ref="K27:O27">_xlfn.TAKE(TRIM(_xlfn.TEXTSPLIT(F27,{",",";"})),,5)</f>
        <v>fish farming</v>
      </c>
      <c r="L27" s="2" t="str">
        <v>environmental analysis</v>
      </c>
      <c r="M27" s="2" t="str">
        <v>temperature</v>
      </c>
      <c r="N27" s="2" t="str">
        <v>dissolved oxygen</v>
      </c>
      <c r="O27" s="2" t="str">
        <v>salinity</v>
      </c>
      <c r="P27" s="2" t="s">
        <v>9</v>
      </c>
      <c r="Q27" s="2" t="s">
        <v>10</v>
      </c>
    </row>
    <row r="28" spans="1:17" x14ac:dyDescent="0.35">
      <c r="A28" s="2" t="s">
        <v>5884</v>
      </c>
      <c r="B28" s="2" t="s">
        <v>136</v>
      </c>
      <c r="C28" s="2" t="s">
        <v>137</v>
      </c>
      <c r="D28" s="2">
        <v>2024</v>
      </c>
      <c r="E28" s="2" t="s">
        <v>138</v>
      </c>
      <c r="F28" s="2" t="s">
        <v>139</v>
      </c>
      <c r="G28" s="2" t="s">
        <v>140</v>
      </c>
      <c r="H28" s="2" t="s">
        <v>8</v>
      </c>
      <c r="I28" s="2" t="str" cm="1">
        <f t="array" ref="I28">H28 &amp; _xlfn.REGEXEXTRACT(G28,"^[^_]+_\d{4}") &amp; ".pdf"</f>
        <v>https://www.ocf.berkeley.edu/~pkmendez/envsci/projects/2024final/HuberG_2024.pdf</v>
      </c>
      <c r="J28" s="1" t="str">
        <f t="shared" si="0"/>
        <v>https://www.ocf.berkeley.edu/~pkmendez/envsci/projects/2024final/HuberG_2024.pdf</v>
      </c>
      <c r="K28" s="2" t="str" cm="1">
        <f t="array" ref="K28:O28">_xlfn.TAKE(TRIM(_xlfn.TEXTSPLIT(F28,{",",";"})),,5)</f>
        <v>applied animal behavior</v>
      </c>
      <c r="L28" s="2" t="str">
        <v>inter/intra species conflict</v>
      </c>
      <c r="M28" s="2" t="str">
        <v>urban ecology</v>
      </c>
      <c r="N28" s="2" t="str">
        <v>remote sensing</v>
      </c>
      <c r="O28" s="2" t="str">
        <v>anthropogenic change</v>
      </c>
      <c r="P28" s="2" t="s">
        <v>9</v>
      </c>
      <c r="Q28" s="2" t="s">
        <v>10</v>
      </c>
    </row>
    <row r="29" spans="1:17" x14ac:dyDescent="0.35">
      <c r="A29" s="2" t="s">
        <v>5884</v>
      </c>
      <c r="B29" s="2" t="s">
        <v>141</v>
      </c>
      <c r="C29" s="2" t="s">
        <v>142</v>
      </c>
      <c r="D29" s="2">
        <v>2024</v>
      </c>
      <c r="E29" s="2" t="s">
        <v>143</v>
      </c>
      <c r="F29" s="2" t="s">
        <v>144</v>
      </c>
      <c r="G29" s="2" t="s">
        <v>145</v>
      </c>
      <c r="H29" s="2" t="s">
        <v>8</v>
      </c>
      <c r="I29" s="2" t="str" cm="1">
        <f t="array" ref="I29">H29 &amp; _xlfn.REGEXEXTRACT(G29,"^[^_]+_\d{4}") &amp; ".pdf"</f>
        <v>https://www.ocf.berkeley.edu/~pkmendez/envsci/projects/2024final/HurM_2024.pdf</v>
      </c>
      <c r="J29" s="1" t="str">
        <f t="shared" si="0"/>
        <v>https://www.ocf.berkeley.edu/~pkmendez/envsci/projects/2024final/HurM_2024.pdf</v>
      </c>
      <c r="K29" s="2" t="str" cm="1">
        <f t="array" ref="K29:O29">_xlfn.TAKE(TRIM(_xlfn.TEXTSPLIT(F29,{",",";"})),,5)</f>
        <v>oak savanna</v>
      </c>
      <c r="L29" s="2" t="str">
        <v>segmentation</v>
      </c>
      <c r="M29" s="2" t="str">
        <v>machine learning random forest classifier</v>
      </c>
      <c r="N29" s="2" t="str">
        <v>NAIP imagery</v>
      </c>
      <c r="O29" s="2" t="str">
        <v>OpenET</v>
      </c>
      <c r="P29" s="2" t="s">
        <v>9</v>
      </c>
      <c r="Q29" s="2" t="s">
        <v>10</v>
      </c>
    </row>
    <row r="30" spans="1:17" x14ac:dyDescent="0.35">
      <c r="A30" s="2" t="s">
        <v>5884</v>
      </c>
      <c r="B30" s="2" t="s">
        <v>146</v>
      </c>
      <c r="C30" s="2" t="s">
        <v>147</v>
      </c>
      <c r="D30" s="2">
        <v>2024</v>
      </c>
      <c r="E30" s="2" t="s">
        <v>148</v>
      </c>
      <c r="F30" s="2" t="s">
        <v>149</v>
      </c>
      <c r="G30" s="2" t="s">
        <v>150</v>
      </c>
      <c r="H30" s="2" t="s">
        <v>8</v>
      </c>
      <c r="I30" s="2" t="str" cm="1">
        <f t="array" ref="I30">H30 &amp; _xlfn.REGEXEXTRACT(G30,"^[^_]+_\d{4}") &amp; ".pdf"</f>
        <v>https://www.ocf.berkeley.edu/~pkmendez/envsci/projects/2024final/JacobsonP_2024.pdf</v>
      </c>
      <c r="J30" s="1" t="str">
        <f t="shared" si="0"/>
        <v>https://www.ocf.berkeley.edu/~pkmendez/envsci/projects/2024final/JacobsonP_2024.pdf</v>
      </c>
      <c r="K30" s="2" t="str" cm="1">
        <f t="array" ref="K30:O30">_xlfn.TAKE(TRIM(_xlfn.TEXTSPLIT(F30,{",",";"})),,5)</f>
        <v>National Agriculture Imagery Program</v>
      </c>
      <c r="L30" s="2" t="str">
        <v>succession</v>
      </c>
      <c r="M30" s="2" t="str">
        <v>tree crown delineation</v>
      </c>
      <c r="N30" s="2" t="str">
        <v>land cover classification</v>
      </c>
      <c r="O30" s="2" t="str">
        <v>random forest classifier</v>
      </c>
      <c r="P30" s="2" t="s">
        <v>9</v>
      </c>
      <c r="Q30" s="2" t="s">
        <v>10</v>
      </c>
    </row>
    <row r="31" spans="1:17" x14ac:dyDescent="0.35">
      <c r="A31" s="2" t="s">
        <v>5884</v>
      </c>
      <c r="B31" s="2" t="s">
        <v>151</v>
      </c>
      <c r="C31" s="2" t="s">
        <v>152</v>
      </c>
      <c r="D31" s="2">
        <v>2024</v>
      </c>
      <c r="E31" s="2" t="s">
        <v>153</v>
      </c>
      <c r="F31" s="2" t="s">
        <v>154</v>
      </c>
      <c r="G31" s="2" t="s">
        <v>155</v>
      </c>
      <c r="H31" s="2" t="s">
        <v>8</v>
      </c>
      <c r="I31" s="2" t="str" cm="1">
        <f t="array" ref="I31">H31 &amp; _xlfn.REGEXEXTRACT(G31,"^[^_]+_\d{4}") &amp; ".pdf"</f>
        <v>https://www.ocf.berkeley.edu/~pkmendez/envsci/projects/2024final/JaminI_2024.pdf</v>
      </c>
      <c r="J31" s="1" t="str">
        <f t="shared" si="0"/>
        <v>https://www.ocf.berkeley.edu/~pkmendez/envsci/projects/2024final/JaminI_2024.pdf</v>
      </c>
      <c r="K31" s="2" t="str" cm="1">
        <f t="array" ref="K31:O31">_xlfn.TAKE(TRIM(_xlfn.TEXTSPLIT(F31,{",",";"})),,5)</f>
        <v>externalities</v>
      </c>
      <c r="L31" s="2" t="str">
        <v>climate change impact</v>
      </c>
      <c r="M31" s="2" t="str">
        <v>carbon emission reduction</v>
      </c>
      <c r="N31" s="2" t="str">
        <v>welfare</v>
      </c>
      <c r="O31" s="2" t="str">
        <v>environmental economic valuation</v>
      </c>
      <c r="P31" s="2" t="s">
        <v>9</v>
      </c>
      <c r="Q31" s="2" t="s">
        <v>10</v>
      </c>
    </row>
    <row r="32" spans="1:17" x14ac:dyDescent="0.35">
      <c r="A32" s="2" t="s">
        <v>5884</v>
      </c>
      <c r="B32" s="2" t="s">
        <v>156</v>
      </c>
      <c r="C32" s="2" t="s">
        <v>157</v>
      </c>
      <c r="D32" s="2">
        <v>2024</v>
      </c>
      <c r="E32" s="2" t="s">
        <v>158</v>
      </c>
      <c r="F32" s="2" t="s">
        <v>159</v>
      </c>
      <c r="G32" s="2" t="s">
        <v>160</v>
      </c>
      <c r="H32" s="2" t="s">
        <v>8</v>
      </c>
      <c r="I32" s="2" t="str" cm="1">
        <f t="array" ref="I32">H32 &amp; _xlfn.REGEXEXTRACT(G32,"^[^_]+_\d{4}") &amp; ".pdf"</f>
        <v>https://www.ocf.berkeley.edu/~pkmendez/envsci/projects/2024final/KalawM_2024.pdf</v>
      </c>
      <c r="J32" s="1" t="str">
        <f t="shared" si="0"/>
        <v>https://www.ocf.berkeley.edu/~pkmendez/envsci/projects/2024final/KalawM_2024.pdf</v>
      </c>
      <c r="K32" s="2" t="str" cm="1">
        <f t="array" ref="K32:N32">_xlfn.TAKE(TRIM(_xlfn.TEXTSPLIT(F32,{",",";"})),,5)</f>
        <v>Urban green spaces</v>
      </c>
      <c r="L32" s="2" t="str">
        <v>green space equity</v>
      </c>
      <c r="M32" s="2" t="str">
        <v>displacement</v>
      </c>
      <c r="N32" s="2" t="str">
        <v>ArcGIS</v>
      </c>
      <c r="P32" s="2" t="s">
        <v>9</v>
      </c>
      <c r="Q32" s="2" t="s">
        <v>10</v>
      </c>
    </row>
    <row r="33" spans="1:17" x14ac:dyDescent="0.35">
      <c r="A33" s="2" t="s">
        <v>5884</v>
      </c>
      <c r="B33" s="2" t="s">
        <v>161</v>
      </c>
      <c r="C33" s="2" t="s">
        <v>162</v>
      </c>
      <c r="D33" s="2">
        <v>2024</v>
      </c>
      <c r="E33" s="2" t="s">
        <v>163</v>
      </c>
      <c r="F33" s="2" t="s">
        <v>164</v>
      </c>
      <c r="G33" s="2" t="s">
        <v>165</v>
      </c>
      <c r="H33" s="2" t="s">
        <v>8</v>
      </c>
      <c r="I33" s="2" t="str" cm="1">
        <f t="array" ref="I33">H33 &amp; _xlfn.REGEXEXTRACT(G33,"^[^_]+_\d{4}") &amp; ".pdf"</f>
        <v>https://www.ocf.berkeley.edu/~pkmendez/envsci/projects/2024final/KennedyK_2024.pdf</v>
      </c>
      <c r="J33" s="1" t="str">
        <f t="shared" si="0"/>
        <v>https://www.ocf.berkeley.edu/~pkmendez/envsci/projects/2024final/KennedyK_2024.pdf</v>
      </c>
      <c r="K33" s="2" t="str" cm="1">
        <f t="array" ref="K33:O33">_xlfn.TAKE(TRIM(_xlfn.TEXTSPLIT(F33,{",",";"})),,5)</f>
        <v>habitat fragmentation</v>
      </c>
      <c r="L33" s="2" t="str">
        <v>roadkill incidence rates</v>
      </c>
      <c r="M33" s="2" t="str">
        <v>mule deer</v>
      </c>
      <c r="N33" s="2" t="str">
        <v>motorist safety</v>
      </c>
      <c r="O33" s="2" t="str">
        <v>California Roadkill Observation System</v>
      </c>
      <c r="P33" s="2" t="s">
        <v>9</v>
      </c>
      <c r="Q33" s="2" t="s">
        <v>10</v>
      </c>
    </row>
    <row r="34" spans="1:17" x14ac:dyDescent="0.35">
      <c r="A34" s="2" t="s">
        <v>5884</v>
      </c>
      <c r="B34" s="2" t="s">
        <v>166</v>
      </c>
      <c r="C34" s="2" t="s">
        <v>167</v>
      </c>
      <c r="D34" s="2">
        <v>2024</v>
      </c>
      <c r="E34" s="2" t="s">
        <v>168</v>
      </c>
      <c r="F34" s="2" t="s">
        <v>169</v>
      </c>
      <c r="G34" s="2" t="s">
        <v>170</v>
      </c>
      <c r="H34" s="2" t="s">
        <v>8</v>
      </c>
      <c r="I34" s="2" t="str" cm="1">
        <f t="array" ref="I34">H34 &amp; _xlfn.REGEXEXTRACT(G34,"^[^_]+_\d{4}") &amp; ".pdf"</f>
        <v>https://www.ocf.berkeley.edu/~pkmendez/envsci/projects/2024final/KhalakT_2024.pdf</v>
      </c>
      <c r="J34" s="1" t="str">
        <f t="shared" si="0"/>
        <v>https://www.ocf.berkeley.edu/~pkmendez/envsci/projects/2024final/KhalakT_2024.pdf</v>
      </c>
      <c r="K34" s="2" t="str" cm="1">
        <f t="array" ref="K34:O34">_xlfn.TAKE(TRIM(_xlfn.TEXTSPLIT(F34,{",",";"})),,5)</f>
        <v>Electrical Grid</v>
      </c>
      <c r="L34" s="2" t="str">
        <v>Power Outage</v>
      </c>
      <c r="M34" s="2" t="str">
        <v>Public Safety Power Shut Off</v>
      </c>
      <c r="N34" s="2" t="str">
        <v>Vegetation Management</v>
      </c>
      <c r="O34" s="2" t="str">
        <v>Microgrid</v>
      </c>
      <c r="P34" s="2" t="s">
        <v>9</v>
      </c>
      <c r="Q34" s="2" t="s">
        <v>10</v>
      </c>
    </row>
    <row r="35" spans="1:17" x14ac:dyDescent="0.35">
      <c r="A35" s="2" t="s">
        <v>5884</v>
      </c>
      <c r="B35" s="2" t="s">
        <v>171</v>
      </c>
      <c r="C35" s="2" t="s">
        <v>172</v>
      </c>
      <c r="D35" s="2">
        <v>2024</v>
      </c>
      <c r="E35" s="2" t="s">
        <v>173</v>
      </c>
      <c r="F35" s="2" t="s">
        <v>174</v>
      </c>
      <c r="G35" s="2" t="s">
        <v>175</v>
      </c>
      <c r="H35" s="2" t="s">
        <v>8</v>
      </c>
      <c r="I35" s="2" t="str" cm="1">
        <f t="array" ref="I35">H35 &amp; _xlfn.REGEXEXTRACT(G35,"^[^_]+_\d{4}") &amp; ".pdf"</f>
        <v>https://www.ocf.berkeley.edu/~pkmendez/envsci/projects/2024final/KouA_2024.pdf</v>
      </c>
      <c r="J35" s="1" t="str">
        <f t="shared" si="0"/>
        <v>https://www.ocf.berkeley.edu/~pkmendez/envsci/projects/2024final/KouA_2024.pdf</v>
      </c>
      <c r="K35" s="2" t="str" cm="1">
        <f t="array" ref="K35:O35">_xlfn.TAKE(TRIM(_xlfn.TEXTSPLIT(F35,{",",";"})),,5)</f>
        <v>Embodied water</v>
      </c>
      <c r="L35" s="2" t="str">
        <v>landscape architecture</v>
      </c>
      <c r="M35" s="2" t="str">
        <v>life cycle assessment</v>
      </c>
      <c r="N35" s="2" t="str">
        <v>sustainable design</v>
      </c>
      <c r="O35" s="2" t="str">
        <v>water footprint</v>
      </c>
      <c r="P35" s="2" t="s">
        <v>9</v>
      </c>
      <c r="Q35" s="2" t="s">
        <v>10</v>
      </c>
    </row>
    <row r="36" spans="1:17" x14ac:dyDescent="0.35">
      <c r="A36" s="2" t="s">
        <v>5884</v>
      </c>
      <c r="B36" s="2" t="s">
        <v>176</v>
      </c>
      <c r="C36" s="2" t="s">
        <v>177</v>
      </c>
      <c r="D36" s="2">
        <v>2024</v>
      </c>
      <c r="E36" s="2" t="s">
        <v>178</v>
      </c>
      <c r="F36" s="2" t="s">
        <v>179</v>
      </c>
      <c r="G36" s="2" t="s">
        <v>180</v>
      </c>
      <c r="H36" s="2" t="s">
        <v>8</v>
      </c>
      <c r="I36" s="2" t="str" cm="1">
        <f t="array" ref="I36">H36 &amp; _xlfn.REGEXEXTRACT(G36,"^[^_]+_\d{4}") &amp; ".pdf"</f>
        <v>https://www.ocf.berkeley.edu/~pkmendez/envsci/projects/2024final/LaiH_2024.pdf</v>
      </c>
      <c r="J36" s="1" t="str">
        <f t="shared" si="0"/>
        <v>https://www.ocf.berkeley.edu/~pkmendez/envsci/projects/2024final/LaiH_2024.pdf</v>
      </c>
      <c r="K36" s="2" t="str" cm="1">
        <f t="array" ref="K36:O36">_xlfn.TAKE(TRIM(_xlfn.TEXTSPLIT(F36,{",",";"})),,5)</f>
        <v>COVID-19 pandemic</v>
      </c>
      <c r="L36" s="2" t="str">
        <v>energy transition</v>
      </c>
      <c r="M36" s="2" t="str">
        <v>stakeholder engagement</v>
      </c>
      <c r="N36" s="2" t="str">
        <v>project financing</v>
      </c>
      <c r="O36" s="2" t="str">
        <v>policy</v>
      </c>
      <c r="P36" s="2" t="s">
        <v>9</v>
      </c>
      <c r="Q36" s="2" t="s">
        <v>10</v>
      </c>
    </row>
    <row r="37" spans="1:17" x14ac:dyDescent="0.35">
      <c r="A37" s="2" t="s">
        <v>5884</v>
      </c>
      <c r="B37" s="2" t="s">
        <v>181</v>
      </c>
      <c r="C37" s="2" t="s">
        <v>182</v>
      </c>
      <c r="D37" s="2">
        <v>2024</v>
      </c>
      <c r="E37" s="2" t="s">
        <v>183</v>
      </c>
      <c r="F37" s="2" t="s">
        <v>184</v>
      </c>
      <c r="G37" s="2" t="s">
        <v>185</v>
      </c>
      <c r="H37" s="2" t="s">
        <v>8</v>
      </c>
      <c r="I37" s="2" t="str" cm="1">
        <f t="array" ref="I37">H37 &amp; _xlfn.REGEXEXTRACT(G37,"^[^_]+_\d{4}") &amp; ".pdf"</f>
        <v>https://www.ocf.berkeley.edu/~pkmendez/envsci/projects/2024final/LeetK_2024.pdf</v>
      </c>
      <c r="J37" s="1" t="str">
        <f t="shared" si="0"/>
        <v>https://www.ocf.berkeley.edu/~pkmendez/envsci/projects/2024final/LeetK_2024.pdf</v>
      </c>
      <c r="K37" s="2" t="str" cm="1">
        <f t="array" ref="K37:O37">_xlfn.TAKE(TRIM(_xlfn.TEXTSPLIT(F37,{",",";"})),,5)</f>
        <v>coastal marshes</v>
      </c>
      <c r="L37" s="2" t="str">
        <v>climate change</v>
      </c>
      <c r="M37" s="2" t="str">
        <v>soil biogeochemistry</v>
      </c>
      <c r="N37" s="2" t="str">
        <v>IRIS method</v>
      </c>
      <c r="O37" s="2" t="str">
        <v>coastal land management</v>
      </c>
      <c r="P37" s="2" t="s">
        <v>9</v>
      </c>
      <c r="Q37" s="2" t="s">
        <v>10</v>
      </c>
    </row>
    <row r="38" spans="1:17" x14ac:dyDescent="0.35">
      <c r="A38" s="2" t="s">
        <v>5884</v>
      </c>
      <c r="B38" s="2" t="s">
        <v>186</v>
      </c>
      <c r="C38" s="2" t="s">
        <v>187</v>
      </c>
      <c r="D38" s="2">
        <v>2024</v>
      </c>
      <c r="E38" s="2" t="s">
        <v>188</v>
      </c>
      <c r="F38" s="2" t="s">
        <v>189</v>
      </c>
      <c r="G38" s="2" t="s">
        <v>190</v>
      </c>
      <c r="H38" s="2" t="s">
        <v>8</v>
      </c>
      <c r="I38" s="2" t="str" cm="1">
        <f t="array" ref="I38">H38 &amp; _xlfn.REGEXEXTRACT(G38,"^[^_]+_\d{4}") &amp; ".pdf"</f>
        <v>https://www.ocf.berkeley.edu/~pkmendez/envsci/projects/2024final/LevyA_2024.pdf</v>
      </c>
      <c r="J38" s="1" t="str">
        <f t="shared" si="0"/>
        <v>https://www.ocf.berkeley.edu/~pkmendez/envsci/projects/2024final/LevyA_2024.pdf</v>
      </c>
      <c r="K38" s="2" t="str" cm="1">
        <f t="array" ref="K38:O38">_xlfn.TAKE(TRIM(_xlfn.TEXTSPLIT(F38,{",",";"})),,5)</f>
        <v>urban streams</v>
      </c>
      <c r="L38" s="2" t="str">
        <v>channel stability</v>
      </c>
      <c r="M38" s="2" t="str">
        <v>native plant diversity</v>
      </c>
      <c r="N38" s="2" t="str">
        <v>vegetation cover</v>
      </c>
      <c r="O38" s="2" t="str">
        <v>invasive species</v>
      </c>
      <c r="P38" s="2" t="s">
        <v>9</v>
      </c>
      <c r="Q38" s="2" t="s">
        <v>10</v>
      </c>
    </row>
    <row r="39" spans="1:17" x14ac:dyDescent="0.35">
      <c r="A39" s="2" t="s">
        <v>5884</v>
      </c>
      <c r="B39" s="2" t="s">
        <v>191</v>
      </c>
      <c r="C39" s="2" t="s">
        <v>192</v>
      </c>
      <c r="D39" s="2">
        <v>2024</v>
      </c>
      <c r="E39" s="2" t="s">
        <v>193</v>
      </c>
      <c r="F39" s="2" t="s">
        <v>194</v>
      </c>
      <c r="G39" s="2" t="s">
        <v>195</v>
      </c>
      <c r="H39" s="2" t="s">
        <v>8</v>
      </c>
      <c r="I39" s="2" t="str" cm="1">
        <f t="array" ref="I39">H39 &amp; _xlfn.REGEXEXTRACT(G39,"^[^_]+_\d{4}") &amp; ".pdf"</f>
        <v>https://www.ocf.berkeley.edu/~pkmendez/envsci/projects/2024final/LieblichP_2024.pdf</v>
      </c>
      <c r="J39" s="1" t="str">
        <f t="shared" si="0"/>
        <v>https://www.ocf.berkeley.edu/~pkmendez/envsci/projects/2024final/LieblichP_2024.pdf</v>
      </c>
      <c r="K39" s="2" t="str" cm="1">
        <f t="array" ref="K39:O39">_xlfn.TAKE(TRIM(_xlfn.TEXTSPLIT(F39,{",",";"})),,5)</f>
        <v>Public engagement with science (PES)</v>
      </c>
      <c r="L39" s="2" t="str">
        <v>preservation</v>
      </c>
      <c r="M39" s="2" t="str">
        <v>environmental education</v>
      </c>
      <c r="N39" s="2" t="str">
        <v>local stewardship</v>
      </c>
      <c r="O39" s="2" t="str">
        <v>environmental accessibility</v>
      </c>
      <c r="P39" s="2" t="s">
        <v>9</v>
      </c>
      <c r="Q39" s="2" t="s">
        <v>10</v>
      </c>
    </row>
    <row r="40" spans="1:17" x14ac:dyDescent="0.35">
      <c r="A40" s="2" t="s">
        <v>5884</v>
      </c>
      <c r="B40" s="2" t="s">
        <v>196</v>
      </c>
      <c r="C40" s="2" t="s">
        <v>197</v>
      </c>
      <c r="D40" s="2">
        <v>2024</v>
      </c>
      <c r="E40" s="2" t="s">
        <v>198</v>
      </c>
      <c r="F40" s="2" t="s">
        <v>199</v>
      </c>
      <c r="G40" s="2" t="s">
        <v>200</v>
      </c>
      <c r="H40" s="2" t="s">
        <v>8</v>
      </c>
      <c r="I40" s="2" t="str" cm="1">
        <f t="array" ref="I40">H40 &amp; _xlfn.REGEXEXTRACT(G40,"^[^_]+_\d{4}") &amp; ".pdf"</f>
        <v>https://www.ocf.berkeley.edu/~pkmendez/envsci/projects/2024final/LiuC_2024.pdf</v>
      </c>
      <c r="J40" s="1" t="str">
        <f t="shared" si="0"/>
        <v>https://www.ocf.berkeley.edu/~pkmendez/envsci/projects/2024final/LiuC_2024.pdf</v>
      </c>
      <c r="K40" s="2" t="str" cm="1">
        <f t="array" ref="K40:O40">_xlfn.TAKE(TRIM(_xlfn.TEXTSPLIT(F40,{",",";"})),,5)</f>
        <v>Climate change</v>
      </c>
      <c r="L40" s="2" t="str">
        <v>infrastructure planning</v>
      </c>
      <c r="M40" s="2" t="str">
        <v>inundation models</v>
      </c>
      <c r="N40" s="2" t="str">
        <v>geographic information systems</v>
      </c>
      <c r="O40" s="2" t="str">
        <v>climate adaptation</v>
      </c>
      <c r="P40" s="2" t="s">
        <v>9</v>
      </c>
      <c r="Q40" s="2" t="s">
        <v>10</v>
      </c>
    </row>
    <row r="41" spans="1:17" x14ac:dyDescent="0.35">
      <c r="A41" s="2" t="s">
        <v>5884</v>
      </c>
      <c r="B41" s="2" t="s">
        <v>201</v>
      </c>
      <c r="C41" s="2" t="s">
        <v>202</v>
      </c>
      <c r="D41" s="2">
        <v>2024</v>
      </c>
      <c r="E41" s="2" t="s">
        <v>203</v>
      </c>
      <c r="F41" s="2" t="s">
        <v>204</v>
      </c>
      <c r="G41" s="2" t="s">
        <v>205</v>
      </c>
      <c r="H41" s="2" t="s">
        <v>8</v>
      </c>
      <c r="I41" s="2" t="str" cm="1">
        <f t="array" ref="I41">H41 &amp; _xlfn.REGEXEXTRACT(G41,"^[^_]+_\d{4}") &amp; ".pdf"</f>
        <v>https://www.ocf.berkeley.edu/~pkmendez/envsci/projects/2024final/LuomaT_2024.pdf</v>
      </c>
      <c r="J41" s="1" t="str">
        <f t="shared" si="0"/>
        <v>https://www.ocf.berkeley.edu/~pkmendez/envsci/projects/2024final/LuomaT_2024.pdf</v>
      </c>
      <c r="K41" s="2" t="str" cm="1">
        <f t="array" ref="K41:O41">_xlfn.TAKE(TRIM(_xlfn.TEXTSPLIT(F41,{",",";"})),,5)</f>
        <v>wildfire mitigation</v>
      </c>
      <c r="L41" s="2" t="str">
        <v>post-wildfire restoration</v>
      </c>
      <c r="M41" s="2" t="str">
        <v>categorical exclusion</v>
      </c>
      <c r="N41" s="2" t="str">
        <v>local agency investment</v>
      </c>
      <c r="O41" s="2" t="str">
        <v>United States Forest Service</v>
      </c>
      <c r="P41" s="2" t="s">
        <v>9</v>
      </c>
      <c r="Q41" s="2" t="s">
        <v>10</v>
      </c>
    </row>
    <row r="42" spans="1:17" x14ac:dyDescent="0.35">
      <c r="A42" s="2" t="s">
        <v>5884</v>
      </c>
      <c r="B42" s="2" t="s">
        <v>206</v>
      </c>
      <c r="C42" s="2" t="s">
        <v>207</v>
      </c>
      <c r="D42" s="2">
        <v>2024</v>
      </c>
      <c r="E42" s="2" t="s">
        <v>208</v>
      </c>
      <c r="F42" s="2" t="s">
        <v>209</v>
      </c>
      <c r="G42" s="2" t="s">
        <v>210</v>
      </c>
      <c r="H42" s="2" t="s">
        <v>8</v>
      </c>
      <c r="I42" s="2" t="str" cm="1">
        <f t="array" ref="I42">H42 &amp; _xlfn.REGEXEXTRACT(G42,"^[^_]+_\d{4}") &amp; ".pdf"</f>
        <v>https://www.ocf.berkeley.edu/~pkmendez/envsci/projects/2024final/LyonR_2024.pdf</v>
      </c>
      <c r="J42" s="1" t="str">
        <f t="shared" si="0"/>
        <v>https://www.ocf.berkeley.edu/~pkmendez/envsci/projects/2024final/LyonR_2024.pdf</v>
      </c>
      <c r="K42" s="2" t="str" cm="1">
        <f t="array" ref="K42:O42">_xlfn.TAKE(TRIM(_xlfn.TEXTSPLIT(F42,{",",";"})),,5)</f>
        <v>Over-expression</v>
      </c>
      <c r="L42" s="2" t="str">
        <v>Recombinant Protein</v>
      </c>
      <c r="M42" s="2" t="str">
        <v>Synechocystis sp. PCC 6803</v>
      </c>
      <c r="N42" s="2" t="str">
        <v>Biopharmaceutical proteins</v>
      </c>
      <c r="O42" s="2" t="str">
        <v>Synthetic Biology</v>
      </c>
      <c r="P42" s="2" t="s">
        <v>9</v>
      </c>
      <c r="Q42" s="2" t="s">
        <v>10</v>
      </c>
    </row>
    <row r="43" spans="1:17" x14ac:dyDescent="0.35">
      <c r="A43" s="2" t="s">
        <v>5884</v>
      </c>
      <c r="B43" s="2" t="s">
        <v>211</v>
      </c>
      <c r="C43" s="2" t="s">
        <v>212</v>
      </c>
      <c r="D43" s="2">
        <v>2024</v>
      </c>
      <c r="E43" s="2" t="s">
        <v>213</v>
      </c>
      <c r="F43" s="2" t="s">
        <v>214</v>
      </c>
      <c r="G43" s="2" t="s">
        <v>215</v>
      </c>
      <c r="H43" s="2" t="s">
        <v>8</v>
      </c>
      <c r="I43" s="2" t="str" cm="1">
        <f t="array" ref="I43">H43 &amp; _xlfn.REGEXEXTRACT(G43,"^[^_]+_\d{4}") &amp; ".pdf"</f>
        <v>https://www.ocf.berkeley.edu/~pkmendez/envsci/projects/2024final/MabasaN_2024.pdf</v>
      </c>
      <c r="J43" s="1" t="str">
        <f t="shared" si="0"/>
        <v>https://www.ocf.berkeley.edu/~pkmendez/envsci/projects/2024final/MabasaN_2024.pdf</v>
      </c>
      <c r="K43" s="2" t="str" cm="1">
        <f t="array" ref="K43:O43">_xlfn.TAKE(TRIM(_xlfn.TEXTSPLIT(F43,{",",";"})),,5)</f>
        <v>ocean acidification</v>
      </c>
      <c r="L43" s="2" t="str">
        <v>coral bleaching</v>
      </c>
      <c r="M43" s="2" t="str">
        <v>emissions scenarios</v>
      </c>
      <c r="N43" s="2" t="str">
        <v>predictive study</v>
      </c>
      <c r="O43" s="2" t="str">
        <v>literature review</v>
      </c>
      <c r="P43" s="2" t="s">
        <v>9</v>
      </c>
      <c r="Q43" s="2" t="s">
        <v>10</v>
      </c>
    </row>
    <row r="44" spans="1:17" x14ac:dyDescent="0.35">
      <c r="A44" s="2" t="s">
        <v>5884</v>
      </c>
      <c r="B44" s="2" t="s">
        <v>216</v>
      </c>
      <c r="C44" s="2" t="s">
        <v>217</v>
      </c>
      <c r="D44" s="2">
        <v>2024</v>
      </c>
      <c r="E44" s="2" t="s">
        <v>218</v>
      </c>
      <c r="F44" s="2" t="s">
        <v>219</v>
      </c>
      <c r="G44" s="2" t="s">
        <v>220</v>
      </c>
      <c r="H44" s="2" t="s">
        <v>8</v>
      </c>
      <c r="I44" s="2" t="str" cm="1">
        <f t="array" ref="I44">H44 &amp; _xlfn.REGEXEXTRACT(G44,"^[^_]+_\d{4}") &amp; ".pdf"</f>
        <v>https://www.ocf.berkeley.edu/~pkmendez/envsci/projects/2024final/MacalinaoE_2024.pdf</v>
      </c>
      <c r="J44" s="1" t="str">
        <f t="shared" si="0"/>
        <v>https://www.ocf.berkeley.edu/~pkmendez/envsci/projects/2024final/MacalinaoE_2024.pdf</v>
      </c>
      <c r="K44" s="2" t="str" cm="1">
        <f t="array" ref="K44:O44">_xlfn.TAKE(TRIM(_xlfn.TEXTSPLIT(F44,{",",";"})),,5)</f>
        <v>Particle Number (PN)</v>
      </c>
      <c r="L44" s="2" t="str">
        <v>Fine Particulate Matter (PM2.5)</v>
      </c>
      <c r="M44" s="2" t="str">
        <v>Coarse Particulate Matter (PM10)</v>
      </c>
      <c r="N44" s="2" t="str">
        <v>Grassroots Drift Event (G.D.E)</v>
      </c>
      <c r="O44" s="2" t="str">
        <v>Professional Drift Event (P.D.E)</v>
      </c>
      <c r="P44" s="2" t="s">
        <v>9</v>
      </c>
      <c r="Q44" s="2" t="s">
        <v>10</v>
      </c>
    </row>
    <row r="45" spans="1:17" x14ac:dyDescent="0.35">
      <c r="A45" s="2" t="s">
        <v>5884</v>
      </c>
      <c r="B45" s="2" t="s">
        <v>221</v>
      </c>
      <c r="C45" s="2" t="s">
        <v>222</v>
      </c>
      <c r="D45" s="2">
        <v>2024</v>
      </c>
      <c r="E45" s="2" t="s">
        <v>223</v>
      </c>
      <c r="F45" s="2" t="s">
        <v>224</v>
      </c>
      <c r="G45" s="2" t="s">
        <v>225</v>
      </c>
      <c r="H45" s="2" t="s">
        <v>8</v>
      </c>
      <c r="I45" s="2" t="str" cm="1">
        <f t="array" ref="I45">H45 &amp; _xlfn.REGEXEXTRACT(G45,"^[^_]+_\d{4}") &amp; ".pdf"</f>
        <v>https://www.ocf.berkeley.edu/~pkmendez/envsci/projects/2024final/MagruderA_2024.pdf</v>
      </c>
      <c r="J45" s="1" t="str">
        <f t="shared" si="0"/>
        <v>https://www.ocf.berkeley.edu/~pkmendez/envsci/projects/2024final/MagruderA_2024.pdf</v>
      </c>
      <c r="K45" s="2" t="str" cm="1">
        <f t="array" ref="K45:O45">_xlfn.TAKE(TRIM(_xlfn.TEXTSPLIT(F45,{",",";"})),,5)</f>
        <v>masting</v>
      </c>
      <c r="L45" s="2" t="str">
        <v>predator satiation</v>
      </c>
      <c r="M45" s="2" t="str">
        <v>pollination efficiency</v>
      </c>
      <c r="N45" s="2" t="str">
        <v>vapor pressure deficit</v>
      </c>
      <c r="O45" s="2" t="str">
        <v>cone scar</v>
      </c>
      <c r="P45" s="2" t="s">
        <v>9</v>
      </c>
      <c r="Q45" s="2" t="s">
        <v>10</v>
      </c>
    </row>
    <row r="46" spans="1:17" x14ac:dyDescent="0.35">
      <c r="A46" s="2" t="s">
        <v>5884</v>
      </c>
      <c r="B46" s="2" t="s">
        <v>226</v>
      </c>
      <c r="C46" s="2" t="s">
        <v>227</v>
      </c>
      <c r="D46" s="2">
        <v>2024</v>
      </c>
      <c r="E46" s="2" t="s">
        <v>228</v>
      </c>
      <c r="F46" s="2" t="s">
        <v>229</v>
      </c>
      <c r="G46" s="2" t="s">
        <v>230</v>
      </c>
      <c r="H46" s="2" t="s">
        <v>8</v>
      </c>
      <c r="I46" s="2" t="str" cm="1">
        <f t="array" ref="I46">H46 &amp; _xlfn.REGEXEXTRACT(G46,"^[^_]+_\d{4}") &amp; ".pdf"</f>
        <v>https://www.ocf.berkeley.edu/~pkmendez/envsci/projects/2024final/MandavilliD_2024.pdf</v>
      </c>
      <c r="J46" s="1" t="str">
        <f t="shared" si="0"/>
        <v>https://www.ocf.berkeley.edu/~pkmendez/envsci/projects/2024final/MandavilliD_2024.pdf</v>
      </c>
      <c r="K46" s="2" t="str" cm="1">
        <f t="array" ref="K46:O46">_xlfn.TAKE(TRIM(_xlfn.TEXTSPLIT(F46,{",",";"})),,5)</f>
        <v>citizen science</v>
      </c>
      <c r="L46" s="2" t="str">
        <v>land-use change</v>
      </c>
      <c r="M46" s="2" t="str">
        <v>socio-environmental interactions</v>
      </c>
      <c r="N46" s="2" t="str">
        <v>urbanization</v>
      </c>
      <c r="O46" s="2" t="str">
        <v>urban wildlife</v>
      </c>
      <c r="P46" s="2" t="s">
        <v>9</v>
      </c>
      <c r="Q46" s="2" t="s">
        <v>10</v>
      </c>
    </row>
    <row r="47" spans="1:17" x14ac:dyDescent="0.35">
      <c r="A47" s="2" t="s">
        <v>5884</v>
      </c>
      <c r="B47" s="2" t="s">
        <v>231</v>
      </c>
      <c r="C47" s="2" t="s">
        <v>232</v>
      </c>
      <c r="D47" s="2">
        <v>2024</v>
      </c>
      <c r="E47" s="2" t="s">
        <v>233</v>
      </c>
      <c r="F47" s="2" t="s">
        <v>234</v>
      </c>
      <c r="G47" s="2" t="s">
        <v>235</v>
      </c>
      <c r="H47" s="2" t="s">
        <v>8</v>
      </c>
      <c r="I47" s="2" t="str" cm="1">
        <f t="array" ref="I47">H47 &amp; _xlfn.REGEXEXTRACT(G47,"^[^_]+_\d{4}") &amp; ".pdf"</f>
        <v>https://www.ocf.berkeley.edu/~pkmendez/envsci/projects/2024final/MartinI_2024.pdf</v>
      </c>
      <c r="J47" s="1" t="str">
        <f t="shared" si="0"/>
        <v>https://www.ocf.berkeley.edu/~pkmendez/envsci/projects/2024final/MartinI_2024.pdf</v>
      </c>
      <c r="K47" s="2" t="str" cm="1">
        <f t="array" ref="K47:O47">_xlfn.TAKE(TRIM(_xlfn.TEXTSPLIT(F47,{",",";"})),,5)</f>
        <v>Traditional ecological knowledge</v>
      </c>
      <c r="L47" s="2" t="str">
        <v>Indigenous co-stewardship</v>
      </c>
      <c r="M47" s="2" t="str">
        <v>self-determination</v>
      </c>
      <c r="N47" s="2" t="str">
        <v>Tribal trust responsibility</v>
      </c>
      <c r="O47" s="2" t="str">
        <v>Tribal policy</v>
      </c>
      <c r="P47" s="2" t="s">
        <v>9</v>
      </c>
      <c r="Q47" s="2" t="s">
        <v>10</v>
      </c>
    </row>
    <row r="48" spans="1:17" x14ac:dyDescent="0.35">
      <c r="A48" s="2" t="s">
        <v>5884</v>
      </c>
      <c r="B48" s="2" t="s">
        <v>236</v>
      </c>
      <c r="C48" s="2" t="s">
        <v>237</v>
      </c>
      <c r="D48" s="2">
        <v>2024</v>
      </c>
      <c r="E48" s="2" t="s">
        <v>238</v>
      </c>
      <c r="F48" s="2" t="s">
        <v>239</v>
      </c>
      <c r="G48" s="2" t="s">
        <v>240</v>
      </c>
      <c r="H48" s="2" t="s">
        <v>8</v>
      </c>
      <c r="I48" s="2" t="str" cm="1">
        <f t="array" ref="I48">H48 &amp; _xlfn.REGEXEXTRACT(G48,"^[^_]+_\d{4}") &amp; ".pdf"</f>
        <v>https://www.ocf.berkeley.edu/~pkmendez/envsci/projects/2024final/MarumJ_2024.pdf</v>
      </c>
      <c r="J48" s="1" t="str">
        <f t="shared" si="0"/>
        <v>https://www.ocf.berkeley.edu/~pkmendez/envsci/projects/2024final/MarumJ_2024.pdf</v>
      </c>
      <c r="K48" s="2" t="str" cm="1">
        <f t="array" ref="K48:O48">_xlfn.TAKE(TRIM(_xlfn.TEXTSPLIT(F48,{",",";"})),,5)</f>
        <v>environmental justice</v>
      </c>
      <c r="L48" s="2" t="str">
        <v>outdoor access</v>
      </c>
      <c r="M48" s="2" t="str">
        <v>students of color</v>
      </c>
      <c r="N48" s="2" t="str">
        <v>human health</v>
      </c>
      <c r="O48" s="2" t="str">
        <v>therapeutic landscapes</v>
      </c>
      <c r="P48" s="2" t="s">
        <v>9</v>
      </c>
      <c r="Q48" s="2" t="s">
        <v>10</v>
      </c>
    </row>
    <row r="49" spans="1:17" x14ac:dyDescent="0.35">
      <c r="A49" s="2" t="s">
        <v>5884</v>
      </c>
      <c r="B49" s="2" t="s">
        <v>241</v>
      </c>
      <c r="C49" s="2" t="s">
        <v>242</v>
      </c>
      <c r="D49" s="2">
        <v>2024</v>
      </c>
      <c r="E49" s="2" t="s">
        <v>243</v>
      </c>
      <c r="F49" s="2" t="s">
        <v>244</v>
      </c>
      <c r="G49" s="2" t="s">
        <v>245</v>
      </c>
      <c r="H49" s="2" t="s">
        <v>8</v>
      </c>
      <c r="I49" s="2" t="str" cm="1">
        <f t="array" ref="I49">H49 &amp; _xlfn.REGEXEXTRACT(G49,"^[^_]+_\d{4}") &amp; ".pdf"</f>
        <v>https://www.ocf.berkeley.edu/~pkmendez/envsci/projects/2024final/MaY_2024.pdf</v>
      </c>
      <c r="J49" s="1" t="str">
        <f t="shared" si="0"/>
        <v>https://www.ocf.berkeley.edu/~pkmendez/envsci/projects/2024final/MaY_2024.pdf</v>
      </c>
      <c r="K49" s="2" t="str" cm="1">
        <f t="array" ref="K49:O49">_xlfn.TAKE(TRIM(_xlfn.TEXTSPLIT(F49,{",",";"})),,5)</f>
        <v>Climate change</v>
      </c>
      <c r="L49" s="2" t="str">
        <v>extreme heat</v>
      </c>
      <c r="M49" s="2" t="str">
        <v>environmental health</v>
      </c>
      <c r="N49" s="2" t="str">
        <v>heat-related illnesses</v>
      </c>
      <c r="O49" s="2" t="str">
        <v>systematic review</v>
      </c>
      <c r="P49" s="2" t="s">
        <v>9</v>
      </c>
      <c r="Q49" s="2" t="s">
        <v>10</v>
      </c>
    </row>
    <row r="50" spans="1:17" x14ac:dyDescent="0.35">
      <c r="A50" s="2" t="s">
        <v>5884</v>
      </c>
      <c r="B50" s="2" t="s">
        <v>246</v>
      </c>
      <c r="C50" s="2" t="s">
        <v>247</v>
      </c>
      <c r="D50" s="2">
        <v>2024</v>
      </c>
      <c r="E50" s="2" t="s">
        <v>248</v>
      </c>
      <c r="F50" s="2" t="s">
        <v>249</v>
      </c>
      <c r="G50" s="2" t="s">
        <v>250</v>
      </c>
      <c r="H50" s="2" t="s">
        <v>8</v>
      </c>
      <c r="I50" s="2" t="str" cm="1">
        <f t="array" ref="I50">H50 &amp; _xlfn.REGEXEXTRACT(G50,"^[^_]+_\d{4}") &amp; ".pdf"</f>
        <v>https://www.ocf.berkeley.edu/~pkmendez/envsci/projects/2024final/MaysA_2024.pdf</v>
      </c>
      <c r="J50" s="1" t="str">
        <f t="shared" si="0"/>
        <v>https://www.ocf.berkeley.edu/~pkmendez/envsci/projects/2024final/MaysA_2024.pdf</v>
      </c>
      <c r="K50" s="2" t="str" cm="1">
        <f t="array" ref="K50:N50">_xlfn.TAKE(TRIM(_xlfn.TEXTSPLIT(F50,{",",";"})),,5)</f>
        <v>ocean acidification</v>
      </c>
      <c r="L50" s="2" t="str">
        <v>ocean warming</v>
      </c>
      <c r="M50" s="2" t="str">
        <v>water temperature</v>
      </c>
      <c r="N50" s="2" t="str">
        <v>water pH</v>
      </c>
      <c r="P50" s="2" t="s">
        <v>9</v>
      </c>
      <c r="Q50" s="2" t="s">
        <v>10</v>
      </c>
    </row>
    <row r="51" spans="1:17" x14ac:dyDescent="0.35">
      <c r="A51" s="2" t="s">
        <v>5884</v>
      </c>
      <c r="B51" s="2" t="s">
        <v>251</v>
      </c>
      <c r="C51" s="2" t="s">
        <v>252</v>
      </c>
      <c r="D51" s="2">
        <v>2024</v>
      </c>
      <c r="E51" s="2" t="s">
        <v>253</v>
      </c>
      <c r="F51" s="2" t="s">
        <v>254</v>
      </c>
      <c r="G51" s="2" t="s">
        <v>255</v>
      </c>
      <c r="H51" s="2" t="s">
        <v>8</v>
      </c>
      <c r="I51" s="2" t="str" cm="1">
        <f t="array" ref="I51">H51 &amp; _xlfn.REGEXEXTRACT(G51,"^[^_]+_\d{4}") &amp; ".pdf"</f>
        <v>https://www.ocf.berkeley.edu/~pkmendez/envsci/projects/2024final/MoinA_2024.pdf</v>
      </c>
      <c r="J51" s="1" t="str">
        <f t="shared" si="0"/>
        <v>https://www.ocf.berkeley.edu/~pkmendez/envsci/projects/2024final/MoinA_2024.pdf</v>
      </c>
      <c r="K51" s="2" t="str" cm="1">
        <f t="array" ref="K51:O51">_xlfn.TAKE(TRIM(_xlfn.TEXTSPLIT(F51,{",",";"})),,5)</f>
        <v>policy assessment</v>
      </c>
      <c r="L51" s="2" t="str">
        <v>solar energy</v>
      </c>
      <c r="M51" s="2" t="str">
        <v>profit margins</v>
      </c>
      <c r="N51" s="2" t="str">
        <v>business survey</v>
      </c>
      <c r="O51" s="2" t="str">
        <v>domestic energy manufacturing</v>
      </c>
      <c r="P51" s="2" t="s">
        <v>9</v>
      </c>
      <c r="Q51" s="2" t="s">
        <v>10</v>
      </c>
    </row>
    <row r="52" spans="1:17" x14ac:dyDescent="0.35">
      <c r="A52" s="2" t="s">
        <v>5884</v>
      </c>
      <c r="B52" s="2" t="s">
        <v>256</v>
      </c>
      <c r="C52" s="2" t="s">
        <v>257</v>
      </c>
      <c r="D52" s="2">
        <v>2024</v>
      </c>
      <c r="E52" s="2" t="s">
        <v>258</v>
      </c>
      <c r="F52" s="2" t="s">
        <v>259</v>
      </c>
      <c r="G52" s="2" t="s">
        <v>260</v>
      </c>
      <c r="H52" s="2" t="s">
        <v>8</v>
      </c>
      <c r="I52" s="2" t="str" cm="1">
        <f t="array" ref="I52">H52 &amp; _xlfn.REGEXEXTRACT(G52,"^[^_]+_\d{4}") &amp; ".pdf"</f>
        <v>https://www.ocf.berkeley.edu/~pkmendez/envsci/projects/2024final/MuraliI_2024.pdf</v>
      </c>
      <c r="J52" s="1" t="str">
        <f t="shared" si="0"/>
        <v>https://www.ocf.berkeley.edu/~pkmendez/envsci/projects/2024final/MuraliI_2024.pdf</v>
      </c>
      <c r="K52" s="2" t="str" cm="1">
        <f t="array" ref="K52:O52">_xlfn.TAKE(TRIM(_xlfn.TEXTSPLIT(F52,{",",";"})),,5)</f>
        <v>Factor analysis</v>
      </c>
      <c r="L52" s="2" t="str">
        <v>National Action Plan</v>
      </c>
      <c r="M52" s="2" t="str">
        <v>India</v>
      </c>
      <c r="N52" s="2" t="str">
        <v>climate change</v>
      </c>
      <c r="O52" s="2" t="str">
        <v>policy</v>
      </c>
      <c r="P52" s="2" t="s">
        <v>9</v>
      </c>
      <c r="Q52" s="2" t="s">
        <v>10</v>
      </c>
    </row>
    <row r="53" spans="1:17" x14ac:dyDescent="0.35">
      <c r="A53" s="2" t="s">
        <v>5884</v>
      </c>
      <c r="B53" s="2" t="s">
        <v>261</v>
      </c>
      <c r="C53" s="2" t="s">
        <v>262</v>
      </c>
      <c r="D53" s="2">
        <v>2024</v>
      </c>
      <c r="E53" s="2" t="s">
        <v>263</v>
      </c>
      <c r="F53" s="2" t="s">
        <v>264</v>
      </c>
      <c r="G53" s="2" t="s">
        <v>265</v>
      </c>
      <c r="H53" s="2" t="s">
        <v>8</v>
      </c>
      <c r="I53" s="2" t="str" cm="1">
        <f t="array" ref="I53">H53 &amp; _xlfn.REGEXEXTRACT(G53,"^[^_]+_\d{4}") &amp; ".pdf"</f>
        <v>https://www.ocf.berkeley.edu/~pkmendez/envsci/projects/2024final/NittenbergK_2024.pdf</v>
      </c>
      <c r="J53" s="1" t="str">
        <f t="shared" si="0"/>
        <v>https://www.ocf.berkeley.edu/~pkmendez/envsci/projects/2024final/NittenbergK_2024.pdf</v>
      </c>
      <c r="K53" s="2" t="str" cm="1">
        <f t="array" ref="K53:O53">_xlfn.TAKE(TRIM(_xlfn.TEXTSPLIT(F53,{",",";"})),,5)</f>
        <v>Human Hair</v>
      </c>
      <c r="L53" s="2" t="str">
        <v>Decomposition</v>
      </c>
      <c r="M53" s="2" t="str">
        <v>Keratinophilic Fungi</v>
      </c>
      <c r="N53" s="2" t="str">
        <v>Agriculture</v>
      </c>
      <c r="O53" s="2" t="str">
        <v>Nitrogen Fertilizer</v>
      </c>
      <c r="P53" s="2" t="s">
        <v>9</v>
      </c>
      <c r="Q53" s="2" t="s">
        <v>10</v>
      </c>
    </row>
    <row r="54" spans="1:17" x14ac:dyDescent="0.35">
      <c r="A54" s="2" t="s">
        <v>5884</v>
      </c>
      <c r="B54" s="2" t="s">
        <v>266</v>
      </c>
      <c r="C54" s="2" t="s">
        <v>267</v>
      </c>
      <c r="D54" s="2">
        <v>2024</v>
      </c>
      <c r="E54" s="2" t="s">
        <v>268</v>
      </c>
      <c r="F54" s="2" t="s">
        <v>269</v>
      </c>
      <c r="G54" s="2" t="s">
        <v>270</v>
      </c>
      <c r="H54" s="2" t="s">
        <v>8</v>
      </c>
      <c r="I54" s="2" t="str" cm="1">
        <f t="array" ref="I54">H54 &amp; _xlfn.REGEXEXTRACT(G54,"^[^_]+_\d{4}") &amp; ".pdf"</f>
        <v>https://www.ocf.berkeley.edu/~pkmendez/envsci/projects/2024final/OllescaZ_2024.pdf</v>
      </c>
      <c r="J54" s="1" t="str">
        <f t="shared" si="0"/>
        <v>https://www.ocf.berkeley.edu/~pkmendez/envsci/projects/2024final/OllescaZ_2024.pdf</v>
      </c>
      <c r="K54" s="2" t="str" cm="1">
        <f t="array" ref="K54:O54">_xlfn.TAKE(TRIM(_xlfn.TEXTSPLIT(F54,{",",";"})),,5)</f>
        <v>volunteer monitoring</v>
      </c>
      <c r="L54" s="2" t="str">
        <v>Marine Protected Areas</v>
      </c>
      <c r="M54" s="2" t="str">
        <v>The Coral Triangle</v>
      </c>
      <c r="N54" s="2" t="str">
        <v>coral bleaching</v>
      </c>
      <c r="O54" s="2" t="str">
        <v>marine ecosystems</v>
      </c>
      <c r="P54" s="2" t="s">
        <v>9</v>
      </c>
      <c r="Q54" s="2" t="s">
        <v>10</v>
      </c>
    </row>
    <row r="55" spans="1:17" x14ac:dyDescent="0.35">
      <c r="A55" s="2" t="s">
        <v>5884</v>
      </c>
      <c r="B55" s="2" t="s">
        <v>271</v>
      </c>
      <c r="C55" s="2" t="s">
        <v>272</v>
      </c>
      <c r="D55" s="2">
        <v>2024</v>
      </c>
      <c r="E55" s="2" t="s">
        <v>273</v>
      </c>
      <c r="F55" s="2" t="s">
        <v>274</v>
      </c>
      <c r="G55" s="2" t="s">
        <v>275</v>
      </c>
      <c r="H55" s="2" t="s">
        <v>8</v>
      </c>
      <c r="I55" s="2" t="str" cm="1">
        <f t="array" ref="I55">H55 &amp; _xlfn.REGEXEXTRACT(G55,"^[^_]+_\d{4}") &amp; ".pdf"</f>
        <v>https://www.ocf.berkeley.edu/~pkmendez/envsci/projects/2024final/OuB_2024.pdf</v>
      </c>
      <c r="J55" s="1" t="str">
        <f t="shared" si="0"/>
        <v>https://www.ocf.berkeley.edu/~pkmendez/envsci/projects/2024final/OuB_2024.pdf</v>
      </c>
      <c r="K55" s="2" t="str" cm="1">
        <f t="array" ref="K55:O55">_xlfn.TAKE(TRIM(_xlfn.TEXTSPLIT(F55,{",",";"})),,5)</f>
        <v>Indoor air quality (IAQ)</v>
      </c>
      <c r="L55" s="2" t="str">
        <v>children’s health</v>
      </c>
      <c r="M55" s="2" t="str">
        <v>air quality improvement</v>
      </c>
      <c r="N55" s="2" t="str">
        <v>policy reform</v>
      </c>
      <c r="O55" s="2" t="str">
        <v>childcare facilities and classrooms</v>
      </c>
      <c r="P55" s="2" t="s">
        <v>9</v>
      </c>
      <c r="Q55" s="2" t="s">
        <v>10</v>
      </c>
    </row>
    <row r="56" spans="1:17" x14ac:dyDescent="0.35">
      <c r="A56" s="2" t="s">
        <v>5884</v>
      </c>
      <c r="B56" s="2" t="s">
        <v>276</v>
      </c>
      <c r="C56" s="2" t="s">
        <v>277</v>
      </c>
      <c r="D56" s="2">
        <v>2024</v>
      </c>
      <c r="E56" s="2" t="s">
        <v>278</v>
      </c>
      <c r="F56" s="2" t="s">
        <v>279</v>
      </c>
      <c r="G56" s="2" t="s">
        <v>280</v>
      </c>
      <c r="H56" s="2" t="s">
        <v>8</v>
      </c>
      <c r="I56" s="2" t="str" cm="1">
        <f t="array" ref="I56">H56 &amp; _xlfn.REGEXEXTRACT(G56,"^[^_]+_\d{4}") &amp; ".pdf"</f>
        <v>https://www.ocf.berkeley.edu/~pkmendez/envsci/projects/2024final/PankratzR_2024.pdf</v>
      </c>
      <c r="J56" s="1" t="str">
        <f t="shared" si="0"/>
        <v>https://www.ocf.berkeley.edu/~pkmendez/envsci/projects/2024final/PankratzR_2024.pdf</v>
      </c>
      <c r="K56" s="2" t="str" cm="1">
        <f t="array" ref="K56:O56">_xlfn.TAKE(TRIM(_xlfn.TEXTSPLIT(F56,{",",";"})),,5)</f>
        <v>Mason bees (Osmia)</v>
      </c>
      <c r="L56" s="2" t="str">
        <v>Disease Ecology</v>
      </c>
      <c r="M56" s="2" t="str">
        <v>Native Bee Viruses</v>
      </c>
      <c r="N56" s="2" t="str">
        <v>Deformed Wing Virus</v>
      </c>
      <c r="O56" s="2" t="str">
        <v>Chronic Bee Paralysis Virus</v>
      </c>
      <c r="P56" s="2" t="s">
        <v>9</v>
      </c>
      <c r="Q56" s="2" t="s">
        <v>10</v>
      </c>
    </row>
    <row r="57" spans="1:17" x14ac:dyDescent="0.35">
      <c r="A57" s="2" t="s">
        <v>5884</v>
      </c>
      <c r="B57" s="2" t="s">
        <v>281</v>
      </c>
      <c r="C57" s="2" t="s">
        <v>282</v>
      </c>
      <c r="D57" s="2">
        <v>2024</v>
      </c>
      <c r="E57" s="2" t="s">
        <v>283</v>
      </c>
      <c r="F57" s="2" t="s">
        <v>284</v>
      </c>
      <c r="G57" s="2" t="s">
        <v>285</v>
      </c>
      <c r="H57" s="2" t="s">
        <v>8</v>
      </c>
      <c r="I57" s="2" t="str" cm="1">
        <f t="array" ref="I57">H57 &amp; _xlfn.REGEXEXTRACT(G57,"^[^_]+_\d{4}") &amp; ".pdf"</f>
        <v>https://www.ocf.berkeley.edu/~pkmendez/envsci/projects/2024final/PappasT_2024.pdf</v>
      </c>
      <c r="J57" s="1" t="str">
        <f t="shared" si="0"/>
        <v>https://www.ocf.berkeley.edu/~pkmendez/envsci/projects/2024final/PappasT_2024.pdf</v>
      </c>
      <c r="K57" s="2" t="str" cm="1">
        <f t="array" ref="K57:O57">_xlfn.TAKE(TRIM(_xlfn.TEXTSPLIT(F57,{",",";"})),,5)</f>
        <v>wind energy</v>
      </c>
      <c r="L57" s="2" t="str">
        <v>conservation</v>
      </c>
      <c r="M57" s="2" t="str">
        <v>financial viability</v>
      </c>
      <c r="N57" s="2" t="str">
        <v>smart curtailment</v>
      </c>
      <c r="O57" s="2" t="str">
        <v>modeling</v>
      </c>
      <c r="P57" s="2" t="s">
        <v>9</v>
      </c>
      <c r="Q57" s="2" t="s">
        <v>10</v>
      </c>
    </row>
    <row r="58" spans="1:17" x14ac:dyDescent="0.35">
      <c r="A58" s="2" t="s">
        <v>5884</v>
      </c>
      <c r="B58" s="2" t="s">
        <v>286</v>
      </c>
      <c r="C58" s="2" t="s">
        <v>287</v>
      </c>
      <c r="D58" s="2">
        <v>2024</v>
      </c>
      <c r="E58" s="2" t="s">
        <v>288</v>
      </c>
      <c r="F58" s="2" t="s">
        <v>289</v>
      </c>
      <c r="G58" s="2" t="s">
        <v>290</v>
      </c>
      <c r="H58" s="2" t="s">
        <v>8</v>
      </c>
      <c r="I58" s="2" t="str" cm="1">
        <f t="array" ref="I58">H58 &amp; _xlfn.REGEXEXTRACT(G58,"^[^_]+_\d{4}") &amp; ".pdf"</f>
        <v>https://www.ocf.berkeley.edu/~pkmendez/envsci/projects/2024final/ParekhK_2024.pdf</v>
      </c>
      <c r="J58" s="1" t="str">
        <f t="shared" si="0"/>
        <v>https://www.ocf.berkeley.edu/~pkmendez/envsci/projects/2024final/ParekhK_2024.pdf</v>
      </c>
      <c r="K58" s="2" t="str" cm="1">
        <f t="array" ref="K58:O58">_xlfn.TAKE(TRIM(_xlfn.TEXTSPLIT(F58,{",",";"})),,5)</f>
        <v>Habitat restoration</v>
      </c>
      <c r="L58" s="2" t="str">
        <v>biodiversity</v>
      </c>
      <c r="M58" s="2" t="str">
        <v>urban green spaces</v>
      </c>
      <c r="N58" s="2" t="str">
        <v>temporal analysis</v>
      </c>
      <c r="O58" s="2" t="str">
        <v>human impact</v>
      </c>
      <c r="P58" s="2" t="s">
        <v>9</v>
      </c>
      <c r="Q58" s="2" t="s">
        <v>10</v>
      </c>
    </row>
    <row r="59" spans="1:17" x14ac:dyDescent="0.35">
      <c r="A59" s="2" t="s">
        <v>5884</v>
      </c>
      <c r="B59" s="2" t="s">
        <v>291</v>
      </c>
      <c r="C59" s="2" t="s">
        <v>292</v>
      </c>
      <c r="D59" s="2">
        <v>2024</v>
      </c>
      <c r="E59" s="2" t="s">
        <v>293</v>
      </c>
      <c r="F59" s="2" t="s">
        <v>294</v>
      </c>
      <c r="G59" s="2" t="s">
        <v>295</v>
      </c>
      <c r="H59" s="2" t="s">
        <v>8</v>
      </c>
      <c r="I59" s="2" t="str" cm="1">
        <f t="array" ref="I59">H59 &amp; _xlfn.REGEXEXTRACT(G59,"^[^_]+_\d{4}") &amp; ".pdf"</f>
        <v>https://www.ocf.berkeley.edu/~pkmendez/envsci/projects/2024final/ParkJ_2024.pdf</v>
      </c>
      <c r="J59" s="1" t="str">
        <f t="shared" si="0"/>
        <v>https://www.ocf.berkeley.edu/~pkmendez/envsci/projects/2024final/ParkJ_2024.pdf</v>
      </c>
      <c r="K59" s="2" t="str" cm="1">
        <f t="array" ref="K59:O59">_xlfn.TAKE(TRIM(_xlfn.TEXTSPLIT(F59,{",",";"})),,5)</f>
        <v>packaging design</v>
      </c>
      <c r="L59" s="2" t="str">
        <v>waste-sorting behavior</v>
      </c>
      <c r="M59" s="2" t="str">
        <v>labeling standards</v>
      </c>
      <c r="N59" s="2" t="str">
        <v>UX/UI Design</v>
      </c>
      <c r="O59" s="2" t="str">
        <v>habitual behaviors</v>
      </c>
      <c r="P59" s="2" t="s">
        <v>9</v>
      </c>
      <c r="Q59" s="2" t="s">
        <v>10</v>
      </c>
    </row>
    <row r="60" spans="1:17" x14ac:dyDescent="0.35">
      <c r="A60" s="2" t="s">
        <v>5884</v>
      </c>
      <c r="B60" s="2" t="s">
        <v>296</v>
      </c>
      <c r="C60" s="2" t="s">
        <v>297</v>
      </c>
      <c r="D60" s="2">
        <v>2024</v>
      </c>
      <c r="E60" s="2" t="s">
        <v>298</v>
      </c>
      <c r="F60" s="2" t="s">
        <v>299</v>
      </c>
      <c r="G60" s="2" t="s">
        <v>300</v>
      </c>
      <c r="H60" s="2" t="s">
        <v>8</v>
      </c>
      <c r="I60" s="2" t="str" cm="1">
        <f t="array" ref="I60">H60 &amp; _xlfn.REGEXEXTRACT(G60,"^[^_]+_\d{4}") &amp; ".pdf"</f>
        <v>https://www.ocf.berkeley.edu/~pkmendez/envsci/projects/2024final/PatelA_2024.pdf</v>
      </c>
      <c r="J60" s="1" t="str">
        <f t="shared" si="0"/>
        <v>https://www.ocf.berkeley.edu/~pkmendez/envsci/projects/2024final/PatelA_2024.pdf</v>
      </c>
      <c r="K60" s="2" t="str" cm="1">
        <f t="array" ref="K60:O60">_xlfn.TAKE(TRIM(_xlfn.TEXTSPLIT(F60,{",",";"})),,5)</f>
        <v>Rx burns</v>
      </c>
      <c r="L60" s="2" t="str">
        <v>invasive plant dynamics</v>
      </c>
      <c r="M60" s="2" t="str">
        <v>conservation planning</v>
      </c>
      <c r="N60" s="2" t="str">
        <v>remote sensing</v>
      </c>
      <c r="O60" s="2" t="str">
        <v>fire ecology</v>
      </c>
      <c r="P60" s="2" t="s">
        <v>9</v>
      </c>
      <c r="Q60" s="2" t="s">
        <v>10</v>
      </c>
    </row>
    <row r="61" spans="1:17" x14ac:dyDescent="0.35">
      <c r="A61" s="2" t="s">
        <v>5884</v>
      </c>
      <c r="B61" s="2" t="s">
        <v>301</v>
      </c>
      <c r="C61" s="2" t="s">
        <v>302</v>
      </c>
      <c r="D61" s="2">
        <v>2024</v>
      </c>
      <c r="E61" s="2" t="s">
        <v>303</v>
      </c>
      <c r="F61" s="2" t="s">
        <v>304</v>
      </c>
      <c r="G61" s="2" t="s">
        <v>305</v>
      </c>
      <c r="H61" s="2" t="s">
        <v>8</v>
      </c>
      <c r="I61" s="2" t="str" cm="1">
        <f t="array" ref="I61">H61 &amp; _xlfn.REGEXEXTRACT(G61,"^[^_]+_\d{4}") &amp; ".pdf"</f>
        <v>https://www.ocf.berkeley.edu/~pkmendez/envsci/projects/2024final/PolferK_2024.pdf</v>
      </c>
      <c r="J61" s="1" t="str">
        <f t="shared" si="0"/>
        <v>https://www.ocf.berkeley.edu/~pkmendez/envsci/projects/2024final/PolferK_2024.pdf</v>
      </c>
      <c r="K61" s="2" t="str" cm="1">
        <f t="array" ref="K61:O61">_xlfn.TAKE(TRIM(_xlfn.TEXTSPLIT(F61,{",",";"})),,5)</f>
        <v>denitrification</v>
      </c>
      <c r="L61" s="2" t="str">
        <v>16S rRNA sequencing</v>
      </c>
      <c r="M61" s="2" t="str">
        <v>salinity</v>
      </c>
      <c r="N61" s="2" t="str">
        <v>C:N ratios</v>
      </c>
      <c r="O61" s="2" t="str">
        <v>biogeochemistry</v>
      </c>
      <c r="P61" s="2" t="s">
        <v>9</v>
      </c>
      <c r="Q61" s="2" t="s">
        <v>10</v>
      </c>
    </row>
    <row r="62" spans="1:17" x14ac:dyDescent="0.35">
      <c r="A62" s="2" t="s">
        <v>5884</v>
      </c>
      <c r="B62" s="2" t="s">
        <v>306</v>
      </c>
      <c r="C62" s="2" t="s">
        <v>307</v>
      </c>
      <c r="D62" s="2">
        <v>2024</v>
      </c>
      <c r="E62" s="2" t="s">
        <v>308</v>
      </c>
      <c r="F62" s="2" t="s">
        <v>309</v>
      </c>
      <c r="G62" s="2" t="s">
        <v>310</v>
      </c>
      <c r="H62" s="2" t="s">
        <v>8</v>
      </c>
      <c r="I62" s="2" t="str" cm="1">
        <f t="array" ref="I62">H62 &amp; _xlfn.REGEXEXTRACT(G62,"^[^_]+_\d{4}") &amp; ".pdf"</f>
        <v>https://www.ocf.berkeley.edu/~pkmendez/envsci/projects/2024final/RileyP_2024.pdf</v>
      </c>
      <c r="J62" s="1" t="str">
        <f t="shared" si="0"/>
        <v>https://www.ocf.berkeley.edu/~pkmendez/envsci/projects/2024final/RileyP_2024.pdf</v>
      </c>
      <c r="K62" s="2" t="str" cm="1">
        <f t="array" ref="K62:O62">_xlfn.TAKE(TRIM(_xlfn.TEXTSPLIT(F62,{",",";"})),,5)</f>
        <v>Wheat</v>
      </c>
      <c r="L62" s="2" t="str">
        <v>whole grain</v>
      </c>
      <c r="M62" s="2" t="str">
        <v>local</v>
      </c>
      <c r="N62" s="2" t="str">
        <v>small-scale</v>
      </c>
      <c r="O62" s="2" t="str">
        <v>sourcing and distribution</v>
      </c>
      <c r="P62" s="2" t="s">
        <v>9</v>
      </c>
      <c r="Q62" s="2" t="s">
        <v>10</v>
      </c>
    </row>
    <row r="63" spans="1:17" x14ac:dyDescent="0.35">
      <c r="A63" s="2" t="s">
        <v>5884</v>
      </c>
      <c r="B63" s="2" t="s">
        <v>311</v>
      </c>
      <c r="C63" s="2" t="s">
        <v>312</v>
      </c>
      <c r="D63" s="2">
        <v>2024</v>
      </c>
      <c r="E63" s="2" t="s">
        <v>313</v>
      </c>
      <c r="F63" s="2" t="s">
        <v>314</v>
      </c>
      <c r="G63" s="2" t="s">
        <v>315</v>
      </c>
      <c r="H63" s="2" t="s">
        <v>8</v>
      </c>
      <c r="I63" s="2" t="str" cm="1">
        <f t="array" ref="I63">H63 &amp; _xlfn.REGEXEXTRACT(G63,"^[^_]+_\d{4}") &amp; ".pdf"</f>
        <v>https://www.ocf.berkeley.edu/~pkmendez/envsci/projects/2024final/RossmanM_2024.pdf</v>
      </c>
      <c r="J63" s="1" t="str">
        <f t="shared" si="0"/>
        <v>https://www.ocf.berkeley.edu/~pkmendez/envsci/projects/2024final/RossmanM_2024.pdf</v>
      </c>
      <c r="K63" s="2" t="str" cm="1">
        <f t="array" ref="K63:O63">_xlfn.TAKE(TRIM(_xlfn.TEXTSPLIT(F63,{",",";"})),,5)</f>
        <v>perception</v>
      </c>
      <c r="L63" s="2" t="str">
        <v>place attachment</v>
      </c>
      <c r="M63" s="2" t="str">
        <v>community</v>
      </c>
      <c r="N63" s="2" t="str">
        <v>[one more keyword]</v>
      </c>
      <c r="O63" s="2" t="str">
        <v>semi-structured interviews</v>
      </c>
      <c r="P63" s="2" t="s">
        <v>9</v>
      </c>
      <c r="Q63" s="2" t="s">
        <v>10</v>
      </c>
    </row>
    <row r="64" spans="1:17" x14ac:dyDescent="0.35">
      <c r="A64" s="2" t="s">
        <v>5884</v>
      </c>
      <c r="B64" s="2" t="s">
        <v>316</v>
      </c>
      <c r="C64" s="2" t="s">
        <v>317</v>
      </c>
      <c r="D64" s="2">
        <v>2024</v>
      </c>
      <c r="E64" s="2" t="s">
        <v>318</v>
      </c>
      <c r="F64" s="2" t="s">
        <v>319</v>
      </c>
      <c r="G64" s="2" t="s">
        <v>320</v>
      </c>
      <c r="H64" s="2" t="s">
        <v>8</v>
      </c>
      <c r="I64" s="2" t="str" cm="1">
        <f t="array" ref="I64">H64 &amp; _xlfn.REGEXEXTRACT(G64,"^[^_]+_\d{4}") &amp; ".pdf"</f>
        <v>https://www.ocf.berkeley.edu/~pkmendez/envsci/projects/2024final/RubioN_2024.pdf</v>
      </c>
      <c r="J64" s="1" t="str">
        <f t="shared" si="0"/>
        <v>https://www.ocf.berkeley.edu/~pkmendez/envsci/projects/2024final/RubioN_2024.pdf</v>
      </c>
      <c r="K64" s="2" t="str" cm="1">
        <f t="array" ref="K64:O64">_xlfn.TAKE(TRIM(_xlfn.TEXTSPLIT(F64,{",",";"})),,5)</f>
        <v>Food security</v>
      </c>
      <c r="L64" s="2" t="str">
        <v>Berkeley Student Food Collective</v>
      </c>
      <c r="M64" s="2" t="str">
        <v>SNAP</v>
      </c>
      <c r="N64" s="2" t="str">
        <v>Calfresh</v>
      </c>
      <c r="O64" s="2" t="str">
        <v>nutrition</v>
      </c>
      <c r="P64" s="2" t="s">
        <v>9</v>
      </c>
      <c r="Q64" s="2" t="s">
        <v>10</v>
      </c>
    </row>
    <row r="65" spans="1:17" x14ac:dyDescent="0.35">
      <c r="A65" s="2" t="s">
        <v>5884</v>
      </c>
      <c r="B65" s="2" t="s">
        <v>321</v>
      </c>
      <c r="C65" s="2" t="s">
        <v>322</v>
      </c>
      <c r="D65" s="2">
        <v>2024</v>
      </c>
      <c r="E65" s="2" t="s">
        <v>323</v>
      </c>
      <c r="F65" s="2" t="s">
        <v>324</v>
      </c>
      <c r="G65" s="2" t="s">
        <v>325</v>
      </c>
      <c r="H65" s="2" t="s">
        <v>8</v>
      </c>
      <c r="I65" s="2" t="str" cm="1">
        <f t="array" ref="I65">H65 &amp; _xlfn.REGEXEXTRACT(G65,"^[^_]+_\d{4}") &amp; ".pdf"</f>
        <v>https://www.ocf.berkeley.edu/~pkmendez/envsci/projects/2024final/RusoS_2024.pdf</v>
      </c>
      <c r="J65" s="1" t="str">
        <f t="shared" si="0"/>
        <v>https://www.ocf.berkeley.edu/~pkmendez/envsci/projects/2024final/RusoS_2024.pdf</v>
      </c>
      <c r="K65" s="2" t="str" cm="1">
        <f t="array" ref="K65:O65">_xlfn.TAKE(TRIM(_xlfn.TEXTSPLIT(F65,{",",";"})),,5)</f>
        <v>Burn Severity</v>
      </c>
      <c r="L65" s="2" t="str">
        <v>High-Severity Patch</v>
      </c>
      <c r="M65" s="2" t="str">
        <v>Slope</v>
      </c>
      <c r="N65" s="2" t="str">
        <v>Aspect</v>
      </c>
      <c r="O65" s="2" t="str">
        <v>Land Cover Change Analysis</v>
      </c>
      <c r="P65" s="2" t="s">
        <v>9</v>
      </c>
      <c r="Q65" s="2" t="s">
        <v>10</v>
      </c>
    </row>
    <row r="66" spans="1:17" x14ac:dyDescent="0.35">
      <c r="A66" s="2" t="s">
        <v>5884</v>
      </c>
      <c r="B66" s="2" t="s">
        <v>326</v>
      </c>
      <c r="C66" s="2" t="s">
        <v>327</v>
      </c>
      <c r="D66" s="2">
        <v>2024</v>
      </c>
      <c r="E66" s="2" t="s">
        <v>328</v>
      </c>
      <c r="F66" s="2" t="s">
        <v>329</v>
      </c>
      <c r="G66" s="2" t="s">
        <v>330</v>
      </c>
      <c r="H66" s="2" t="s">
        <v>8</v>
      </c>
      <c r="I66" s="2" t="str" cm="1">
        <f t="array" ref="I66">H66 &amp; _xlfn.REGEXEXTRACT(G66,"^[^_]+_\d{4}") &amp; ".pdf"</f>
        <v>https://www.ocf.berkeley.edu/~pkmendez/envsci/projects/2024final/ShivaA_2024.pdf</v>
      </c>
      <c r="J66" s="1" t="str">
        <f t="shared" si="0"/>
        <v>https://www.ocf.berkeley.edu/~pkmendez/envsci/projects/2024final/ShivaA_2024.pdf</v>
      </c>
      <c r="K66" s="2" t="str" cm="1">
        <f t="array" ref="K66:O66">_xlfn.TAKE(TRIM(_xlfn.TEXTSPLIT(F66,{",",";"})),,5)</f>
        <v>Carbon Emissions</v>
      </c>
      <c r="L66" s="2" t="str">
        <v>Private Equity</v>
      </c>
      <c r="M66" s="2" t="str">
        <v>ESG (Environmental</v>
      </c>
      <c r="N66" s="2" t="str">
        <v>Social</v>
      </c>
      <c r="O66" s="2" t="str">
        <v>and Governance) Impact Investing</v>
      </c>
      <c r="P66" s="2" t="s">
        <v>9</v>
      </c>
      <c r="Q66" s="2" t="s">
        <v>10</v>
      </c>
    </row>
    <row r="67" spans="1:17" x14ac:dyDescent="0.35">
      <c r="A67" s="2" t="s">
        <v>5884</v>
      </c>
      <c r="B67" s="2" t="s">
        <v>331</v>
      </c>
      <c r="C67" s="2" t="s">
        <v>332</v>
      </c>
      <c r="D67" s="2">
        <v>2024</v>
      </c>
      <c r="E67" s="2" t="s">
        <v>333</v>
      </c>
      <c r="F67" s="2" t="s">
        <v>334</v>
      </c>
      <c r="G67" s="2" t="s">
        <v>335</v>
      </c>
      <c r="H67" s="2" t="s">
        <v>8</v>
      </c>
      <c r="I67" s="2" t="str" cm="1">
        <f t="array" ref="I67">H67 &amp; _xlfn.REGEXEXTRACT(G67,"^[^_]+_\d{4}") &amp; ".pdf"</f>
        <v>https://www.ocf.berkeley.edu/~pkmendez/envsci/projects/2024final/StAmantM_2024.pdf</v>
      </c>
      <c r="J67" s="1" t="str">
        <f t="shared" ref="J67:J130" si="1">HYPERLINK(I67, I67)</f>
        <v>https://www.ocf.berkeley.edu/~pkmendez/envsci/projects/2024final/StAmantM_2024.pdf</v>
      </c>
      <c r="K67" s="2" t="str" cm="1">
        <f t="array" ref="K67:O67">_xlfn.TAKE(TRIM(_xlfn.TEXTSPLIT(F67,{",",";"})),,5)</f>
        <v>Forest carbon offsets</v>
      </c>
      <c r="L67" s="2" t="str">
        <v>net forest carbon storage</v>
      </c>
      <c r="M67" s="2" t="str">
        <v>prescribed fire</v>
      </c>
      <c r="N67" s="2" t="str">
        <v>mechanical thinning</v>
      </c>
      <c r="O67" s="2" t="str">
        <v>annual burn probability</v>
      </c>
      <c r="P67" s="2" t="s">
        <v>9</v>
      </c>
      <c r="Q67" s="2" t="s">
        <v>10</v>
      </c>
    </row>
    <row r="68" spans="1:17" x14ac:dyDescent="0.35">
      <c r="A68" s="2" t="s">
        <v>5884</v>
      </c>
      <c r="B68" s="2" t="s">
        <v>336</v>
      </c>
      <c r="C68" s="2" t="s">
        <v>337</v>
      </c>
      <c r="D68" s="2">
        <v>2024</v>
      </c>
      <c r="E68" s="2" t="s">
        <v>338</v>
      </c>
      <c r="F68" s="2" t="s">
        <v>339</v>
      </c>
      <c r="G68" s="2" t="s">
        <v>340</v>
      </c>
      <c r="H68" s="2" t="s">
        <v>8</v>
      </c>
      <c r="I68" s="2" t="str" cm="1">
        <f t="array" ref="I68">H68 &amp; _xlfn.REGEXEXTRACT(G68,"^[^_]+_\d{4}") &amp; ".pdf"</f>
        <v>https://www.ocf.berkeley.edu/~pkmendez/envsci/projects/2024final/SunQJ_2024.pdf</v>
      </c>
      <c r="J68" s="1" t="str">
        <f t="shared" si="1"/>
        <v>https://www.ocf.berkeley.edu/~pkmendez/envsci/projects/2024final/SunQJ_2024.pdf</v>
      </c>
      <c r="K68" s="2" t="str" cm="1">
        <f t="array" ref="K68:O68">_xlfn.TAKE(TRIM(_xlfn.TEXTSPLIT(F68,{",",";"})),,5)</f>
        <v>LiDAR</v>
      </c>
      <c r="L68" s="2" t="str">
        <v>wetlands</v>
      </c>
      <c r="M68" s="2" t="str">
        <v>carbon flux</v>
      </c>
      <c r="N68" s="2" t="str">
        <v>NDVI</v>
      </c>
      <c r="O68" s="2" t="str">
        <v>graph neural networks</v>
      </c>
      <c r="P68" s="2" t="s">
        <v>9</v>
      </c>
      <c r="Q68" s="2" t="s">
        <v>10</v>
      </c>
    </row>
    <row r="69" spans="1:17" x14ac:dyDescent="0.35">
      <c r="A69" s="2" t="s">
        <v>5884</v>
      </c>
      <c r="B69" s="2" t="s">
        <v>341</v>
      </c>
      <c r="C69" s="2" t="s">
        <v>342</v>
      </c>
      <c r="D69" s="2">
        <v>2024</v>
      </c>
      <c r="E69" s="2" t="s">
        <v>343</v>
      </c>
      <c r="F69" s="2" t="s">
        <v>344</v>
      </c>
      <c r="G69" s="2" t="s">
        <v>345</v>
      </c>
      <c r="H69" s="2" t="s">
        <v>8</v>
      </c>
      <c r="I69" s="2" t="str" cm="1">
        <f t="array" ref="I69">H69 &amp; _xlfn.REGEXEXTRACT(G69,"^[^_]+_\d{4}") &amp; ".pdf"</f>
        <v>https://www.ocf.berkeley.edu/~pkmendez/envsci/projects/2024final/SunX_2024.pdf</v>
      </c>
      <c r="J69" s="1" t="str">
        <f t="shared" si="1"/>
        <v>https://www.ocf.berkeley.edu/~pkmendez/envsci/projects/2024final/SunX_2024.pdf</v>
      </c>
      <c r="K69" s="2" t="str" cm="1">
        <f t="array" ref="K69:O69">_xlfn.TAKE(TRIM(_xlfn.TEXTSPLIT(F69,{",",";"})),,5)</f>
        <v>forest ecology</v>
      </c>
      <c r="L69" s="2" t="str">
        <v>ant biology</v>
      </c>
      <c r="M69" s="2" t="str">
        <v>population ecology</v>
      </c>
      <c r="N69" s="2" t="str">
        <v>ecological management</v>
      </c>
      <c r="O69" s="2" t="str">
        <v>seasonal variations</v>
      </c>
      <c r="P69" s="2" t="s">
        <v>9</v>
      </c>
      <c r="Q69" s="2" t="s">
        <v>10</v>
      </c>
    </row>
    <row r="70" spans="1:17" x14ac:dyDescent="0.35">
      <c r="A70" s="2" t="s">
        <v>5884</v>
      </c>
      <c r="B70" s="2" t="s">
        <v>346</v>
      </c>
      <c r="C70" s="2" t="s">
        <v>347</v>
      </c>
      <c r="D70" s="2">
        <v>2024</v>
      </c>
      <c r="E70" s="2" t="s">
        <v>348</v>
      </c>
      <c r="F70" s="2" t="s">
        <v>349</v>
      </c>
      <c r="G70" s="2" t="s">
        <v>350</v>
      </c>
      <c r="H70" s="2" t="s">
        <v>8</v>
      </c>
      <c r="I70" s="2" t="str" cm="1">
        <f t="array" ref="I70">H70 &amp; _xlfn.REGEXEXTRACT(G70,"^[^_]+_\d{4}") &amp; ".pdf"</f>
        <v>https://www.ocf.berkeley.edu/~pkmendez/envsci/projects/2024final/TahsiniV_2024.pdf</v>
      </c>
      <c r="J70" s="1" t="str">
        <f t="shared" si="1"/>
        <v>https://www.ocf.berkeley.edu/~pkmendez/envsci/projects/2024final/TahsiniV_2024.pdf</v>
      </c>
      <c r="K70" s="2" t="str" cm="1">
        <f t="array" ref="K70:O70">_xlfn.TAKE(TRIM(_xlfn.TEXTSPLIT(F70,{",",";"})),,5)</f>
        <v>supervised learning algorithm</v>
      </c>
      <c r="L70" s="2" t="str">
        <v>wind energy</v>
      </c>
      <c r="M70" s="2" t="str">
        <v>machine learning</v>
      </c>
      <c r="N70" s="2" t="str">
        <v>object identification</v>
      </c>
      <c r="O70" s="2" t="str">
        <v>bat fatalities</v>
      </c>
      <c r="P70" s="2" t="s">
        <v>9</v>
      </c>
      <c r="Q70" s="2" t="s">
        <v>10</v>
      </c>
    </row>
    <row r="71" spans="1:17" x14ac:dyDescent="0.35">
      <c r="A71" s="2" t="s">
        <v>5884</v>
      </c>
      <c r="B71" s="2" t="s">
        <v>351</v>
      </c>
      <c r="C71" s="2" t="s">
        <v>352</v>
      </c>
      <c r="D71" s="2">
        <v>2024</v>
      </c>
      <c r="E71" s="2" t="s">
        <v>353</v>
      </c>
      <c r="F71" s="2" t="s">
        <v>354</v>
      </c>
      <c r="G71" s="2" t="s">
        <v>355</v>
      </c>
      <c r="H71" s="2" t="s">
        <v>8</v>
      </c>
      <c r="I71" s="2" t="str" cm="1">
        <f t="array" ref="I71">H71 &amp; _xlfn.REGEXEXTRACT(G71,"^[^_]+_\d{4}") &amp; ".pdf"</f>
        <v>https://www.ocf.berkeley.edu/~pkmendez/envsci/projects/2024final/TangJ_2024.pdf</v>
      </c>
      <c r="J71" s="1" t="str">
        <f t="shared" si="1"/>
        <v>https://www.ocf.berkeley.edu/~pkmendez/envsci/projects/2024final/TangJ_2024.pdf</v>
      </c>
      <c r="K71" s="2" t="str" cm="1">
        <f t="array" ref="K71:O71">_xlfn.TAKE(TRIM(_xlfn.TEXTSPLIT(F71,{",",";"})),,5)</f>
        <v>Extreme weather events</v>
      </c>
      <c r="L71" s="2" t="str">
        <v>Water vapor transport</v>
      </c>
      <c r="M71" s="2" t="str">
        <v>Temperature anomaly</v>
      </c>
      <c r="N71" s="2" t="str">
        <v>Climate change</v>
      </c>
      <c r="O71" s="2" t="str">
        <v>Atmospheric modeling</v>
      </c>
      <c r="P71" s="2" t="s">
        <v>9</v>
      </c>
      <c r="Q71" s="2" t="s">
        <v>10</v>
      </c>
    </row>
    <row r="72" spans="1:17" x14ac:dyDescent="0.35">
      <c r="A72" s="2" t="s">
        <v>5884</v>
      </c>
      <c r="B72" s="2" t="s">
        <v>356</v>
      </c>
      <c r="C72" s="2" t="s">
        <v>357</v>
      </c>
      <c r="D72" s="2">
        <v>2024</v>
      </c>
      <c r="E72" s="2" t="s">
        <v>358</v>
      </c>
      <c r="F72" s="2" t="s">
        <v>359</v>
      </c>
      <c r="G72" s="2" t="s">
        <v>360</v>
      </c>
      <c r="H72" s="2" t="s">
        <v>8</v>
      </c>
      <c r="I72" s="2" t="str" cm="1">
        <f t="array" ref="I72">H72 &amp; _xlfn.REGEXEXTRACT(G72,"^[^_]+_\d{4}") &amp; ".pdf"</f>
        <v>https://www.ocf.berkeley.edu/~pkmendez/envsci/projects/2024final/ThangC_2024.pdf</v>
      </c>
      <c r="J72" s="1" t="str">
        <f t="shared" si="1"/>
        <v>https://www.ocf.berkeley.edu/~pkmendez/envsci/projects/2024final/ThangC_2024.pdf</v>
      </c>
      <c r="K72" s="2" t="str" cm="1">
        <f t="array" ref="K72:O72">_xlfn.TAKE(TRIM(_xlfn.TEXTSPLIT(F72,{",",";"})),,5)</f>
        <v>Freshwater systems</v>
      </c>
      <c r="L72" s="2" t="str">
        <v>pollution</v>
      </c>
      <c r="M72" s="2" t="str">
        <v>urban stream</v>
      </c>
      <c r="N72" s="2" t="str">
        <v>effluent discharge</v>
      </c>
      <c r="O72" s="2" t="str">
        <v>plastic contamination</v>
      </c>
      <c r="P72" s="2" t="s">
        <v>9</v>
      </c>
      <c r="Q72" s="2" t="s">
        <v>10</v>
      </c>
    </row>
    <row r="73" spans="1:17" x14ac:dyDescent="0.35">
      <c r="A73" s="2" t="s">
        <v>5884</v>
      </c>
      <c r="B73" s="2" t="s">
        <v>361</v>
      </c>
      <c r="C73" s="2" t="s">
        <v>362</v>
      </c>
      <c r="D73" s="2">
        <v>2024</v>
      </c>
      <c r="E73" s="2" t="s">
        <v>363</v>
      </c>
      <c r="F73" s="2" t="s">
        <v>364</v>
      </c>
      <c r="G73" s="2" t="s">
        <v>365</v>
      </c>
      <c r="H73" s="2" t="s">
        <v>8</v>
      </c>
      <c r="I73" s="2" t="str" cm="1">
        <f t="array" ref="I73">H73 &amp; _xlfn.REGEXEXTRACT(G73,"^[^_]+_\d{4}") &amp; ".pdf"</f>
        <v>https://www.ocf.berkeley.edu/~pkmendez/envsci/projects/2024final/TovarJ_2024.pdf</v>
      </c>
      <c r="J73" s="1" t="str">
        <f t="shared" si="1"/>
        <v>https://www.ocf.berkeley.edu/~pkmendez/envsci/projects/2024final/TovarJ_2024.pdf</v>
      </c>
      <c r="K73" s="2" t="str" cm="1">
        <f t="array" ref="K73:O73">_xlfn.TAKE(TRIM(_xlfn.TEXTSPLIT(F73,{",",";"})),,5)</f>
        <v>Food security</v>
      </c>
      <c r="L73" s="2" t="str">
        <v>environmental justice</v>
      </c>
      <c r="M73" s="2" t="str">
        <v>food justice</v>
      </c>
      <c r="N73" s="2" t="str">
        <v>land-use planning</v>
      </c>
      <c r="O73" s="2" t="str">
        <v>agricultural labor</v>
      </c>
      <c r="P73" s="2" t="s">
        <v>9</v>
      </c>
      <c r="Q73" s="2" t="s">
        <v>10</v>
      </c>
    </row>
    <row r="74" spans="1:17" x14ac:dyDescent="0.35">
      <c r="A74" s="2" t="s">
        <v>5884</v>
      </c>
      <c r="B74" s="2" t="s">
        <v>366</v>
      </c>
      <c r="C74" s="2" t="s">
        <v>367</v>
      </c>
      <c r="D74" s="2">
        <v>2024</v>
      </c>
      <c r="E74" s="2" t="s">
        <v>368</v>
      </c>
      <c r="F74" s="2" t="s">
        <v>369</v>
      </c>
      <c r="G74" s="2" t="s">
        <v>370</v>
      </c>
      <c r="H74" s="2" t="s">
        <v>8</v>
      </c>
      <c r="I74" s="2" t="str" cm="1">
        <f t="array" ref="I74">H74 &amp; _xlfn.REGEXEXTRACT(G74,"^[^_]+_\d{4}") &amp; ".pdf"</f>
        <v>https://www.ocf.berkeley.edu/~pkmendez/envsci/projects/2024final/TsengJ_2024.pdf</v>
      </c>
      <c r="J74" s="1" t="str">
        <f t="shared" si="1"/>
        <v>https://www.ocf.berkeley.edu/~pkmendez/envsci/projects/2024final/TsengJ_2024.pdf</v>
      </c>
      <c r="K74" s="2" t="str" cm="1">
        <f t="array" ref="K74:O74">_xlfn.TAKE(TRIM(_xlfn.TEXTSPLIT(F74,{",",";"})),,5)</f>
        <v>National School Lunch Program (NSLP)</v>
      </c>
      <c r="L74" s="2" t="str">
        <v>school meal program</v>
      </c>
      <c r="M74" s="2" t="str">
        <v>Oakland Unified School District (OUSD)</v>
      </c>
      <c r="N74" s="2" t="str">
        <v>food security</v>
      </c>
      <c r="O74" s="2" t="str">
        <v>garden education</v>
      </c>
      <c r="P74" s="2" t="s">
        <v>9</v>
      </c>
      <c r="Q74" s="2" t="s">
        <v>10</v>
      </c>
    </row>
    <row r="75" spans="1:17" x14ac:dyDescent="0.35">
      <c r="A75" s="2" t="s">
        <v>5884</v>
      </c>
      <c r="B75" s="2" t="s">
        <v>371</v>
      </c>
      <c r="C75" s="2" t="s">
        <v>372</v>
      </c>
      <c r="D75" s="2">
        <v>2024</v>
      </c>
      <c r="E75" s="2" t="s">
        <v>373</v>
      </c>
      <c r="F75" s="2" t="s">
        <v>374</v>
      </c>
      <c r="G75" s="2" t="s">
        <v>375</v>
      </c>
      <c r="H75" s="2" t="s">
        <v>8</v>
      </c>
      <c r="I75" s="2" t="str" cm="1">
        <f t="array" ref="I75">H75 &amp; _xlfn.REGEXEXTRACT(G75,"^[^_]+_\d{4}") &amp; ".pdf"</f>
        <v>https://www.ocf.berkeley.edu/~pkmendez/envsci/projects/2024final/UriarteJ_2024.pdf</v>
      </c>
      <c r="J75" s="1" t="str">
        <f t="shared" si="1"/>
        <v>https://www.ocf.berkeley.edu/~pkmendez/envsci/projects/2024final/UriarteJ_2024.pdf</v>
      </c>
      <c r="K75" s="2" t="str" cm="1">
        <f t="array" ref="K75:O75">_xlfn.TAKE(TRIM(_xlfn.TEXTSPLIT(F75,{",",";"})),,5)</f>
        <v>NPK</v>
      </c>
      <c r="L75" s="2" t="str">
        <v>microbial processes</v>
      </c>
      <c r="M75" s="2" t="str">
        <v>invasive plant encroachment</v>
      </c>
      <c r="N75" s="2" t="str">
        <v>organic amendments</v>
      </c>
      <c r="O75" s="2" t="str">
        <v>macroinvertebrates</v>
      </c>
      <c r="P75" s="2" t="s">
        <v>9</v>
      </c>
      <c r="Q75" s="2" t="s">
        <v>10</v>
      </c>
    </row>
    <row r="76" spans="1:17" x14ac:dyDescent="0.35">
      <c r="A76" s="2" t="s">
        <v>5884</v>
      </c>
      <c r="B76" s="2" t="s">
        <v>376</v>
      </c>
      <c r="C76" s="2" t="s">
        <v>377</v>
      </c>
      <c r="D76" s="2">
        <v>2024</v>
      </c>
      <c r="E76" s="2" t="s">
        <v>378</v>
      </c>
      <c r="F76" s="2" t="s">
        <v>379</v>
      </c>
      <c r="G76" s="2" t="s">
        <v>380</v>
      </c>
      <c r="H76" s="2" t="s">
        <v>8</v>
      </c>
      <c r="I76" s="2" t="str" cm="1">
        <f t="array" ref="I76">H76 &amp; _xlfn.REGEXEXTRACT(G76,"^[^_]+_\d{4}") &amp; ".pdf"</f>
        <v>https://www.ocf.berkeley.edu/~pkmendez/envsci/projects/2024final/ViloriaE_2024.pdf</v>
      </c>
      <c r="J76" s="1" t="str">
        <f t="shared" si="1"/>
        <v>https://www.ocf.berkeley.edu/~pkmendez/envsci/projects/2024final/ViloriaE_2024.pdf</v>
      </c>
      <c r="K76" s="2" t="str" cm="1">
        <f t="array" ref="K76:O76">_xlfn.TAKE(TRIM(_xlfn.TEXTSPLIT(F76,{",",";"})),,5)</f>
        <v>Environmental education (EE)</v>
      </c>
      <c r="L76" s="2" t="str">
        <v>sustainability</v>
      </c>
      <c r="M76" s="2" t="str">
        <v>consumer packaged goods</v>
      </c>
      <c r="N76" s="2" t="str">
        <v>consumer perceptions</v>
      </c>
      <c r="O76" s="2" t="str">
        <v>greenwashing</v>
      </c>
      <c r="P76" s="2" t="s">
        <v>9</v>
      </c>
      <c r="Q76" s="2" t="s">
        <v>10</v>
      </c>
    </row>
    <row r="77" spans="1:17" x14ac:dyDescent="0.35">
      <c r="A77" s="2" t="s">
        <v>5884</v>
      </c>
      <c r="B77" s="2" t="s">
        <v>381</v>
      </c>
      <c r="C77" s="2" t="s">
        <v>382</v>
      </c>
      <c r="D77" s="2">
        <v>2024</v>
      </c>
      <c r="E77" s="2" t="s">
        <v>383</v>
      </c>
      <c r="F77" s="2" t="s">
        <v>384</v>
      </c>
      <c r="G77" s="2" t="s">
        <v>385</v>
      </c>
      <c r="H77" s="2" t="s">
        <v>8</v>
      </c>
      <c r="I77" s="2" t="str" cm="1">
        <f t="array" ref="I77">H77 &amp; _xlfn.REGEXEXTRACT(G77,"^[^_]+_\d{4}") &amp; ".pdf"</f>
        <v>https://www.ocf.berkeley.edu/~pkmendez/envsci/projects/2024final/WamstekerI_2024.pdf</v>
      </c>
      <c r="J77" s="1" t="str">
        <f t="shared" si="1"/>
        <v>https://www.ocf.berkeley.edu/~pkmendez/envsci/projects/2024final/WamstekerI_2024.pdf</v>
      </c>
      <c r="K77" s="2" t="str" cm="1">
        <f t="array" ref="K77:O77">_xlfn.TAKE(TRIM(_xlfn.TEXTSPLIT(F77,{",",";"})),,5)</f>
        <v>PEPRMT model</v>
      </c>
      <c r="L77" s="2" t="str">
        <v>carbon flux</v>
      </c>
      <c r="M77" s="2" t="str">
        <v>light availability</v>
      </c>
      <c r="N77" s="2" t="str">
        <v>air temperature</v>
      </c>
      <c r="O77" s="2" t="str">
        <v>methanogenesis</v>
      </c>
      <c r="P77" s="2" t="s">
        <v>9</v>
      </c>
      <c r="Q77" s="2" t="s">
        <v>10</v>
      </c>
    </row>
    <row r="78" spans="1:17" x14ac:dyDescent="0.35">
      <c r="A78" s="2" t="s">
        <v>5884</v>
      </c>
      <c r="B78" s="2" t="s">
        <v>386</v>
      </c>
      <c r="C78" s="2" t="s">
        <v>387</v>
      </c>
      <c r="D78" s="2">
        <v>2024</v>
      </c>
      <c r="E78" s="2" t="s">
        <v>388</v>
      </c>
      <c r="F78" s="2" t="s">
        <v>389</v>
      </c>
      <c r="G78" s="2" t="s">
        <v>390</v>
      </c>
      <c r="H78" s="2" t="s">
        <v>8</v>
      </c>
      <c r="I78" s="2" t="str" cm="1">
        <f t="array" ref="I78">H78 &amp; _xlfn.REGEXEXTRACT(G78,"^[^_]+_\d{4}") &amp; ".pdf"</f>
        <v>https://www.ocf.berkeley.edu/~pkmendez/envsci/projects/2024final/WangI_2024.pdf</v>
      </c>
      <c r="J78" s="1" t="str">
        <f t="shared" si="1"/>
        <v>https://www.ocf.berkeley.edu/~pkmendez/envsci/projects/2024final/WangI_2024.pdf</v>
      </c>
      <c r="K78" s="2" t="str" cm="1">
        <f t="array" ref="K78:O78">_xlfn.TAKE(TRIM(_xlfn.TEXTSPLIT(F78,{",",";"})),,5)</f>
        <v>ethnic identity</v>
      </c>
      <c r="L78" s="2" t="str">
        <v>culture</v>
      </c>
      <c r="M78" s="2" t="str">
        <v>social science</v>
      </c>
      <c r="N78" s="2" t="str">
        <v>environmental careers</v>
      </c>
      <c r="O78" s="2" t="str">
        <v>outdoor recreation</v>
      </c>
      <c r="P78" s="2" t="s">
        <v>9</v>
      </c>
      <c r="Q78" s="2" t="s">
        <v>10</v>
      </c>
    </row>
    <row r="79" spans="1:17" x14ac:dyDescent="0.35">
      <c r="A79" s="2" t="s">
        <v>5884</v>
      </c>
      <c r="B79" s="2" t="s">
        <v>391</v>
      </c>
      <c r="C79" s="2" t="s">
        <v>392</v>
      </c>
      <c r="D79" s="2">
        <v>2024</v>
      </c>
      <c r="E79" s="2" t="s">
        <v>393</v>
      </c>
      <c r="F79" s="2" t="s">
        <v>394</v>
      </c>
      <c r="G79" s="2" t="s">
        <v>395</v>
      </c>
      <c r="H79" s="2" t="s">
        <v>8</v>
      </c>
      <c r="I79" s="2" t="str" cm="1">
        <f t="array" ref="I79">H79 &amp; _xlfn.REGEXEXTRACT(G79,"^[^_]+_\d{4}") &amp; ".pdf"</f>
        <v>https://www.ocf.berkeley.edu/~pkmendez/envsci/projects/2024final/WeinbergerB_2024.pdf</v>
      </c>
      <c r="J79" s="1" t="str">
        <f t="shared" si="1"/>
        <v>https://www.ocf.berkeley.edu/~pkmendez/envsci/projects/2024final/WeinbergerB_2024.pdf</v>
      </c>
      <c r="K79" s="2" t="str" cm="1">
        <f t="array" ref="K79:O79">_xlfn.TAKE(TRIM(_xlfn.TEXTSPLIT(F79,{",",";"})),,5)</f>
        <v>environmental justice</v>
      </c>
      <c r="L79" s="2" t="str">
        <v>air pollution</v>
      </c>
      <c r="M79" s="2" t="str">
        <v>lower-cost sensor networks</v>
      </c>
      <c r="N79" s="2" t="str">
        <v>particulate matter with diameter ≤ 2.5 micrometers (PM2.5)</v>
      </c>
      <c r="O79" s="2" t="str">
        <v>proton transfer reaction time-of-flight mass spectrometer (PTR-ToF-MS)</v>
      </c>
      <c r="P79" s="2" t="s">
        <v>9</v>
      </c>
      <c r="Q79" s="2" t="s">
        <v>10</v>
      </c>
    </row>
    <row r="80" spans="1:17" x14ac:dyDescent="0.35">
      <c r="A80" s="2" t="s">
        <v>5884</v>
      </c>
      <c r="B80" s="2" t="s">
        <v>396</v>
      </c>
      <c r="C80" s="2" t="s">
        <v>397</v>
      </c>
      <c r="D80" s="2">
        <v>2024</v>
      </c>
      <c r="E80" s="2" t="s">
        <v>398</v>
      </c>
      <c r="F80" s="2" t="s">
        <v>399</v>
      </c>
      <c r="G80" s="2" t="s">
        <v>400</v>
      </c>
      <c r="H80" s="2" t="s">
        <v>8</v>
      </c>
      <c r="I80" s="2" t="str" cm="1">
        <f t="array" ref="I80">H80 &amp; _xlfn.REGEXEXTRACT(G80,"^[^_]+_\d{4}") &amp; ".pdf"</f>
        <v>https://www.ocf.berkeley.edu/~pkmendez/envsci/projects/2024final/WhelanF_2024.pdf</v>
      </c>
      <c r="J80" s="1" t="str">
        <f t="shared" si="1"/>
        <v>https://www.ocf.berkeley.edu/~pkmendez/envsci/projects/2024final/WhelanF_2024.pdf</v>
      </c>
      <c r="K80" s="2" t="str" cm="1">
        <f t="array" ref="K80:O80">_xlfn.TAKE(TRIM(_xlfn.TEXTSPLIT(F80,{",",";"})),,5)</f>
        <v>urban human-wildlife interface</v>
      </c>
      <c r="L80" s="2" t="str">
        <v>human-coyote conflict</v>
      </c>
      <c r="M80" s="2" t="str">
        <v>financial exclusion</v>
      </c>
      <c r="N80" s="2" t="str">
        <v>landscapes of socioeconomic heterogeneity</v>
      </c>
      <c r="O80" s="2" t="str">
        <v>geospatial regression</v>
      </c>
      <c r="P80" s="2" t="s">
        <v>9</v>
      </c>
      <c r="Q80" s="2" t="s">
        <v>10</v>
      </c>
    </row>
    <row r="81" spans="1:17" x14ac:dyDescent="0.35">
      <c r="A81" s="2" t="s">
        <v>5884</v>
      </c>
      <c r="B81" s="2" t="s">
        <v>401</v>
      </c>
      <c r="C81" s="2" t="s">
        <v>402</v>
      </c>
      <c r="D81" s="2">
        <v>2024</v>
      </c>
      <c r="E81" s="2" t="s">
        <v>403</v>
      </c>
      <c r="F81" s="2" t="s">
        <v>404</v>
      </c>
      <c r="G81" s="2" t="s">
        <v>405</v>
      </c>
      <c r="H81" s="2" t="s">
        <v>8</v>
      </c>
      <c r="I81" s="2" t="str" cm="1">
        <f t="array" ref="I81">H81 &amp; _xlfn.REGEXEXTRACT(G81,"^[^_]+_\d{4}") &amp; ".pdf"</f>
        <v>https://www.ocf.berkeley.edu/~pkmendez/envsci/projects/2024final/WhitingN_2024.pdf</v>
      </c>
      <c r="J81" s="1" t="str">
        <f t="shared" si="1"/>
        <v>https://www.ocf.berkeley.edu/~pkmendez/envsci/projects/2024final/WhitingN_2024.pdf</v>
      </c>
      <c r="K81" s="2" t="str" cm="1">
        <f t="array" ref="K81:O81">_xlfn.TAKE(TRIM(_xlfn.TEXTSPLIT(F81,{",",";"})),,5)</f>
        <v>renewable energy</v>
      </c>
      <c r="L81" s="2" t="str">
        <v>photovoltaics</v>
      </c>
      <c r="M81" s="2" t="str">
        <v>Geographic Information Science</v>
      </c>
      <c r="N81" s="2" t="str">
        <v>economic modeling</v>
      </c>
      <c r="O81" s="2" t="str">
        <v>policy review</v>
      </c>
      <c r="P81" s="2" t="s">
        <v>9</v>
      </c>
      <c r="Q81" s="2" t="s">
        <v>10</v>
      </c>
    </row>
    <row r="82" spans="1:17" x14ac:dyDescent="0.35">
      <c r="A82" s="2" t="s">
        <v>5884</v>
      </c>
      <c r="B82" s="2" t="s">
        <v>406</v>
      </c>
      <c r="C82" s="2" t="s">
        <v>407</v>
      </c>
      <c r="D82" s="2">
        <v>2024</v>
      </c>
      <c r="E82" s="2" t="s">
        <v>408</v>
      </c>
      <c r="F82" s="2" t="s">
        <v>409</v>
      </c>
      <c r="G82" s="2" t="s">
        <v>410</v>
      </c>
      <c r="H82" s="2" t="s">
        <v>8</v>
      </c>
      <c r="I82" s="2" t="str" cm="1">
        <f t="array" ref="I82">H82 &amp; _xlfn.REGEXEXTRACT(G82,"^[^_]+_\d{4}") &amp; ".pdf"</f>
        <v>https://www.ocf.berkeley.edu/~pkmendez/envsci/projects/2024final/WijayaS_2024.pdf</v>
      </c>
      <c r="J82" s="1" t="str">
        <f t="shared" si="1"/>
        <v>https://www.ocf.berkeley.edu/~pkmendez/envsci/projects/2024final/WijayaS_2024.pdf</v>
      </c>
      <c r="K82" s="2" t="str" cm="1">
        <f t="array" ref="K82:O82">_xlfn.TAKE(TRIM(_xlfn.TEXTSPLIT(F82,{",",";"})),,5)</f>
        <v>Indonesia</v>
      </c>
      <c r="L82" s="2" t="str">
        <v>policy</v>
      </c>
      <c r="M82" s="2" t="str">
        <v>single-use plastic bag ban</v>
      </c>
      <c r="N82" s="2" t="str">
        <v>predictive modeling</v>
      </c>
      <c r="O82" s="2" t="str">
        <v>causal inference</v>
      </c>
      <c r="P82" s="2" t="s">
        <v>9</v>
      </c>
      <c r="Q82" s="2" t="s">
        <v>10</v>
      </c>
    </row>
    <row r="83" spans="1:17" x14ac:dyDescent="0.35">
      <c r="A83" s="2" t="s">
        <v>5884</v>
      </c>
      <c r="B83" s="2" t="s">
        <v>411</v>
      </c>
      <c r="C83" s="2" t="s">
        <v>412</v>
      </c>
      <c r="D83" s="2">
        <v>2024</v>
      </c>
      <c r="E83" s="2" t="s">
        <v>413</v>
      </c>
      <c r="F83" s="2" t="s">
        <v>414</v>
      </c>
      <c r="G83" s="2" t="s">
        <v>415</v>
      </c>
      <c r="H83" s="2" t="s">
        <v>8</v>
      </c>
      <c r="I83" s="2" t="str" cm="1">
        <f t="array" ref="I83">H83 &amp; _xlfn.REGEXEXTRACT(G83,"^[^_]+_\d{4}") &amp; ".pdf"</f>
        <v>https://www.ocf.berkeley.edu/~pkmendez/envsci/projects/2024final/WuB_2024.pdf</v>
      </c>
      <c r="J83" s="1" t="str">
        <f t="shared" si="1"/>
        <v>https://www.ocf.berkeley.edu/~pkmendez/envsci/projects/2024final/WuB_2024.pdf</v>
      </c>
      <c r="K83" s="2" t="str" cm="1">
        <f t="array" ref="K83:O83">_xlfn.TAKE(TRIM(_xlfn.TEXTSPLIT(F83,{",",";"})),,5)</f>
        <v>flood modeling</v>
      </c>
      <c r="L83" s="2" t="str">
        <v>GIS</v>
      </c>
      <c r="M83" s="2" t="str">
        <v>pluvial flooding</v>
      </c>
      <c r="N83" s="2" t="str">
        <v>fluvial flooding</v>
      </c>
      <c r="O83" s="2" t="str">
        <v>Pajaro River</v>
      </c>
      <c r="P83" s="2" t="s">
        <v>9</v>
      </c>
      <c r="Q83" s="2" t="s">
        <v>10</v>
      </c>
    </row>
    <row r="84" spans="1:17" x14ac:dyDescent="0.35">
      <c r="A84" s="2" t="s">
        <v>5884</v>
      </c>
      <c r="B84" s="2" t="s">
        <v>416</v>
      </c>
      <c r="C84" s="2" t="s">
        <v>417</v>
      </c>
      <c r="D84" s="2">
        <v>2024</v>
      </c>
      <c r="E84" s="2" t="s">
        <v>418</v>
      </c>
      <c r="F84" s="2" t="s">
        <v>419</v>
      </c>
      <c r="G84" s="2" t="s">
        <v>420</v>
      </c>
      <c r="H84" s="2" t="s">
        <v>8</v>
      </c>
      <c r="I84" s="2" t="str" cm="1">
        <f t="array" ref="I84">H84 &amp; _xlfn.REGEXEXTRACT(G84,"^[^_]+_\d{4}") &amp; ".pdf"</f>
        <v>https://www.ocf.berkeley.edu/~pkmendez/envsci/projects/2024final/XieE_2024.pdf</v>
      </c>
      <c r="J84" s="1" t="str">
        <f t="shared" si="1"/>
        <v>https://www.ocf.berkeley.edu/~pkmendez/envsci/projects/2024final/XieE_2024.pdf</v>
      </c>
      <c r="K84" s="2" t="str" cm="1">
        <f t="array" ref="K84:O84">_xlfn.TAKE(TRIM(_xlfn.TEXTSPLIT(F84,{",",";"})),,5)</f>
        <v>abundance</v>
      </c>
      <c r="L84" s="2" t="str">
        <v>body condition</v>
      </c>
      <c r="M84" s="2" t="str">
        <v>discharge</v>
      </c>
      <c r="N84" s="2" t="str">
        <v>salmonid</v>
      </c>
      <c r="O84" s="2" t="str">
        <v>temperature</v>
      </c>
      <c r="P84" s="2" t="s">
        <v>9</v>
      </c>
      <c r="Q84" s="2" t="s">
        <v>10</v>
      </c>
    </row>
    <row r="85" spans="1:17" x14ac:dyDescent="0.35">
      <c r="A85" s="2" t="s">
        <v>5884</v>
      </c>
      <c r="B85" s="2" t="s">
        <v>421</v>
      </c>
      <c r="C85" s="2" t="s">
        <v>422</v>
      </c>
      <c r="D85" s="2">
        <v>2024</v>
      </c>
      <c r="E85" s="2" t="s">
        <v>423</v>
      </c>
      <c r="F85" s="2" t="s">
        <v>424</v>
      </c>
      <c r="G85" s="2" t="s">
        <v>425</v>
      </c>
      <c r="H85" s="2" t="s">
        <v>8</v>
      </c>
      <c r="I85" s="2" t="str" cm="1">
        <f t="array" ref="I85">H85 &amp; _xlfn.REGEXEXTRACT(G85,"^[^_]+_\d{4}") &amp; ".pdf"</f>
        <v>https://www.ocf.berkeley.edu/~pkmendez/envsci/projects/2024final/YooE_2024.pdf</v>
      </c>
      <c r="J85" s="1" t="str">
        <f t="shared" si="1"/>
        <v>https://www.ocf.berkeley.edu/~pkmendez/envsci/projects/2024final/YooE_2024.pdf</v>
      </c>
      <c r="K85" s="2" t="str" cm="1">
        <f t="array" ref="K85:O85">_xlfn.TAKE(TRIM(_xlfn.TEXTSPLIT(F85,{",",";"})),,5)</f>
        <v>multivariate autoregressive model</v>
      </c>
      <c r="L85" s="2" t="str">
        <v>population dynamics</v>
      </c>
      <c r="M85" s="2" t="str">
        <v>primary productivity</v>
      </c>
      <c r="N85" s="2" t="str">
        <v>spatiotemporal trends</v>
      </c>
      <c r="O85" s="2" t="str">
        <v>time series analysis</v>
      </c>
      <c r="P85" s="2" t="s">
        <v>9</v>
      </c>
      <c r="Q85" s="2" t="s">
        <v>10</v>
      </c>
    </row>
    <row r="86" spans="1:17" x14ac:dyDescent="0.35">
      <c r="A86" s="2" t="s">
        <v>5884</v>
      </c>
      <c r="B86" s="2" t="s">
        <v>426</v>
      </c>
      <c r="C86" s="2" t="s">
        <v>427</v>
      </c>
      <c r="D86" s="2">
        <v>2024</v>
      </c>
      <c r="E86" s="2" t="s">
        <v>428</v>
      </c>
      <c r="F86" s="2" t="s">
        <v>429</v>
      </c>
      <c r="G86" s="2" t="s">
        <v>430</v>
      </c>
      <c r="H86" s="2" t="s">
        <v>8</v>
      </c>
      <c r="I86" s="2" t="str" cm="1">
        <f t="array" ref="I86">H86 &amp; _xlfn.REGEXEXTRACT(G86,"^[^_]+_\d{4}") &amp; ".pdf"</f>
        <v>https://www.ocf.berkeley.edu/~pkmendez/envsci/projects/2024final/ZarateA_2024.pdf</v>
      </c>
      <c r="J86" s="1" t="str">
        <f t="shared" si="1"/>
        <v>https://www.ocf.berkeley.edu/~pkmendez/envsci/projects/2024final/ZarateA_2024.pdf</v>
      </c>
      <c r="K86" s="2" t="str" cm="1">
        <f t="array" ref="K86:O86">_xlfn.TAKE(TRIM(_xlfn.TEXTSPLIT(F86,{",",";"})),,5)</f>
        <v>remote sensing</v>
      </c>
      <c r="L86" s="2" t="str">
        <v>PDSI</v>
      </c>
      <c r="M86" s="2" t="str">
        <v>VCI</v>
      </c>
      <c r="N86" s="2" t="str">
        <v>SSI</v>
      </c>
      <c r="O86" s="2" t="str">
        <v>GIS</v>
      </c>
      <c r="P86" s="2" t="s">
        <v>9</v>
      </c>
      <c r="Q86" s="2" t="s">
        <v>10</v>
      </c>
    </row>
    <row r="87" spans="1:17" x14ac:dyDescent="0.35">
      <c r="A87" s="2" t="s">
        <v>5884</v>
      </c>
      <c r="B87" s="2" t="s">
        <v>431</v>
      </c>
      <c r="C87" s="2" t="s">
        <v>432</v>
      </c>
      <c r="D87" s="2">
        <v>2024</v>
      </c>
      <c r="E87" s="2" t="s">
        <v>433</v>
      </c>
      <c r="F87" s="2" t="s">
        <v>434</v>
      </c>
      <c r="G87" s="2" t="s">
        <v>435</v>
      </c>
      <c r="H87" s="2" t="s">
        <v>8</v>
      </c>
      <c r="I87" s="2" t="str" cm="1">
        <f t="array" ref="I87">H87 &amp; _xlfn.REGEXEXTRACT(G87,"^[^_]+_\d{4}") &amp; ".pdf"</f>
        <v>https://www.ocf.berkeley.edu/~pkmendez/envsci/projects/2024final/ZhaoY_2024.pdf</v>
      </c>
      <c r="J87" s="1" t="str">
        <f t="shared" si="1"/>
        <v>https://www.ocf.berkeley.edu/~pkmendez/envsci/projects/2024final/ZhaoY_2024.pdf</v>
      </c>
      <c r="K87" s="2" t="str" cm="1">
        <f t="array" ref="K87:O87">_xlfn.TAKE(TRIM(_xlfn.TEXTSPLIT(F87,{",",";"})),,5)</f>
        <v>Nuclear waste disposal</v>
      </c>
      <c r="L87" s="2" t="str">
        <v>Marine ecosystem health</v>
      </c>
      <c r="M87" s="2" t="str">
        <v>Socioeconomic implications</v>
      </c>
      <c r="N87" s="2" t="str">
        <v>Environmental risk assessment</v>
      </c>
      <c r="O87" s="2" t="str">
        <v>Public perception and awareness</v>
      </c>
      <c r="P87" s="2" t="s">
        <v>9</v>
      </c>
      <c r="Q87" s="2" t="s">
        <v>10</v>
      </c>
    </row>
    <row r="88" spans="1:17" x14ac:dyDescent="0.35">
      <c r="A88" s="2" t="s">
        <v>5884</v>
      </c>
      <c r="B88" s="2" t="s">
        <v>436</v>
      </c>
      <c r="C88" s="2" t="s">
        <v>437</v>
      </c>
      <c r="D88" s="2">
        <v>2023</v>
      </c>
      <c r="E88" s="2" t="s">
        <v>438</v>
      </c>
      <c r="F88" s="2" t="s">
        <v>439</v>
      </c>
      <c r="G88" s="2" t="s">
        <v>440</v>
      </c>
      <c r="H88" s="2" t="s">
        <v>441</v>
      </c>
      <c r="I88" s="2" t="str" cm="1">
        <f t="array" ref="I88">H88 &amp; _xlfn.REGEXEXTRACT(G88,"^[^_]+_\d{4}") &amp; ".pdf"</f>
        <v>https://www.ocf.berkeley.edu/~pkmendez/envsci/projects/2023final/AdumitroaieT_2023.pdf</v>
      </c>
      <c r="J88" s="1" t="str">
        <f t="shared" si="1"/>
        <v>https://www.ocf.berkeley.edu/~pkmendez/envsci/projects/2023final/AdumitroaieT_2023.pdf</v>
      </c>
      <c r="K88" s="2" t="str" cm="1">
        <f t="array" ref="K88:O88">_xlfn.TAKE(TRIM(_xlfn.TEXTSPLIT(F88,{",",";"})),,5)</f>
        <v>Water availability</v>
      </c>
      <c r="L88" s="2" t="str">
        <v>eddy covariance</v>
      </c>
      <c r="M88" s="2" t="str">
        <v>MODIS satellite data</v>
      </c>
      <c r="N88" s="2" t="str">
        <v>ecosystem functioning</v>
      </c>
      <c r="O88" s="2" t="str">
        <v>GPP</v>
      </c>
      <c r="P88" s="2" t="s">
        <v>9</v>
      </c>
      <c r="Q88" s="2" t="s">
        <v>10</v>
      </c>
    </row>
    <row r="89" spans="1:17" x14ac:dyDescent="0.35">
      <c r="A89" s="2" t="s">
        <v>5884</v>
      </c>
      <c r="B89" s="2" t="s">
        <v>442</v>
      </c>
      <c r="C89" s="2" t="s">
        <v>443</v>
      </c>
      <c r="D89" s="2">
        <v>2023</v>
      </c>
      <c r="E89" s="2" t="s">
        <v>444</v>
      </c>
      <c r="F89" s="2" t="s">
        <v>445</v>
      </c>
      <c r="G89" s="2" t="s">
        <v>446</v>
      </c>
      <c r="H89" s="2" t="s">
        <v>441</v>
      </c>
      <c r="I89" s="2" t="str" cm="1">
        <f t="array" ref="I89">H89 &amp; _xlfn.REGEXEXTRACT(G89,"^[^_]+_\d{4}") &amp; ".pdf"</f>
        <v>https://www.ocf.berkeley.edu/~pkmendez/envsci/projects/2023final/AlsaidM_2023.pdf</v>
      </c>
      <c r="J89" s="1" t="str">
        <f t="shared" si="1"/>
        <v>https://www.ocf.berkeley.edu/~pkmendez/envsci/projects/2023final/AlsaidM_2023.pdf</v>
      </c>
      <c r="K89" s="2" t="str" cm="1">
        <f t="array" ref="K89:O89">_xlfn.TAKE(TRIM(_xlfn.TEXTSPLIT(F89,{",",";"})),,5)</f>
        <v>Soil ecology</v>
      </c>
      <c r="L89" s="2" t="str">
        <v>microbiology</v>
      </c>
      <c r="M89" s="2" t="str">
        <v>subsurface</v>
      </c>
      <c r="N89" s="2" t="str">
        <v>necromass</v>
      </c>
      <c r="O89" s="2" t="str">
        <v>carbon cycle</v>
      </c>
      <c r="P89" s="2" t="s">
        <v>9</v>
      </c>
      <c r="Q89" s="2" t="s">
        <v>10</v>
      </c>
    </row>
    <row r="90" spans="1:17" x14ac:dyDescent="0.35">
      <c r="A90" s="2" t="s">
        <v>5884</v>
      </c>
      <c r="B90" s="2" t="s">
        <v>447</v>
      </c>
      <c r="C90" s="2" t="s">
        <v>448</v>
      </c>
      <c r="D90" s="2">
        <v>2023</v>
      </c>
      <c r="E90" s="2" t="s">
        <v>449</v>
      </c>
      <c r="F90" s="2" t="s">
        <v>450</v>
      </c>
      <c r="G90" s="2" t="s">
        <v>451</v>
      </c>
      <c r="H90" s="2" t="s">
        <v>441</v>
      </c>
      <c r="I90" s="2" t="str" cm="1">
        <f t="array" ref="I90">H90 &amp; _xlfn.REGEXEXTRACT(G90,"^[^_]+_\d{4}") &amp; ".pdf"</f>
        <v>https://www.ocf.berkeley.edu/~pkmendez/envsci/projects/2023final/BanS_2023.pdf</v>
      </c>
      <c r="J90" s="1" t="str">
        <f t="shared" si="1"/>
        <v>https://www.ocf.berkeley.edu/~pkmendez/envsci/projects/2023final/BanS_2023.pdf</v>
      </c>
      <c r="K90" s="2" t="str" cm="1">
        <f t="array" ref="K90:O90">_xlfn.TAKE(TRIM(_xlfn.TEXTSPLIT(F90,{",",";"})),,5)</f>
        <v>Horizontal Levee</v>
      </c>
      <c r="L90" s="2" t="str">
        <v>copper sorption</v>
      </c>
      <c r="M90" s="2" t="str">
        <v>electrostatic attraction</v>
      </c>
      <c r="N90" s="2" t="str">
        <v>sulfide-reducing conditions</v>
      </c>
      <c r="O90" s="2" t="str">
        <v>SEM</v>
      </c>
      <c r="P90" s="2" t="s">
        <v>9</v>
      </c>
      <c r="Q90" s="2" t="s">
        <v>10</v>
      </c>
    </row>
    <row r="91" spans="1:17" x14ac:dyDescent="0.35">
      <c r="A91" s="2" t="s">
        <v>5884</v>
      </c>
      <c r="B91" s="2" t="s">
        <v>452</v>
      </c>
      <c r="C91" s="2" t="s">
        <v>453</v>
      </c>
      <c r="D91" s="2">
        <v>2023</v>
      </c>
      <c r="E91" s="2" t="s">
        <v>454</v>
      </c>
      <c r="F91" s="2" t="s">
        <v>455</v>
      </c>
      <c r="G91" s="2" t="s">
        <v>456</v>
      </c>
      <c r="H91" s="2" t="s">
        <v>441</v>
      </c>
      <c r="I91" s="2" t="str" cm="1">
        <f t="array" ref="I91">H91 &amp; _xlfn.REGEXEXTRACT(G91,"^[^_]+_\d{4}") &amp; ".pdf"</f>
        <v>https://www.ocf.berkeley.edu/~pkmendez/envsci/projects/2023final/BlellochJ_2023.pdf</v>
      </c>
      <c r="J91" s="1" t="str">
        <f t="shared" si="1"/>
        <v>https://www.ocf.berkeley.edu/~pkmendez/envsci/projects/2023final/BlellochJ_2023.pdf</v>
      </c>
      <c r="K91" s="2" t="str" cm="1">
        <f t="array" ref="K91:O91">_xlfn.TAKE(TRIM(_xlfn.TEXTSPLIT(F91,{",",";"})),,5)</f>
        <v>California ski tourism</v>
      </c>
      <c r="L91" s="2" t="str">
        <v>snow reliability</v>
      </c>
      <c r="M91" s="2" t="str">
        <v>season length</v>
      </c>
      <c r="N91" s="2" t="str">
        <v>artificial snowmaking</v>
      </c>
      <c r="O91" s="2" t="str">
        <v>adaptation</v>
      </c>
      <c r="P91" s="2" t="s">
        <v>9</v>
      </c>
      <c r="Q91" s="2" t="s">
        <v>10</v>
      </c>
    </row>
    <row r="92" spans="1:17" x14ac:dyDescent="0.35">
      <c r="A92" s="2" t="s">
        <v>5884</v>
      </c>
      <c r="B92" s="2" t="s">
        <v>457</v>
      </c>
      <c r="C92" s="2" t="s">
        <v>458</v>
      </c>
      <c r="D92" s="2">
        <v>2023</v>
      </c>
      <c r="E92" s="2" t="s">
        <v>459</v>
      </c>
      <c r="F92" s="2" t="s">
        <v>460</v>
      </c>
      <c r="G92" s="2" t="s">
        <v>461</v>
      </c>
      <c r="H92" s="2" t="s">
        <v>441</v>
      </c>
      <c r="I92" s="2" t="str" cm="1">
        <f t="array" ref="I92">H92 &amp; _xlfn.REGEXEXTRACT(G92,"^[^_]+_\d{4}") &amp; ".pdf"</f>
        <v>https://www.ocf.berkeley.edu/~pkmendez/envsci/projects/2023final/BronolaJ_2023.pdf</v>
      </c>
      <c r="J92" s="1" t="str">
        <f t="shared" si="1"/>
        <v>https://www.ocf.berkeley.edu/~pkmendez/envsci/projects/2023final/BronolaJ_2023.pdf</v>
      </c>
      <c r="K92" s="2" t="str" cm="1">
        <f t="array" ref="K92:O92">_xlfn.TAKE(TRIM(_xlfn.TEXTSPLIT(F92,{",",";"})),,5)</f>
        <v>Environmental criminology</v>
      </c>
      <c r="L92" s="2" t="str">
        <v>GIS</v>
      </c>
      <c r="M92" s="2" t="str">
        <v>human population density</v>
      </c>
      <c r="N92" s="2" t="str">
        <v>illegal wildlife trade</v>
      </c>
      <c r="O92" s="2" t="str">
        <v>key biodiversity areas</v>
      </c>
      <c r="P92" s="2" t="s">
        <v>9</v>
      </c>
      <c r="Q92" s="2" t="s">
        <v>10</v>
      </c>
    </row>
    <row r="93" spans="1:17" x14ac:dyDescent="0.35">
      <c r="A93" s="2" t="s">
        <v>5884</v>
      </c>
      <c r="B93" s="2" t="s">
        <v>462</v>
      </c>
      <c r="C93" s="2" t="s">
        <v>463</v>
      </c>
      <c r="D93" s="2">
        <v>2023</v>
      </c>
      <c r="E93" s="2" t="s">
        <v>464</v>
      </c>
      <c r="F93" s="2" t="s">
        <v>465</v>
      </c>
      <c r="G93" s="2" t="s">
        <v>466</v>
      </c>
      <c r="H93" s="2" t="s">
        <v>441</v>
      </c>
      <c r="I93" s="2" t="str" cm="1">
        <f t="array" ref="I93">H93 &amp; _xlfn.REGEXEXTRACT(G93,"^[^_]+_\d{4}") &amp; ".pdf"</f>
        <v>https://www.ocf.berkeley.edu/~pkmendez/envsci/projects/2023final/CardenasJ_2023.pdf</v>
      </c>
      <c r="J93" s="1" t="str">
        <f t="shared" si="1"/>
        <v>https://www.ocf.berkeley.edu/~pkmendez/envsci/projects/2023final/CardenasJ_2023.pdf</v>
      </c>
      <c r="K93" s="2" t="str" cm="1">
        <f t="array" ref="K93:O93">_xlfn.TAKE(TRIM(_xlfn.TEXTSPLIT(F93,{",",";"})),,5)</f>
        <v>Environmental Justice</v>
      </c>
      <c r="L93" s="2" t="str">
        <v>Vulnerable Populations</v>
      </c>
      <c r="M93" s="2" t="str">
        <v>Climate Resilience</v>
      </c>
      <c r="N93" s="2" t="str">
        <v>Post-disaster recovery</v>
      </c>
      <c r="O93" s="2" t="str">
        <v>Health Disparities</v>
      </c>
      <c r="P93" s="2" t="s">
        <v>9</v>
      </c>
      <c r="Q93" s="2" t="s">
        <v>10</v>
      </c>
    </row>
    <row r="94" spans="1:17" x14ac:dyDescent="0.35">
      <c r="A94" s="2" t="s">
        <v>5884</v>
      </c>
      <c r="B94" s="2" t="s">
        <v>467</v>
      </c>
      <c r="C94" s="2" t="s">
        <v>468</v>
      </c>
      <c r="D94" s="2">
        <v>2023</v>
      </c>
      <c r="E94" s="2" t="s">
        <v>469</v>
      </c>
      <c r="F94" s="2" t="s">
        <v>470</v>
      </c>
      <c r="G94" s="2" t="s">
        <v>471</v>
      </c>
      <c r="H94" s="2" t="s">
        <v>441</v>
      </c>
      <c r="I94" s="2" t="str" cm="1">
        <f t="array" ref="I94">H94 &amp; _xlfn.REGEXEXTRACT(G94,"^[^_]+_\d{4}") &amp; ".pdf"</f>
        <v>https://www.ocf.berkeley.edu/~pkmendez/envsci/projects/2023final/ChapmanM_2023.pdf</v>
      </c>
      <c r="J94" s="1" t="str">
        <f t="shared" si="1"/>
        <v>https://www.ocf.berkeley.edu/~pkmendez/envsci/projects/2023final/ChapmanM_2023.pdf</v>
      </c>
      <c r="K94" s="2" t="str" cm="1">
        <f t="array" ref="K94:O94">_xlfn.TAKE(TRIM(_xlfn.TEXTSPLIT(F94,{",",";"})),,5)</f>
        <v>Mechanical thinning</v>
      </c>
      <c r="L94" s="2" t="str">
        <v>pile burning</v>
      </c>
      <c r="M94" s="2" t="str">
        <v>prescribed fire</v>
      </c>
      <c r="N94" s="2" t="str">
        <v>BehavePlus5</v>
      </c>
      <c r="O94" s="2" t="str">
        <v>First-Order Fire Effects Modeling</v>
      </c>
      <c r="P94" s="2" t="s">
        <v>9</v>
      </c>
      <c r="Q94" s="2" t="s">
        <v>10</v>
      </c>
    </row>
    <row r="95" spans="1:17" x14ac:dyDescent="0.35">
      <c r="A95" s="2" t="s">
        <v>5884</v>
      </c>
      <c r="B95" s="2" t="s">
        <v>472</v>
      </c>
      <c r="C95" s="2" t="s">
        <v>473</v>
      </c>
      <c r="D95" s="2">
        <v>2023</v>
      </c>
      <c r="E95" s="2" t="s">
        <v>474</v>
      </c>
      <c r="F95" s="2" t="s">
        <v>475</v>
      </c>
      <c r="G95" s="2" t="s">
        <v>476</v>
      </c>
      <c r="H95" s="2" t="s">
        <v>441</v>
      </c>
      <c r="I95" s="2" t="str" cm="1">
        <f t="array" ref="I95">H95 &amp; _xlfn.REGEXEXTRACT(G95,"^[^_]+_\d{4}") &amp; ".pdf"</f>
        <v>https://www.ocf.berkeley.edu/~pkmendez/envsci/projects/2023final/ChiM_2023.pdf</v>
      </c>
      <c r="J95" s="1" t="str">
        <f t="shared" si="1"/>
        <v>https://www.ocf.berkeley.edu/~pkmendez/envsci/projects/2023final/ChiM_2023.pdf</v>
      </c>
      <c r="K95" s="2" t="str" cm="1">
        <f t="array" ref="K95:O95">_xlfn.TAKE(TRIM(_xlfn.TEXTSPLIT(F95,{",",";"})),,5)</f>
        <v>Local Climate Zones</v>
      </c>
      <c r="L95" s="2" t="str">
        <v>National Landcover Data</v>
      </c>
      <c r="M95" s="2" t="str">
        <v>Urbanization</v>
      </c>
      <c r="N95" s="2" t="str">
        <v>ArcGIS</v>
      </c>
      <c r="O95" s="2" t="str">
        <v>Air Pollution</v>
      </c>
      <c r="P95" s="2" t="s">
        <v>9</v>
      </c>
      <c r="Q95" s="2" t="s">
        <v>10</v>
      </c>
    </row>
    <row r="96" spans="1:17" x14ac:dyDescent="0.35">
      <c r="A96" s="2" t="s">
        <v>5884</v>
      </c>
      <c r="B96" s="2" t="s">
        <v>477</v>
      </c>
      <c r="C96" s="2" t="s">
        <v>478</v>
      </c>
      <c r="D96" s="2">
        <v>2023</v>
      </c>
      <c r="E96" s="2" t="s">
        <v>479</v>
      </c>
      <c r="F96" s="2" t="s">
        <v>480</v>
      </c>
      <c r="G96" s="2" t="s">
        <v>481</v>
      </c>
      <c r="H96" s="2" t="s">
        <v>441</v>
      </c>
      <c r="I96" s="2" t="str" cm="1">
        <f t="array" ref="I96">H96 &amp; _xlfn.REGEXEXTRACT(G96,"^[^_]+_\d{4}") &amp; ".pdf"</f>
        <v>https://www.ocf.berkeley.edu/~pkmendez/envsci/projects/2023final/ChoiJ_2023.pdf</v>
      </c>
      <c r="J96" s="1" t="str">
        <f t="shared" si="1"/>
        <v>https://www.ocf.berkeley.edu/~pkmendez/envsci/projects/2023final/ChoiJ_2023.pdf</v>
      </c>
      <c r="K96" s="2" t="str" cm="1">
        <f t="array" ref="K96:O96">_xlfn.TAKE(TRIM(_xlfn.TEXTSPLIT(F96,{",",";"})),,5)</f>
        <v>Calypte anna</v>
      </c>
      <c r="L96" s="2" t="str">
        <v>pollination efficiency</v>
      </c>
      <c r="M96" s="2" t="str">
        <v>handling time</v>
      </c>
      <c r="N96" s="2" t="str">
        <v>feeding time</v>
      </c>
      <c r="O96" s="2" t="str">
        <v>nectar consumption</v>
      </c>
      <c r="P96" s="2" t="s">
        <v>9</v>
      </c>
      <c r="Q96" s="2" t="s">
        <v>10</v>
      </c>
    </row>
    <row r="97" spans="1:17" x14ac:dyDescent="0.35">
      <c r="A97" s="2" t="s">
        <v>5884</v>
      </c>
      <c r="B97" s="2" t="s">
        <v>482</v>
      </c>
      <c r="C97" s="2" t="s">
        <v>483</v>
      </c>
      <c r="D97" s="2">
        <v>2023</v>
      </c>
      <c r="E97" s="2" t="s">
        <v>484</v>
      </c>
      <c r="F97" s="2" t="s">
        <v>485</v>
      </c>
      <c r="G97" s="2" t="s">
        <v>486</v>
      </c>
      <c r="H97" s="2" t="s">
        <v>441</v>
      </c>
      <c r="I97" s="2" t="str" cm="1">
        <f t="array" ref="I97">H97 &amp; _xlfn.REGEXEXTRACT(G97,"^[^_]+_\d{4}") &amp; ".pdf"</f>
        <v>https://www.ocf.berkeley.edu/~pkmendez/envsci/projects/2023final/CombsC_2023.pdf</v>
      </c>
      <c r="J97" s="1" t="str">
        <f t="shared" si="1"/>
        <v>https://www.ocf.berkeley.edu/~pkmendez/envsci/projects/2023final/CombsC_2023.pdf</v>
      </c>
      <c r="K97" s="2" t="str" cm="1">
        <f t="array" ref="K97:O97">_xlfn.TAKE(TRIM(_xlfn.TEXTSPLIT(F97,{",",";"})),,5)</f>
        <v>Carbon dioxide removal</v>
      </c>
      <c r="L97" s="2" t="str">
        <v>carbonate</v>
      </c>
      <c r="M97" s="2" t="str">
        <v>basalt</v>
      </c>
      <c r="N97" s="2" t="str">
        <v>agriculture</v>
      </c>
      <c r="O97" s="2" t="str">
        <v>California</v>
      </c>
      <c r="P97" s="2" t="s">
        <v>9</v>
      </c>
      <c r="Q97" s="2" t="s">
        <v>10</v>
      </c>
    </row>
    <row r="98" spans="1:17" x14ac:dyDescent="0.35">
      <c r="A98" s="2" t="s">
        <v>5884</v>
      </c>
      <c r="B98" s="2" t="s">
        <v>487</v>
      </c>
      <c r="C98" s="2" t="s">
        <v>488</v>
      </c>
      <c r="D98" s="2">
        <v>2023</v>
      </c>
      <c r="E98" s="2" t="s">
        <v>489</v>
      </c>
      <c r="F98" s="2" t="s">
        <v>490</v>
      </c>
      <c r="G98" s="2" t="s">
        <v>491</v>
      </c>
      <c r="H98" s="2" t="s">
        <v>441</v>
      </c>
      <c r="I98" s="2" t="str" cm="1">
        <f t="array" ref="I98">H98 &amp; _xlfn.REGEXEXTRACT(G98,"^[^_]+_\d{4}") &amp; ".pdf"</f>
        <v>https://www.ocf.berkeley.edu/~pkmendez/envsci/projects/2023final/CoughlinR_2023.pdf</v>
      </c>
      <c r="J98" s="1" t="str">
        <f t="shared" si="1"/>
        <v>https://www.ocf.berkeley.edu/~pkmendez/envsci/projects/2023final/CoughlinR_2023.pdf</v>
      </c>
      <c r="K98" s="2" t="str" cm="1">
        <f t="array" ref="K98:O98">_xlfn.TAKE(TRIM(_xlfn.TEXTSPLIT(F98,{",",";"})),,5)</f>
        <v>Native yardscape</v>
      </c>
      <c r="L98" s="2" t="str">
        <v>water use</v>
      </c>
      <c r="M98" s="2" t="str">
        <v>garden relationships</v>
      </c>
      <c r="N98" s="2" t="str">
        <v>low-input</v>
      </c>
      <c r="O98" s="2" t="str">
        <v>stress-relief</v>
      </c>
      <c r="P98" s="2" t="s">
        <v>9</v>
      </c>
      <c r="Q98" s="2" t="s">
        <v>10</v>
      </c>
    </row>
    <row r="99" spans="1:17" x14ac:dyDescent="0.35">
      <c r="A99" s="2" t="s">
        <v>5884</v>
      </c>
      <c r="B99" s="2" t="s">
        <v>492</v>
      </c>
      <c r="C99" s="2" t="s">
        <v>493</v>
      </c>
      <c r="D99" s="2">
        <v>2023</v>
      </c>
      <c r="E99" s="2" t="s">
        <v>494</v>
      </c>
      <c r="F99" s="2" t="s">
        <v>495</v>
      </c>
      <c r="G99" s="2" t="s">
        <v>496</v>
      </c>
      <c r="H99" s="2" t="s">
        <v>441</v>
      </c>
      <c r="I99" s="2" t="str" cm="1">
        <f t="array" ref="I99">H99 &amp; _xlfn.REGEXEXTRACT(G99,"^[^_]+_\d{4}") &amp; ".pdf"</f>
        <v>https://www.ocf.berkeley.edu/~pkmendez/envsci/projects/2023final/CroghanR_2023.pdf</v>
      </c>
      <c r="J99" s="1" t="str">
        <f t="shared" si="1"/>
        <v>https://www.ocf.berkeley.edu/~pkmendez/envsci/projects/2023final/CroghanR_2023.pdf</v>
      </c>
      <c r="K99" s="2" t="str" cm="1">
        <f t="array" ref="K99:O99">_xlfn.TAKE(TRIM(_xlfn.TEXTSPLIT(F99,{",",";"})),,5)</f>
        <v>light pollution</v>
      </c>
      <c r="L99" s="2" t="str">
        <v>portable locomotion activity monitor(pLAM)</v>
      </c>
      <c r="M99" s="2" t="str">
        <v>photosensitivity</v>
      </c>
      <c r="N99" s="2" t="str">
        <v>raspberry pi</v>
      </c>
      <c r="O99" s="2" t="str">
        <v>movement</v>
      </c>
      <c r="P99" s="2" t="s">
        <v>9</v>
      </c>
      <c r="Q99" s="2" t="s">
        <v>10</v>
      </c>
    </row>
    <row r="100" spans="1:17" x14ac:dyDescent="0.35">
      <c r="A100" s="2" t="s">
        <v>5884</v>
      </c>
      <c r="B100" s="2" t="s">
        <v>497</v>
      </c>
      <c r="C100" s="2" t="s">
        <v>498</v>
      </c>
      <c r="D100" s="2">
        <v>2023</v>
      </c>
      <c r="E100" s="2" t="s">
        <v>499</v>
      </c>
      <c r="F100" s="2" t="s">
        <v>500</v>
      </c>
      <c r="G100" s="2" t="s">
        <v>501</v>
      </c>
      <c r="H100" s="2" t="s">
        <v>441</v>
      </c>
      <c r="I100" s="2" t="str" cm="1">
        <f t="array" ref="I100">H100 &amp; _xlfn.REGEXEXTRACT(G100,"^[^_]+_\d{4}") &amp; ".pdf"</f>
        <v>https://www.ocf.berkeley.edu/~pkmendez/envsci/projects/2023final/EscajedaD_2023.pdf</v>
      </c>
      <c r="J100" s="1" t="str">
        <f t="shared" si="1"/>
        <v>https://www.ocf.berkeley.edu/~pkmendez/envsci/projects/2023final/EscajedaD_2023.pdf</v>
      </c>
      <c r="K100" s="2" t="str" cm="1">
        <f t="array" ref="K100:O100">_xlfn.TAKE(TRIM(_xlfn.TEXTSPLIT(F100,{",",";"})),,5)</f>
        <v>California</v>
      </c>
      <c r="L100" s="2" t="str">
        <v>alternative transportation</v>
      </c>
      <c r="M100" s="2" t="str">
        <v>UC Berkeley</v>
      </c>
      <c r="N100" s="2" t="str">
        <v>cost-benefit analysis</v>
      </c>
      <c r="O100" s="2" t="str">
        <v>accessibility</v>
      </c>
      <c r="P100" s="2" t="s">
        <v>9</v>
      </c>
      <c r="Q100" s="2" t="s">
        <v>10</v>
      </c>
    </row>
    <row r="101" spans="1:17" x14ac:dyDescent="0.35">
      <c r="A101" s="2" t="s">
        <v>5884</v>
      </c>
      <c r="B101" s="2" t="s">
        <v>502</v>
      </c>
      <c r="C101" s="2" t="s">
        <v>503</v>
      </c>
      <c r="D101" s="2">
        <v>2023</v>
      </c>
      <c r="E101" s="2" t="s">
        <v>504</v>
      </c>
      <c r="F101" s="2" t="s">
        <v>505</v>
      </c>
      <c r="G101" s="2" t="s">
        <v>506</v>
      </c>
      <c r="H101" s="2" t="s">
        <v>441</v>
      </c>
      <c r="I101" s="2" t="str" cm="1">
        <f t="array" ref="I101">H101 &amp; _xlfn.REGEXEXTRACT(G101,"^[^_]+_\d{4}") &amp; ".pdf"</f>
        <v>https://www.ocf.berkeley.edu/~pkmendez/envsci/projects/2023final/FujimotoD_2023.pdf</v>
      </c>
      <c r="J101" s="1" t="str">
        <f t="shared" si="1"/>
        <v>https://www.ocf.berkeley.edu/~pkmendez/envsci/projects/2023final/FujimotoD_2023.pdf</v>
      </c>
      <c r="K101" s="2" t="str" cm="1">
        <f t="array" ref="K101:O101">_xlfn.TAKE(TRIM(_xlfn.TEXTSPLIT(F101,{",",";"})),,5)</f>
        <v>forest management</v>
      </c>
      <c r="L101" s="2" t="str">
        <v>linear regression</v>
      </c>
      <c r="M101" s="2" t="str">
        <v>reserve status</v>
      </c>
      <c r="N101" s="2" t="str">
        <v>fire occurrence</v>
      </c>
      <c r="O101" s="2" t="str">
        <v>interaction</v>
      </c>
      <c r="P101" s="2" t="s">
        <v>9</v>
      </c>
      <c r="Q101" s="2" t="s">
        <v>10</v>
      </c>
    </row>
    <row r="102" spans="1:17" x14ac:dyDescent="0.35">
      <c r="A102" s="2" t="s">
        <v>5884</v>
      </c>
      <c r="B102" s="2" t="s">
        <v>507</v>
      </c>
      <c r="C102" s="2" t="s">
        <v>508</v>
      </c>
      <c r="D102" s="2">
        <v>2023</v>
      </c>
      <c r="E102" s="2" t="s">
        <v>509</v>
      </c>
      <c r="F102" s="2" t="s">
        <v>510</v>
      </c>
      <c r="G102" s="2" t="s">
        <v>511</v>
      </c>
      <c r="H102" s="2" t="s">
        <v>441</v>
      </c>
      <c r="I102" s="2" t="str" cm="1">
        <f t="array" ref="I102">H102 &amp; _xlfn.REGEXEXTRACT(G102,"^[^_]+_\d{4}") &amp; ".pdf"</f>
        <v>https://www.ocf.berkeley.edu/~pkmendez/envsci/projects/2023final/GadkariK_2023.pdf</v>
      </c>
      <c r="J102" s="1" t="str">
        <f t="shared" si="1"/>
        <v>https://www.ocf.berkeley.edu/~pkmendez/envsci/projects/2023final/GadkariK_2023.pdf</v>
      </c>
      <c r="K102" s="2" t="str" cm="1">
        <f t="array" ref="K102:O102">_xlfn.TAKE(TRIM(_xlfn.TEXTSPLIT(F102,{",",";"})),,5)</f>
        <v>pathogen</v>
      </c>
      <c r="L102" s="2" t="str">
        <v>evolution</v>
      </c>
      <c r="M102" s="2" t="str">
        <v>chitin</v>
      </c>
      <c r="N102" s="2" t="str">
        <v>pectin</v>
      </c>
      <c r="O102" s="2" t="str">
        <v>optical density</v>
      </c>
      <c r="P102" s="2" t="s">
        <v>9</v>
      </c>
      <c r="Q102" s="2" t="s">
        <v>10</v>
      </c>
    </row>
    <row r="103" spans="1:17" x14ac:dyDescent="0.35">
      <c r="A103" s="2" t="s">
        <v>5884</v>
      </c>
      <c r="B103" s="2" t="s">
        <v>512</v>
      </c>
      <c r="C103" s="2" t="s">
        <v>513</v>
      </c>
      <c r="D103" s="2">
        <v>2023</v>
      </c>
      <c r="E103" s="2" t="s">
        <v>514</v>
      </c>
      <c r="F103" s="2" t="s">
        <v>515</v>
      </c>
      <c r="G103" s="2" t="s">
        <v>516</v>
      </c>
      <c r="H103" s="2" t="s">
        <v>441</v>
      </c>
      <c r="I103" s="2" t="str" cm="1">
        <f t="array" ref="I103">H103 &amp; _xlfn.REGEXEXTRACT(G103,"^[^_]+_\d{4}") &amp; ".pdf"</f>
        <v>https://www.ocf.berkeley.edu/~pkmendez/envsci/projects/2023final/GomezMateoM_2023.pdf</v>
      </c>
      <c r="J103" s="1" t="str">
        <f t="shared" si="1"/>
        <v>https://www.ocf.berkeley.edu/~pkmendez/envsci/projects/2023final/GomezMateoM_2023.pdf</v>
      </c>
      <c r="K103" s="2" t="str" cm="1">
        <f t="array" ref="K103:O103">_xlfn.TAKE(TRIM(_xlfn.TEXTSPLIT(F103,{",",";"})),,5)</f>
        <v>evolution</v>
      </c>
      <c r="L103" s="2" t="str">
        <v>museum collections</v>
      </c>
      <c r="M103" s="2" t="str">
        <v>environmental changes</v>
      </c>
      <c r="N103" s="2" t="str">
        <v>Arctic</v>
      </c>
      <c r="O103" s="2" t="str">
        <v>Allen's and Bergmann's rules</v>
      </c>
      <c r="P103" s="2" t="s">
        <v>9</v>
      </c>
      <c r="Q103" s="2" t="s">
        <v>10</v>
      </c>
    </row>
    <row r="104" spans="1:17" x14ac:dyDescent="0.35">
      <c r="A104" s="2" t="s">
        <v>5884</v>
      </c>
      <c r="B104" s="2" t="s">
        <v>517</v>
      </c>
      <c r="C104" s="2" t="s">
        <v>518</v>
      </c>
      <c r="D104" s="2">
        <v>2023</v>
      </c>
      <c r="E104" s="2" t="s">
        <v>519</v>
      </c>
      <c r="F104" s="2" t="s">
        <v>520</v>
      </c>
      <c r="G104" s="2" t="s">
        <v>521</v>
      </c>
      <c r="H104" s="2" t="s">
        <v>441</v>
      </c>
      <c r="I104" s="2" t="str" cm="1">
        <f t="array" ref="I104">H104 &amp; _xlfn.REGEXEXTRACT(G104,"^[^_]+_\d{4}") &amp; ".pdf"</f>
        <v>https://www.ocf.berkeley.edu/~pkmendez/envsci/projects/2023final/GonzalezM_2023.pdf</v>
      </c>
      <c r="J104" s="1" t="str">
        <f t="shared" si="1"/>
        <v>https://www.ocf.berkeley.edu/~pkmendez/envsci/projects/2023final/GonzalezM_2023.pdf</v>
      </c>
      <c r="K104" s="2" t="str" cm="1">
        <f t="array" ref="K104:O104">_xlfn.TAKE(TRIM(_xlfn.TEXTSPLIT(F104,{",",";"})),,5)</f>
        <v>Benthic macroinvertebrates</v>
      </c>
      <c r="L104" s="2" t="str">
        <v>Water chemistry</v>
      </c>
      <c r="M104" s="2" t="str">
        <v>EPT</v>
      </c>
      <c r="N104" s="2" t="str">
        <v>rainfall</v>
      </c>
      <c r="O104" s="2" t="str">
        <v>urban streams</v>
      </c>
      <c r="P104" s="2" t="s">
        <v>9</v>
      </c>
      <c r="Q104" s="2" t="s">
        <v>10</v>
      </c>
    </row>
    <row r="105" spans="1:17" x14ac:dyDescent="0.35">
      <c r="A105" s="2" t="s">
        <v>5884</v>
      </c>
      <c r="B105" s="2" t="s">
        <v>522</v>
      </c>
      <c r="C105" s="2" t="s">
        <v>523</v>
      </c>
      <c r="D105" s="2">
        <v>2023</v>
      </c>
      <c r="E105" s="2" t="s">
        <v>524</v>
      </c>
      <c r="F105" s="2" t="s">
        <v>525</v>
      </c>
      <c r="G105" s="2" t="s">
        <v>526</v>
      </c>
      <c r="H105" s="2" t="s">
        <v>441</v>
      </c>
      <c r="I105" s="2" t="str" cm="1">
        <f t="array" ref="I105">H105 &amp; _xlfn.REGEXEXTRACT(G105,"^[^_]+_\d{4}") &amp; ".pdf"</f>
        <v>https://www.ocf.berkeley.edu/~pkmendez/envsci/projects/2023final/GoswickJ_2023.pdf</v>
      </c>
      <c r="J105" s="1" t="str">
        <f t="shared" si="1"/>
        <v>https://www.ocf.berkeley.edu/~pkmendez/envsci/projects/2023final/GoswickJ_2023.pdf</v>
      </c>
      <c r="K105" s="2" t="str" cm="1">
        <f t="array" ref="K105:O105">_xlfn.TAKE(TRIM(_xlfn.TEXTSPLIT(F105,{",",";"})),,5)</f>
        <v>Healthy Soils Program (HSP)</v>
      </c>
      <c r="L105" s="2" t="str">
        <v>compost application</v>
      </c>
      <c r="M105" s="2" t="str">
        <v>organic carbon</v>
      </c>
      <c r="N105" s="2" t="str">
        <v>soil health</v>
      </c>
      <c r="O105" s="2" t="str">
        <v>Greenhouse Gas Emissions (GHG)</v>
      </c>
      <c r="P105" s="2" t="s">
        <v>9</v>
      </c>
      <c r="Q105" s="2" t="s">
        <v>10</v>
      </c>
    </row>
    <row r="106" spans="1:17" x14ac:dyDescent="0.35">
      <c r="A106" s="2" t="s">
        <v>5884</v>
      </c>
      <c r="B106" s="2" t="s">
        <v>527</v>
      </c>
      <c r="C106" s="2" t="s">
        <v>528</v>
      </c>
      <c r="D106" s="2">
        <v>2023</v>
      </c>
      <c r="E106" s="2" t="s">
        <v>529</v>
      </c>
      <c r="F106" s="2" t="s">
        <v>530</v>
      </c>
      <c r="G106" s="2" t="s">
        <v>531</v>
      </c>
      <c r="H106" s="2" t="s">
        <v>441</v>
      </c>
      <c r="I106" s="2" t="str" cm="1">
        <f t="array" ref="I106">H106 &amp; _xlfn.REGEXEXTRACT(G106,"^[^_]+_\d{4}") &amp; ".pdf"</f>
        <v>https://www.ocf.berkeley.edu/~pkmendez/envsci/projects/2023final/GuanK_2023.pdf</v>
      </c>
      <c r="J106" s="1" t="str">
        <f t="shared" si="1"/>
        <v>https://www.ocf.berkeley.edu/~pkmendez/envsci/projects/2023final/GuanK_2023.pdf</v>
      </c>
      <c r="K106" s="2" t="str" cm="1">
        <f t="array" ref="K106:O106">_xlfn.TAKE(TRIM(_xlfn.TEXTSPLIT(F106,{",",";"})),,5)</f>
        <v>Environmental Issues</v>
      </c>
      <c r="L106" s="2" t="str">
        <v>Environmental Equity</v>
      </c>
      <c r="M106" s="2" t="str">
        <v>AAPI</v>
      </c>
      <c r="N106" s="2" t="str">
        <v>Cleanliness</v>
      </c>
      <c r="O106" s="2" t="str">
        <v>Healthcare</v>
      </c>
      <c r="P106" s="2" t="s">
        <v>9</v>
      </c>
      <c r="Q106" s="2" t="s">
        <v>10</v>
      </c>
    </row>
    <row r="107" spans="1:17" x14ac:dyDescent="0.35">
      <c r="A107" s="2" t="s">
        <v>5884</v>
      </c>
      <c r="B107" s="2" t="s">
        <v>532</v>
      </c>
      <c r="C107" s="2" t="s">
        <v>533</v>
      </c>
      <c r="D107" s="2">
        <v>2023</v>
      </c>
      <c r="E107" s="2" t="s">
        <v>534</v>
      </c>
      <c r="F107" s="2" t="s">
        <v>535</v>
      </c>
      <c r="G107" s="2" t="s">
        <v>536</v>
      </c>
      <c r="H107" s="2" t="s">
        <v>441</v>
      </c>
      <c r="I107" s="2" t="str" cm="1">
        <f t="array" ref="I107">H107 &amp; _xlfn.REGEXEXTRACT(G107,"^[^_]+_\d{4}") &amp; ".pdf"</f>
        <v>https://www.ocf.berkeley.edu/~pkmendez/envsci/projects/2023final/HannanW_2023.pdf</v>
      </c>
      <c r="J107" s="1" t="str">
        <f t="shared" si="1"/>
        <v>https://www.ocf.berkeley.edu/~pkmendez/envsci/projects/2023final/HannanW_2023.pdf</v>
      </c>
      <c r="K107" s="2" t="str" cm="1">
        <f t="array" ref="K107:O107">_xlfn.TAKE(TRIM(_xlfn.TEXTSPLIT(F107,{",",";"})),,5)</f>
        <v>social isolation</v>
      </c>
      <c r="L107" s="2" t="str">
        <v>social connectivity</v>
      </c>
      <c r="M107" s="2" t="str">
        <v>subjective well-being</v>
      </c>
      <c r="N107" s="2" t="str">
        <v>environmental health</v>
      </c>
      <c r="O107" s="2" t="str">
        <v>urban planning</v>
      </c>
      <c r="P107" s="2" t="s">
        <v>9</v>
      </c>
      <c r="Q107" s="2" t="s">
        <v>10</v>
      </c>
    </row>
    <row r="108" spans="1:17" x14ac:dyDescent="0.35">
      <c r="A108" s="2" t="s">
        <v>5884</v>
      </c>
      <c r="B108" s="2" t="s">
        <v>537</v>
      </c>
      <c r="C108" s="2" t="s">
        <v>538</v>
      </c>
      <c r="D108" s="2">
        <v>2023</v>
      </c>
      <c r="E108" s="2" t="s">
        <v>539</v>
      </c>
      <c r="F108" s="2" t="s">
        <v>540</v>
      </c>
      <c r="G108" s="2" t="s">
        <v>541</v>
      </c>
      <c r="H108" s="2" t="s">
        <v>441</v>
      </c>
      <c r="I108" s="2" t="str" cm="1">
        <f t="array" ref="I108">H108 &amp; _xlfn.REGEXEXTRACT(G108,"^[^_]+_\d{4}") &amp; ".pdf"</f>
        <v>https://www.ocf.berkeley.edu/~pkmendez/envsci/projects/2023final/HopkinsJ_2023.pdf</v>
      </c>
      <c r="J108" s="1" t="str">
        <f t="shared" si="1"/>
        <v>https://www.ocf.berkeley.edu/~pkmendez/envsci/projects/2023final/HopkinsJ_2023.pdf</v>
      </c>
      <c r="K108" s="2" t="str" cm="1">
        <f t="array" ref="K108:O108">_xlfn.TAKE(TRIM(_xlfn.TEXTSPLIT(F108,{",",";"})),,5)</f>
        <v>Cyanobacteria</v>
      </c>
      <c r="L108" s="2" t="str">
        <v>Harmful Algae Blooms</v>
      </c>
      <c r="M108" s="2" t="str">
        <v>Estuary</v>
      </c>
      <c r="N108" s="2" t="str">
        <v>San Francisco Bay</v>
      </c>
      <c r="O108" s="2" t="str">
        <v>Runoff</v>
      </c>
      <c r="P108" s="2" t="s">
        <v>9</v>
      </c>
      <c r="Q108" s="2" t="s">
        <v>10</v>
      </c>
    </row>
    <row r="109" spans="1:17" x14ac:dyDescent="0.35">
      <c r="A109" s="2" t="s">
        <v>5884</v>
      </c>
      <c r="B109" s="2" t="s">
        <v>542</v>
      </c>
      <c r="C109" s="2" t="s">
        <v>543</v>
      </c>
      <c r="D109" s="2">
        <v>2023</v>
      </c>
      <c r="E109" s="2" t="s">
        <v>544</v>
      </c>
      <c r="F109" s="2" t="s">
        <v>545</v>
      </c>
      <c r="G109" s="2" t="s">
        <v>546</v>
      </c>
      <c r="H109" s="2" t="s">
        <v>441</v>
      </c>
      <c r="I109" s="2" t="str" cm="1">
        <f t="array" ref="I109">H109 &amp; _xlfn.REGEXEXTRACT(G109,"^[^_]+_\d{4}") &amp; ".pdf"</f>
        <v>https://www.ocf.berkeley.edu/~pkmendez/envsci/projects/2023final/KavieffT_2023.pdf</v>
      </c>
      <c r="J109" s="1" t="str">
        <f t="shared" si="1"/>
        <v>https://www.ocf.berkeley.edu/~pkmendez/envsci/projects/2023final/KavieffT_2023.pdf</v>
      </c>
      <c r="K109" s="2" t="str" cm="1">
        <f t="array" ref="K109:O109">_xlfn.TAKE(TRIM(_xlfn.TEXTSPLIT(F109,{",",";"})),,5)</f>
        <v>climate grief</v>
      </c>
      <c r="L109" s="2" t="str">
        <v>intersectionality discrimination index</v>
      </c>
      <c r="M109" s="2" t="str">
        <v>hogg eco anxiety index</v>
      </c>
      <c r="N109" s="2" t="str">
        <v>mental health</v>
      </c>
      <c r="O109" s="2" t="str">
        <v>environmental justice</v>
      </c>
      <c r="P109" s="2" t="s">
        <v>9</v>
      </c>
      <c r="Q109" s="2" t="s">
        <v>10</v>
      </c>
    </row>
    <row r="110" spans="1:17" x14ac:dyDescent="0.35">
      <c r="A110" s="2" t="s">
        <v>5884</v>
      </c>
      <c r="B110" s="2" t="s">
        <v>547</v>
      </c>
      <c r="C110" s="2" t="s">
        <v>548</v>
      </c>
      <c r="D110" s="2">
        <v>2023</v>
      </c>
      <c r="E110" s="2" t="s">
        <v>549</v>
      </c>
      <c r="F110" s="2" t="s">
        <v>550</v>
      </c>
      <c r="G110" s="2" t="s">
        <v>551</v>
      </c>
      <c r="H110" s="2" t="s">
        <v>441</v>
      </c>
      <c r="I110" s="2" t="str" cm="1">
        <f t="array" ref="I110">H110 &amp; _xlfn.REGEXEXTRACT(G110,"^[^_]+_\d{4}") &amp; ".pdf"</f>
        <v>https://www.ocf.berkeley.edu/~pkmendez/envsci/projects/2023final/KennedyS_2023.pdf</v>
      </c>
      <c r="J110" s="1" t="str">
        <f t="shared" si="1"/>
        <v>https://www.ocf.berkeley.edu/~pkmendez/envsci/projects/2023final/KennedyS_2023.pdf</v>
      </c>
      <c r="K110" s="2" t="str" cm="1">
        <f t="array" ref="K110:O110">_xlfn.TAKE(TRIM(_xlfn.TEXTSPLIT(F110,{",",";"})),,5)</f>
        <v>OpenET</v>
      </c>
      <c r="L110" s="2" t="str">
        <v>evapotranspiration</v>
      </c>
      <c r="M110" s="2" t="str">
        <v>drought</v>
      </c>
      <c r="N110" s="2" t="str">
        <v>climate</v>
      </c>
      <c r="O110" s="2" t="str">
        <v>Google Earth Engine</v>
      </c>
      <c r="P110" s="2" t="s">
        <v>9</v>
      </c>
      <c r="Q110" s="2" t="s">
        <v>10</v>
      </c>
    </row>
    <row r="111" spans="1:17" x14ac:dyDescent="0.35">
      <c r="A111" s="2" t="s">
        <v>5884</v>
      </c>
      <c r="B111" s="2" t="s">
        <v>552</v>
      </c>
      <c r="C111" s="2" t="s">
        <v>553</v>
      </c>
      <c r="D111" s="2">
        <v>2023</v>
      </c>
      <c r="E111" s="2" t="s">
        <v>554</v>
      </c>
      <c r="F111" s="2" t="s">
        <v>555</v>
      </c>
      <c r="G111" s="2" t="s">
        <v>556</v>
      </c>
      <c r="H111" s="2" t="s">
        <v>441</v>
      </c>
      <c r="I111" s="2" t="str" cm="1">
        <f t="array" ref="I111">H111 &amp; _xlfn.REGEXEXTRACT(G111,"^[^_]+_\d{4}") &amp; ".pdf"</f>
        <v>https://www.ocf.berkeley.edu/~pkmendez/envsci/projects/2023final/KerudiS_2023.pdf</v>
      </c>
      <c r="J111" s="1" t="str">
        <f t="shared" si="1"/>
        <v>https://www.ocf.berkeley.edu/~pkmendez/envsci/projects/2023final/KerudiS_2023.pdf</v>
      </c>
      <c r="K111" s="2" t="str" cm="1">
        <f t="array" ref="K111:O111">_xlfn.TAKE(TRIM(_xlfn.TEXTSPLIT(F111,{",",";"})),,5)</f>
        <v>corporate social responsibility</v>
      </c>
      <c r="L111" s="2" t="str">
        <v>consumer behavior</v>
      </c>
      <c r="M111" s="2" t="str">
        <v>fast fashion</v>
      </c>
      <c r="N111" s="2" t="str">
        <v>greenwashing</v>
      </c>
      <c r="O111" s="2" t="str">
        <v>sustainability reporting</v>
      </c>
      <c r="P111" s="2" t="s">
        <v>9</v>
      </c>
      <c r="Q111" s="2" t="s">
        <v>10</v>
      </c>
    </row>
    <row r="112" spans="1:17" x14ac:dyDescent="0.35">
      <c r="A112" s="2" t="s">
        <v>5884</v>
      </c>
      <c r="B112" s="2" t="s">
        <v>557</v>
      </c>
      <c r="C112" s="2" t="s">
        <v>558</v>
      </c>
      <c r="D112" s="2">
        <v>2023</v>
      </c>
      <c r="E112" s="2" t="s">
        <v>559</v>
      </c>
      <c r="F112" s="2" t="s">
        <v>560</v>
      </c>
      <c r="G112" s="2" t="s">
        <v>561</v>
      </c>
      <c r="H112" s="2" t="s">
        <v>441</v>
      </c>
      <c r="I112" s="2" t="str" cm="1">
        <f t="array" ref="I112">H112 &amp; _xlfn.REGEXEXTRACT(G112,"^[^_]+_\d{4}") &amp; ".pdf"</f>
        <v>https://www.ocf.berkeley.edu/~pkmendez/envsci/projects/2023final/KimJ_2023.pdf</v>
      </c>
      <c r="J112" s="1" t="str">
        <f t="shared" si="1"/>
        <v>https://www.ocf.berkeley.edu/~pkmendez/envsci/projects/2023final/KimJ_2023.pdf</v>
      </c>
      <c r="K112" s="2" t="str" cm="1">
        <f t="array" ref="K112:O112">_xlfn.TAKE(TRIM(_xlfn.TEXTSPLIT(F112,{",",";"})),,5)</f>
        <v>environmental justice</v>
      </c>
      <c r="L112" s="2" t="str">
        <v>agriculture</v>
      </c>
      <c r="M112" s="2" t="str">
        <v>obesity</v>
      </c>
      <c r="N112" s="2" t="str">
        <v>brown adipose tissue</v>
      </c>
      <c r="O112" s="2" t="str">
        <v>gut microbiota</v>
      </c>
      <c r="P112" s="2" t="s">
        <v>9</v>
      </c>
      <c r="Q112" s="2" t="s">
        <v>10</v>
      </c>
    </row>
    <row r="113" spans="1:17" x14ac:dyDescent="0.35">
      <c r="A113" s="2" t="s">
        <v>5884</v>
      </c>
      <c r="B113" s="2" t="s">
        <v>562</v>
      </c>
      <c r="C113" s="2" t="s">
        <v>563</v>
      </c>
      <c r="D113" s="2">
        <v>2023</v>
      </c>
      <c r="E113" s="2" t="s">
        <v>564</v>
      </c>
      <c r="F113" s="2" t="s">
        <v>565</v>
      </c>
      <c r="G113" s="2" t="s">
        <v>566</v>
      </c>
      <c r="H113" s="2" t="s">
        <v>441</v>
      </c>
      <c r="I113" s="2" t="str" cm="1">
        <f t="array" ref="I113">H113 &amp; _xlfn.REGEXEXTRACT(G113,"^[^_]+_\d{4}") &amp; ".pdf"</f>
        <v>https://www.ocf.berkeley.edu/~pkmendez/envsci/projects/2023final/LeeH_2023.pdf</v>
      </c>
      <c r="J113" s="1" t="str">
        <f t="shared" si="1"/>
        <v>https://www.ocf.berkeley.edu/~pkmendez/envsci/projects/2023final/LeeH_2023.pdf</v>
      </c>
      <c r="K113" s="2" t="str" cm="1">
        <f t="array" ref="K113:O113">_xlfn.TAKE(TRIM(_xlfn.TEXTSPLIT(F113,{",",";"})),,5)</f>
        <v>landscape network metrics</v>
      </c>
      <c r="L113" s="2" t="str">
        <v>street-level greenery</v>
      </c>
      <c r="M113" s="2" t="str">
        <v>geospatial analysis</v>
      </c>
      <c r="N113" s="2" t="str">
        <v>hotspot analysis</v>
      </c>
      <c r="O113" s="2" t="str">
        <v>linear regression</v>
      </c>
      <c r="P113" s="2" t="s">
        <v>9</v>
      </c>
      <c r="Q113" s="2" t="s">
        <v>10</v>
      </c>
    </row>
    <row r="114" spans="1:17" x14ac:dyDescent="0.35">
      <c r="A114" s="2" t="s">
        <v>5884</v>
      </c>
      <c r="B114" s="2" t="s">
        <v>567</v>
      </c>
      <c r="C114" s="2" t="s">
        <v>568</v>
      </c>
      <c r="D114" s="2">
        <v>2023</v>
      </c>
      <c r="E114" s="2" t="s">
        <v>569</v>
      </c>
      <c r="F114" s="2" t="s">
        <v>570</v>
      </c>
      <c r="G114" s="2" t="s">
        <v>571</v>
      </c>
      <c r="H114" s="2" t="s">
        <v>441</v>
      </c>
      <c r="I114" s="2" t="str" cm="1">
        <f t="array" ref="I114">H114 &amp; _xlfn.REGEXEXTRACT(G114,"^[^_]+_\d{4}") &amp; ".pdf"</f>
        <v>https://www.ocf.berkeley.edu/~pkmendez/envsci/projects/2023final/MigliacciA_2023.pdf</v>
      </c>
      <c r="J114" s="1" t="str">
        <f t="shared" si="1"/>
        <v>https://www.ocf.berkeley.edu/~pkmendez/envsci/projects/2023final/MigliacciA_2023.pdf</v>
      </c>
      <c r="K114" s="2" t="str" cm="1">
        <f t="array" ref="K114:O114">_xlfn.TAKE(TRIM(_xlfn.TEXTSPLIT(F114,{",",";"})),,5)</f>
        <v>Environmental Justice</v>
      </c>
      <c r="L114" s="2" t="str">
        <v>Land Use</v>
      </c>
      <c r="M114" s="2" t="str">
        <v>Logistics Industry</v>
      </c>
      <c r="N114" s="2" t="str">
        <v>Unincorporated Communities</v>
      </c>
      <c r="O114" s="2" t="str">
        <v>Political Ecology</v>
      </c>
      <c r="P114" s="2" t="s">
        <v>9</v>
      </c>
      <c r="Q114" s="2" t="s">
        <v>10</v>
      </c>
    </row>
    <row r="115" spans="1:17" x14ac:dyDescent="0.35">
      <c r="A115" s="2" t="s">
        <v>5884</v>
      </c>
      <c r="B115" s="2" t="s">
        <v>572</v>
      </c>
      <c r="C115" s="2" t="s">
        <v>573</v>
      </c>
      <c r="D115" s="2">
        <v>2023</v>
      </c>
      <c r="E115" s="2" t="s">
        <v>574</v>
      </c>
      <c r="F115" s="2" t="s">
        <v>575</v>
      </c>
      <c r="G115" s="2" t="s">
        <v>576</v>
      </c>
      <c r="H115" s="2" t="s">
        <v>441</v>
      </c>
      <c r="I115" s="2" t="str" cm="1">
        <f t="array" ref="I115">H115 &amp; _xlfn.REGEXEXTRACT(G115,"^[^_]+_\d{4}") &amp; ".pdf"</f>
        <v>https://www.ocf.berkeley.edu/~pkmendez/envsci/projects/2023final/MillerA_2023.pdf</v>
      </c>
      <c r="J115" s="1" t="str">
        <f t="shared" si="1"/>
        <v>https://www.ocf.berkeley.edu/~pkmendez/envsci/projects/2023final/MillerA_2023.pdf</v>
      </c>
      <c r="K115" s="2" t="str" cm="1">
        <f t="array" ref="K115:O115">_xlfn.TAKE(TRIM(_xlfn.TEXTSPLIT(F115,{",",";"})),,5)</f>
        <v>climate modeling</v>
      </c>
      <c r="L115" s="2" t="str">
        <v>environmental justice</v>
      </c>
      <c r="M115" s="2" t="str">
        <v>machine learning</v>
      </c>
      <c r="N115" s="2" t="str">
        <v>Arctic trends</v>
      </c>
      <c r="O115" s="2" t="str">
        <v>climate change</v>
      </c>
      <c r="P115" s="2" t="s">
        <v>9</v>
      </c>
      <c r="Q115" s="2" t="s">
        <v>10</v>
      </c>
    </row>
    <row r="116" spans="1:17" x14ac:dyDescent="0.35">
      <c r="A116" s="2" t="s">
        <v>5884</v>
      </c>
      <c r="B116" s="2" t="s">
        <v>577</v>
      </c>
      <c r="C116" s="2" t="s">
        <v>578</v>
      </c>
      <c r="D116" s="2">
        <v>2023</v>
      </c>
      <c r="E116" s="2" t="s">
        <v>579</v>
      </c>
      <c r="F116" s="2" t="s">
        <v>1351</v>
      </c>
      <c r="G116" s="2" t="s">
        <v>580</v>
      </c>
      <c r="H116" s="2" t="s">
        <v>441</v>
      </c>
      <c r="I116" s="2" t="str" cm="1">
        <f t="array" ref="I116">H116 &amp; _xlfn.REGEXEXTRACT(G116,"^[^_]+_\d{4}") &amp; ".pdf"</f>
        <v>https://www.ocf.berkeley.edu/~pkmendez/envsci/projects/2023final/MoulyM_2023.pdf</v>
      </c>
      <c r="J116" s="1" t="str">
        <f t="shared" si="1"/>
        <v>https://www.ocf.berkeley.edu/~pkmendez/envsci/projects/2023final/MoulyM_2023.pdf</v>
      </c>
      <c r="K116" s="2" t="str" cm="1">
        <f t="array" ref="K116:O116">_xlfn.TAKE(TRIM(_xlfn.TEXTSPLIT(F116,{",",";"})),,5)</f>
        <v>Infrared thermography</v>
      </c>
      <c r="L116" s="2" t="str">
        <v>Climate change</v>
      </c>
      <c r="M116" s="2" t="str">
        <v>Marine mammal</v>
      </c>
      <c r="N116" s="2" t="str">
        <v>Thermal window</v>
      </c>
      <c r="O116" s="2" t="str">
        <v>Thermoregulatory
behavior</v>
      </c>
      <c r="P116" s="2" t="s">
        <v>9</v>
      </c>
      <c r="Q116" s="2" t="s">
        <v>10</v>
      </c>
    </row>
    <row r="117" spans="1:17" x14ac:dyDescent="0.35">
      <c r="A117" s="2" t="s">
        <v>5884</v>
      </c>
      <c r="B117" s="2" t="s">
        <v>581</v>
      </c>
      <c r="C117" s="2" t="s">
        <v>582</v>
      </c>
      <c r="D117" s="2">
        <v>2023</v>
      </c>
      <c r="E117" s="2" t="s">
        <v>583</v>
      </c>
      <c r="F117" s="2" t="s">
        <v>584</v>
      </c>
      <c r="G117" s="2" t="s">
        <v>585</v>
      </c>
      <c r="H117" s="2" t="s">
        <v>441</v>
      </c>
      <c r="I117" s="2" t="str" cm="1">
        <f t="array" ref="I117">H117 &amp; _xlfn.REGEXEXTRACT(G117,"^[^_]+_\d{4}") &amp; ".pdf"</f>
        <v>https://www.ocf.berkeley.edu/~pkmendez/envsci/projects/2023final/PenaDiazK_2023.pdf</v>
      </c>
      <c r="J117" s="1" t="str">
        <f t="shared" si="1"/>
        <v>https://www.ocf.berkeley.edu/~pkmendez/envsci/projects/2023final/PenaDiazK_2023.pdf</v>
      </c>
      <c r="K117" s="2" t="str" cm="1">
        <f t="array" ref="K117:O117">_xlfn.TAKE(TRIM(_xlfn.TEXTSPLIT(F117,{",",";"})),,5)</f>
        <v>Food deserts</v>
      </c>
      <c r="L117" s="2" t="str">
        <v>Polyfluoroalkyl substances</v>
      </c>
      <c r="M117" s="2" t="str">
        <v>asthsma</v>
      </c>
      <c r="N117" s="2" t="str">
        <v>chemical dumping</v>
      </c>
      <c r="O117" s="2" t="str">
        <v>Richmond Chevron Refinery</v>
      </c>
      <c r="P117" s="2" t="s">
        <v>9</v>
      </c>
      <c r="Q117" s="2" t="s">
        <v>10</v>
      </c>
    </row>
    <row r="118" spans="1:17" x14ac:dyDescent="0.35">
      <c r="A118" s="2" t="s">
        <v>5884</v>
      </c>
      <c r="B118" s="2" t="s">
        <v>586</v>
      </c>
      <c r="C118" s="2" t="s">
        <v>587</v>
      </c>
      <c r="D118" s="2">
        <v>2023</v>
      </c>
      <c r="E118" s="2" t="s">
        <v>588</v>
      </c>
      <c r="F118" s="2" t="s">
        <v>589</v>
      </c>
      <c r="G118" s="2" t="s">
        <v>590</v>
      </c>
      <c r="H118" s="2" t="s">
        <v>441</v>
      </c>
      <c r="I118" s="2" t="str" cm="1">
        <f t="array" ref="I118">H118 &amp; _xlfn.REGEXEXTRACT(G118,"^[^_]+_\d{4}") &amp; ".pdf"</f>
        <v>https://www.ocf.berkeley.edu/~pkmendez/envsci/projects/2023final/PrevostG_2023.pdf</v>
      </c>
      <c r="J118" s="1" t="str">
        <f t="shared" si="1"/>
        <v>https://www.ocf.berkeley.edu/~pkmendez/envsci/projects/2023final/PrevostG_2023.pdf</v>
      </c>
      <c r="K118" s="2" t="str" cm="1">
        <f t="array" ref="K118:O118">_xlfn.TAKE(TRIM(_xlfn.TEXTSPLIT(F118,{",",";"})),,5)</f>
        <v>Food Insecurity</v>
      </c>
      <c r="L118" s="2" t="str">
        <v>Food Desert</v>
      </c>
      <c r="M118" s="2" t="str">
        <v>K-5 Education</v>
      </c>
      <c r="N118" s="2" t="str">
        <v>Diet Quality</v>
      </c>
      <c r="O118" s="2" t="str">
        <v>Academic Outcomes</v>
      </c>
      <c r="P118" s="2" t="s">
        <v>9</v>
      </c>
      <c r="Q118" s="2" t="s">
        <v>10</v>
      </c>
    </row>
    <row r="119" spans="1:17" x14ac:dyDescent="0.35">
      <c r="A119" s="2" t="s">
        <v>5884</v>
      </c>
      <c r="B119" s="2" t="s">
        <v>591</v>
      </c>
      <c r="C119" s="2" t="s">
        <v>592</v>
      </c>
      <c r="D119" s="2">
        <v>2023</v>
      </c>
      <c r="E119" s="2" t="s">
        <v>593</v>
      </c>
      <c r="F119" s="2" t="s">
        <v>594</v>
      </c>
      <c r="G119" s="2" t="s">
        <v>595</v>
      </c>
      <c r="H119" s="2" t="s">
        <v>441</v>
      </c>
      <c r="I119" s="2" t="str" cm="1">
        <f t="array" ref="I119">H119 &amp; _xlfn.REGEXEXTRACT(G119,"^[^_]+_\d{4}") &amp; ".pdf"</f>
        <v>https://www.ocf.berkeley.edu/~pkmendez/envsci/projects/2023final/RazaI_2023.pdf</v>
      </c>
      <c r="J119" s="1" t="str">
        <f t="shared" si="1"/>
        <v>https://www.ocf.berkeley.edu/~pkmendez/envsci/projects/2023final/RazaI_2023.pdf</v>
      </c>
      <c r="K119" s="2" t="str" cm="1">
        <f t="array" ref="K119:O119">_xlfn.TAKE(TRIM(_xlfn.TEXTSPLIT(F119,{",",";"})),,5)</f>
        <v>Bioremediation</v>
      </c>
      <c r="L119" s="2" t="str">
        <v>denitrifying bacteria</v>
      </c>
      <c r="M119" s="2" t="str">
        <v>paired synthetic communities</v>
      </c>
      <c r="N119" s="2" t="str">
        <v>predictive modeling</v>
      </c>
      <c r="O119" s="2" t="str">
        <v>selective pressure</v>
      </c>
      <c r="P119" s="2" t="s">
        <v>9</v>
      </c>
      <c r="Q119" s="2" t="s">
        <v>10</v>
      </c>
    </row>
    <row r="120" spans="1:17" x14ac:dyDescent="0.35">
      <c r="A120" s="2" t="s">
        <v>5884</v>
      </c>
      <c r="B120" s="2" t="s">
        <v>596</v>
      </c>
      <c r="C120" s="2" t="s">
        <v>597</v>
      </c>
      <c r="D120" s="2">
        <v>2023</v>
      </c>
      <c r="E120" s="2" t="s">
        <v>598</v>
      </c>
      <c r="F120" s="2" t="s">
        <v>599</v>
      </c>
      <c r="G120" s="2" t="s">
        <v>600</v>
      </c>
      <c r="H120" s="2" t="s">
        <v>441</v>
      </c>
      <c r="I120" s="2" t="str" cm="1">
        <f t="array" ref="I120">H120 &amp; _xlfn.REGEXEXTRACT(G120,"^[^_]+_\d{4}") &amp; ".pdf"</f>
        <v>https://www.ocf.berkeley.edu/~pkmendez/envsci/projects/2023final/RousseauS_2023.pdf</v>
      </c>
      <c r="J120" s="1" t="str">
        <f t="shared" si="1"/>
        <v>https://www.ocf.berkeley.edu/~pkmendez/envsci/projects/2023final/RousseauS_2023.pdf</v>
      </c>
      <c r="K120" s="2" t="str" cm="1">
        <f t="array" ref="K120:O120">_xlfn.TAKE(TRIM(_xlfn.TEXTSPLIT(F120,{",",";"})),,5)</f>
        <v>California Drought</v>
      </c>
      <c r="L120" s="2" t="str">
        <v>Landsat 8</v>
      </c>
      <c r="M120" s="2" t="str">
        <v>Normalized Difference Water Index (NDWI)</v>
      </c>
      <c r="N120" s="2" t="str">
        <v>Normalized Difference Vegetation Index (NDVI)</v>
      </c>
      <c r="O120" s="2" t="str">
        <v>Enhanced Vegetation Index (EVI)</v>
      </c>
      <c r="P120" s="2" t="s">
        <v>9</v>
      </c>
      <c r="Q120" s="2" t="s">
        <v>10</v>
      </c>
    </row>
    <row r="121" spans="1:17" x14ac:dyDescent="0.35">
      <c r="A121" s="2" t="s">
        <v>5884</v>
      </c>
      <c r="B121" s="2" t="s">
        <v>601</v>
      </c>
      <c r="C121" s="2" t="s">
        <v>602</v>
      </c>
      <c r="D121" s="2">
        <v>2023</v>
      </c>
      <c r="E121" s="2" t="s">
        <v>603</v>
      </c>
      <c r="F121" s="2" t="s">
        <v>604</v>
      </c>
      <c r="G121" s="2" t="s">
        <v>605</v>
      </c>
      <c r="H121" s="2" t="s">
        <v>441</v>
      </c>
      <c r="I121" s="2" t="str" cm="1">
        <f t="array" ref="I121">H121 &amp; _xlfn.REGEXEXTRACT(G121,"^[^_]+_\d{4}") &amp; ".pdf"</f>
        <v>https://www.ocf.berkeley.edu/~pkmendez/envsci/projects/2023final/SantasA_2023.pdf</v>
      </c>
      <c r="J121" s="1" t="str">
        <f t="shared" si="1"/>
        <v>https://www.ocf.berkeley.edu/~pkmendez/envsci/projects/2023final/SantasA_2023.pdf</v>
      </c>
      <c r="K121" s="2" t="str" cm="1">
        <f t="array" ref="K121:O121">_xlfn.TAKE(TRIM(_xlfn.TEXTSPLIT(F121,{",",";"})),,5)</f>
        <v>complementarity</v>
      </c>
      <c r="L121" s="2" t="str">
        <v>pollen limitation</v>
      </c>
      <c r="M121" s="2" t="str">
        <v>Apis mellifera</v>
      </c>
      <c r="N121" s="2" t="str">
        <v>agroecology</v>
      </c>
      <c r="O121" s="2" t="str">
        <v>insect-pollination</v>
      </c>
      <c r="P121" s="2" t="s">
        <v>9</v>
      </c>
      <c r="Q121" s="2" t="s">
        <v>10</v>
      </c>
    </row>
    <row r="122" spans="1:17" x14ac:dyDescent="0.35">
      <c r="A122" s="2" t="s">
        <v>5884</v>
      </c>
      <c r="B122" s="2" t="s">
        <v>606</v>
      </c>
      <c r="C122" s="2" t="s">
        <v>607</v>
      </c>
      <c r="D122" s="2">
        <v>2023</v>
      </c>
      <c r="E122" s="2" t="s">
        <v>608</v>
      </c>
      <c r="F122" s="2" t="s">
        <v>609</v>
      </c>
      <c r="G122" s="2" t="s">
        <v>610</v>
      </c>
      <c r="H122" s="2" t="s">
        <v>441</v>
      </c>
      <c r="I122" s="2" t="str" cm="1">
        <f t="array" ref="I122">H122 &amp; _xlfn.REGEXEXTRACT(G122,"^[^_]+_\d{4}") &amp; ".pdf"</f>
        <v>https://www.ocf.berkeley.edu/~pkmendez/envsci/projects/2023final/SchulteC_2023.pdf</v>
      </c>
      <c r="J122" s="1" t="str">
        <f t="shared" si="1"/>
        <v>https://www.ocf.berkeley.edu/~pkmendez/envsci/projects/2023final/SchulteC_2023.pdf</v>
      </c>
      <c r="K122" s="2" t="str" cm="1">
        <f t="array" ref="K122:O122">_xlfn.TAKE(TRIM(_xlfn.TEXTSPLIT(F122,{",",";"})),,5)</f>
        <v>Corporate Social Responsibility</v>
      </c>
      <c r="L122" s="2" t="str">
        <v>Environmental Social Governance score</v>
      </c>
      <c r="M122" s="2" t="str">
        <v>Global Reporting Index</v>
      </c>
      <c r="N122" s="2" t="str">
        <v>sustainability reporting</v>
      </c>
      <c r="O122" s="2" t="str">
        <v>sustainable business</v>
      </c>
      <c r="P122" s="2" t="s">
        <v>9</v>
      </c>
      <c r="Q122" s="2" t="s">
        <v>10</v>
      </c>
    </row>
    <row r="123" spans="1:17" x14ac:dyDescent="0.35">
      <c r="A123" s="2" t="s">
        <v>5884</v>
      </c>
      <c r="B123" s="2" t="s">
        <v>611</v>
      </c>
      <c r="C123" s="2" t="s">
        <v>612</v>
      </c>
      <c r="D123" s="2">
        <v>2023</v>
      </c>
      <c r="E123" s="2" t="s">
        <v>613</v>
      </c>
      <c r="F123" s="2" t="s">
        <v>614</v>
      </c>
      <c r="G123" s="2" t="s">
        <v>615</v>
      </c>
      <c r="H123" s="2" t="s">
        <v>441</v>
      </c>
      <c r="I123" s="2" t="str" cm="1">
        <f t="array" ref="I123">H123 &amp; _xlfn.REGEXEXTRACT(G123,"^[^_]+_\d{4}") &amp; ".pdf"</f>
        <v>https://www.ocf.berkeley.edu/~pkmendez/envsci/projects/2023final/ShenR_2023.pdf</v>
      </c>
      <c r="J123" s="1" t="str">
        <f t="shared" si="1"/>
        <v>https://www.ocf.berkeley.edu/~pkmendez/envsci/projects/2023final/ShenR_2023.pdf</v>
      </c>
      <c r="K123" s="2" t="str" cm="1">
        <f t="array" ref="K123:O123">_xlfn.TAKE(TRIM(_xlfn.TEXTSPLIT(F123,{",",";"})),,5)</f>
        <v>CEDEN</v>
      </c>
      <c r="L123" s="2" t="str">
        <v>freshwater ecology</v>
      </c>
      <c r="M123" s="2" t="str">
        <v>water-quality</v>
      </c>
      <c r="N123" s="2" t="str">
        <v>wastewater discharge</v>
      </c>
      <c r="O123" s="2" t="str">
        <v>urban river</v>
      </c>
      <c r="P123" s="2" t="s">
        <v>9</v>
      </c>
      <c r="Q123" s="2" t="s">
        <v>10</v>
      </c>
    </row>
    <row r="124" spans="1:17" x14ac:dyDescent="0.35">
      <c r="A124" s="2" t="s">
        <v>5884</v>
      </c>
      <c r="B124" s="2" t="s">
        <v>616</v>
      </c>
      <c r="C124" s="2" t="s">
        <v>617</v>
      </c>
      <c r="D124" s="2">
        <v>2023</v>
      </c>
      <c r="E124" s="2" t="s">
        <v>618</v>
      </c>
      <c r="F124" s="2" t="s">
        <v>619</v>
      </c>
      <c r="G124" s="2" t="s">
        <v>620</v>
      </c>
      <c r="H124" s="2" t="s">
        <v>441</v>
      </c>
      <c r="I124" s="2" t="str" cm="1">
        <f t="array" ref="I124">H124 &amp; _xlfn.REGEXEXTRACT(G124,"^[^_]+_\d{4}") &amp; ".pdf"</f>
        <v>https://www.ocf.berkeley.edu/~pkmendez/envsci/projects/2023final/SiegmundD_2023.pdf</v>
      </c>
      <c r="J124" s="1" t="str">
        <f t="shared" si="1"/>
        <v>https://www.ocf.berkeley.edu/~pkmendez/envsci/projects/2023final/SiegmundD_2023.pdf</v>
      </c>
      <c r="K124" s="2" t="str" cm="1">
        <f t="array" ref="K124:O124">_xlfn.TAKE(TRIM(_xlfn.TEXTSPLIT(F124,{",",";"})),,5)</f>
        <v>Remote sensing</v>
      </c>
      <c r="L124" s="2" t="str">
        <v>supervised classification</v>
      </c>
      <c r="M124" s="2" t="str">
        <v>Thomas Fire</v>
      </c>
      <c r="N124" s="2" t="str">
        <v>vegetation mapping</v>
      </c>
      <c r="O124" s="2" t="str">
        <v>dNDVI</v>
      </c>
      <c r="P124" s="2" t="s">
        <v>9</v>
      </c>
      <c r="Q124" s="2" t="s">
        <v>10</v>
      </c>
    </row>
    <row r="125" spans="1:17" x14ac:dyDescent="0.35">
      <c r="A125" s="2" t="s">
        <v>5884</v>
      </c>
      <c r="B125" s="2" t="s">
        <v>621</v>
      </c>
      <c r="C125" s="2" t="s">
        <v>622</v>
      </c>
      <c r="D125" s="2">
        <v>2023</v>
      </c>
      <c r="E125" s="2" t="s">
        <v>623</v>
      </c>
      <c r="F125" s="2" t="s">
        <v>624</v>
      </c>
      <c r="G125" s="2" t="s">
        <v>625</v>
      </c>
      <c r="H125" s="2" t="s">
        <v>441</v>
      </c>
      <c r="I125" s="2" t="str" cm="1">
        <f t="array" ref="I125">H125 &amp; _xlfn.REGEXEXTRACT(G125,"^[^_]+_\d{4}") &amp; ".pdf"</f>
        <v>https://www.ocf.berkeley.edu/~pkmendez/envsci/projects/2023final/SmithA_2023.pdf</v>
      </c>
      <c r="J125" s="1" t="str">
        <f t="shared" si="1"/>
        <v>https://www.ocf.berkeley.edu/~pkmendez/envsci/projects/2023final/SmithA_2023.pdf</v>
      </c>
      <c r="K125" s="2" t="str" cm="1">
        <f t="array" ref="K125:O125">_xlfn.TAKE(TRIM(_xlfn.TEXTSPLIT(F125,{",",";"})),,5)</f>
        <v>Carbon footprint</v>
      </c>
      <c r="L125" s="2" t="str">
        <v>average emissions intensity</v>
      </c>
      <c r="M125" s="2" t="str">
        <v>linear regression</v>
      </c>
      <c r="N125" s="2" t="str">
        <v>FTE</v>
      </c>
      <c r="O125" s="2" t="str">
        <v>GSF</v>
      </c>
      <c r="P125" s="2" t="s">
        <v>9</v>
      </c>
      <c r="Q125" s="2" t="s">
        <v>10</v>
      </c>
    </row>
    <row r="126" spans="1:17" x14ac:dyDescent="0.35">
      <c r="A126" s="2" t="s">
        <v>5884</v>
      </c>
      <c r="B126" s="2" t="s">
        <v>626</v>
      </c>
      <c r="C126" s="2" t="s">
        <v>627</v>
      </c>
      <c r="D126" s="2">
        <v>2023</v>
      </c>
      <c r="E126" s="2" t="s">
        <v>628</v>
      </c>
      <c r="F126" s="2" t="s">
        <v>629</v>
      </c>
      <c r="G126" s="2" t="s">
        <v>630</v>
      </c>
      <c r="H126" s="2" t="s">
        <v>441</v>
      </c>
      <c r="I126" s="2" t="str" cm="1">
        <f t="array" ref="I126">H126 &amp; _xlfn.REGEXEXTRACT(G126,"^[^_]+_\d{4}") &amp; ".pdf"</f>
        <v>https://www.ocf.berkeley.edu/~pkmendez/envsci/projects/2023final/StandishA_2023.pdf</v>
      </c>
      <c r="J126" s="1" t="str">
        <f t="shared" si="1"/>
        <v>https://www.ocf.berkeley.edu/~pkmendez/envsci/projects/2023final/StandishA_2023.pdf</v>
      </c>
      <c r="K126" s="2" t="str" cm="1">
        <f t="array" ref="K126:O126">_xlfn.TAKE(TRIM(_xlfn.TEXTSPLIT(F126,{",",";"})),,5)</f>
        <v>Specimen collection</v>
      </c>
      <c r="L126" s="2" t="str">
        <v>biodiversity</v>
      </c>
      <c r="M126" s="2" t="str">
        <v>Hopland Research and Extension Center</v>
      </c>
      <c r="N126" s="2" t="str">
        <v>functional groups</v>
      </c>
      <c r="O126" s="2" t="str">
        <v>Shannon Diversity Index</v>
      </c>
      <c r="P126" s="2" t="s">
        <v>9</v>
      </c>
      <c r="Q126" s="2" t="s">
        <v>10</v>
      </c>
    </row>
    <row r="127" spans="1:17" x14ac:dyDescent="0.35">
      <c r="A127" s="2" t="s">
        <v>5884</v>
      </c>
      <c r="B127" s="2" t="s">
        <v>631</v>
      </c>
      <c r="C127" s="2" t="s">
        <v>632</v>
      </c>
      <c r="D127" s="2">
        <v>2023</v>
      </c>
      <c r="E127" s="2" t="s">
        <v>633</v>
      </c>
      <c r="F127" s="2" t="s">
        <v>634</v>
      </c>
      <c r="G127" s="2" t="s">
        <v>635</v>
      </c>
      <c r="H127" s="2" t="s">
        <v>441</v>
      </c>
      <c r="I127" s="2" t="str" cm="1">
        <f t="array" ref="I127">H127 &amp; _xlfn.REGEXEXTRACT(G127,"^[^_]+_\d{4}") &amp; ".pdf"</f>
        <v>https://www.ocf.berkeley.edu/~pkmendez/envsci/projects/2023final/StarsiakF_2023.pdf</v>
      </c>
      <c r="J127" s="1" t="str">
        <f t="shared" si="1"/>
        <v>https://www.ocf.berkeley.edu/~pkmendez/envsci/projects/2023final/StarsiakF_2023.pdf</v>
      </c>
      <c r="K127" s="2" t="str" cm="1">
        <f t="array" ref="K127:O127">_xlfn.TAKE(TRIM(_xlfn.TEXTSPLIT(F127,{",",";"})),,5)</f>
        <v>Environmental justice</v>
      </c>
      <c r="L127" s="2" t="str">
        <v>Community action research</v>
      </c>
      <c r="M127" s="2" t="str">
        <v>Urban green spaces</v>
      </c>
      <c r="N127" s="2" t="str">
        <v>Water revitalization</v>
      </c>
      <c r="O127" s="2" t="str">
        <v>Participatory process</v>
      </c>
      <c r="P127" s="2" t="s">
        <v>9</v>
      </c>
      <c r="Q127" s="2" t="s">
        <v>10</v>
      </c>
    </row>
    <row r="128" spans="1:17" x14ac:dyDescent="0.35">
      <c r="A128" s="2" t="s">
        <v>5884</v>
      </c>
      <c r="B128" s="2" t="s">
        <v>636</v>
      </c>
      <c r="C128" s="2" t="s">
        <v>637</v>
      </c>
      <c r="D128" s="2">
        <v>2023</v>
      </c>
      <c r="E128" s="2" t="s">
        <v>638</v>
      </c>
      <c r="F128" s="2" t="s">
        <v>639</v>
      </c>
      <c r="G128" s="2" t="s">
        <v>640</v>
      </c>
      <c r="H128" s="2" t="s">
        <v>441</v>
      </c>
      <c r="I128" s="2" t="str" cm="1">
        <f t="array" ref="I128">H128 &amp; _xlfn.REGEXEXTRACT(G128,"^[^_]+_\d{4}") &amp; ".pdf"</f>
        <v>https://www.ocf.berkeley.edu/~pkmendez/envsci/projects/2023final/StepanovF_2023.pdf</v>
      </c>
      <c r="J128" s="1" t="str">
        <f t="shared" si="1"/>
        <v>https://www.ocf.berkeley.edu/~pkmendez/envsci/projects/2023final/StepanovF_2023.pdf</v>
      </c>
      <c r="K128" s="2" t="str" cm="1">
        <f t="array" ref="K128:O128">_xlfn.TAKE(TRIM(_xlfn.TEXTSPLIT(F128,{",",";"})),,5)</f>
        <v>Carcharodon Carcharias</v>
      </c>
      <c r="L128" s="2" t="str">
        <v>SPOT and PAT Tagging</v>
      </c>
      <c r="M128" s="2" t="str">
        <v>Enhydra lutris nereis Habitat</v>
      </c>
      <c r="N128" s="2" t="str">
        <v>Thermal Suitability Model</v>
      </c>
      <c r="O128" s="2" t="str">
        <v>SST Climatologies</v>
      </c>
      <c r="P128" s="2" t="s">
        <v>9</v>
      </c>
      <c r="Q128" s="2" t="s">
        <v>10</v>
      </c>
    </row>
    <row r="129" spans="1:17" x14ac:dyDescent="0.35">
      <c r="A129" s="2" t="s">
        <v>5884</v>
      </c>
      <c r="B129" s="2" t="s">
        <v>641</v>
      </c>
      <c r="C129" s="2" t="s">
        <v>642</v>
      </c>
      <c r="D129" s="2">
        <v>2023</v>
      </c>
      <c r="E129" s="2" t="s">
        <v>643</v>
      </c>
      <c r="F129" s="2" t="s">
        <v>644</v>
      </c>
      <c r="G129" s="2" t="s">
        <v>645</v>
      </c>
      <c r="H129" s="2" t="s">
        <v>441</v>
      </c>
      <c r="I129" s="2" t="str" cm="1">
        <f t="array" ref="I129">H129 &amp; _xlfn.REGEXEXTRACT(G129,"^[^_]+_\d{4}") &amp; ".pdf"</f>
        <v>https://www.ocf.berkeley.edu/~pkmendez/envsci/projects/2023final/SuarezC_2023.pdf</v>
      </c>
      <c r="J129" s="1" t="str">
        <f t="shared" si="1"/>
        <v>https://www.ocf.berkeley.edu/~pkmendez/envsci/projects/2023final/SuarezC_2023.pdf</v>
      </c>
      <c r="K129" s="2" t="str" cm="1">
        <f t="array" ref="K129:O129">_xlfn.TAKE(TRIM(_xlfn.TEXTSPLIT(F129,{",",";"})),,5)</f>
        <v>environmental awareness</v>
      </c>
      <c r="L129" s="2" t="str">
        <v>interactive exhibits</v>
      </c>
      <c r="M129" s="2" t="str">
        <v>visitor engagement</v>
      </c>
      <c r="N129" s="2" t="str">
        <v>science museums</v>
      </c>
      <c r="O129" s="2" t="str">
        <v>informal learning</v>
      </c>
      <c r="P129" s="2" t="s">
        <v>9</v>
      </c>
      <c r="Q129" s="2" t="s">
        <v>10</v>
      </c>
    </row>
    <row r="130" spans="1:17" x14ac:dyDescent="0.35">
      <c r="A130" s="2" t="s">
        <v>5884</v>
      </c>
      <c r="B130" s="2" t="s">
        <v>646</v>
      </c>
      <c r="C130" s="2" t="s">
        <v>647</v>
      </c>
      <c r="D130" s="2">
        <v>2023</v>
      </c>
      <c r="E130" s="2" t="s">
        <v>648</v>
      </c>
      <c r="F130" s="2" t="s">
        <v>649</v>
      </c>
      <c r="G130" s="2" t="s">
        <v>650</v>
      </c>
      <c r="H130" s="2" t="s">
        <v>441</v>
      </c>
      <c r="I130" s="2" t="str" cm="1">
        <f t="array" ref="I130">H130 &amp; _xlfn.REGEXEXTRACT(G130,"^[^_]+_\d{4}") &amp; ".pdf"</f>
        <v>https://www.ocf.berkeley.edu/~pkmendez/envsci/projects/2023final/SunY_2023.pdf</v>
      </c>
      <c r="J130" s="1" t="str">
        <f t="shared" si="1"/>
        <v>https://www.ocf.berkeley.edu/~pkmendez/envsci/projects/2023final/SunY_2023.pdf</v>
      </c>
      <c r="K130" s="2" t="str" cm="1">
        <f t="array" ref="K130:O130">_xlfn.TAKE(TRIM(_xlfn.TEXTSPLIT(F130,{",",";"})),,5)</f>
        <v>Forest Carbon Offset</v>
      </c>
      <c r="L130" s="2" t="str">
        <v>Nature-based Solutions</v>
      </c>
      <c r="M130" s="2" t="str">
        <v>Normalized Difference Vegetation Index (NDVI)</v>
      </c>
      <c r="N130" s="2" t="str">
        <v>Linear Regression</v>
      </c>
      <c r="O130" s="2" t="str">
        <v>Smoothing Function</v>
      </c>
      <c r="P130" s="2" t="s">
        <v>9</v>
      </c>
      <c r="Q130" s="2" t="s">
        <v>10</v>
      </c>
    </row>
    <row r="131" spans="1:17" x14ac:dyDescent="0.35">
      <c r="A131" s="2" t="s">
        <v>5884</v>
      </c>
      <c r="B131" s="2" t="s">
        <v>651</v>
      </c>
      <c r="C131" s="2" t="s">
        <v>652</v>
      </c>
      <c r="D131" s="2">
        <v>2023</v>
      </c>
      <c r="E131" s="2" t="s">
        <v>653</v>
      </c>
      <c r="F131" s="2" t="s">
        <v>654</v>
      </c>
      <c r="G131" s="2" t="s">
        <v>655</v>
      </c>
      <c r="H131" s="2" t="s">
        <v>441</v>
      </c>
      <c r="I131" s="2" t="str" cm="1">
        <f t="array" ref="I131">H131 &amp; _xlfn.REGEXEXTRACT(G131,"^[^_]+_\d{4}") &amp; ".pdf"</f>
        <v>https://www.ocf.berkeley.edu/~pkmendez/envsci/projects/2023final/SwattS_2023.pdf</v>
      </c>
      <c r="J131" s="1" t="str">
        <f t="shared" ref="J131:J194" si="2">HYPERLINK(I131, I131)</f>
        <v>https://www.ocf.berkeley.edu/~pkmendez/envsci/projects/2023final/SwattS_2023.pdf</v>
      </c>
      <c r="K131" s="2" t="str" cm="1">
        <f t="array" ref="K131:O131">_xlfn.TAKE(TRIM(_xlfn.TEXTSPLIT(F131,{",",";"})),,5)</f>
        <v>ecological time-series</v>
      </c>
      <c r="L131" s="2" t="str">
        <v>information theory</v>
      </c>
      <c r="M131" s="2" t="str">
        <v>eddy covariance</v>
      </c>
      <c r="N131" s="2" t="str">
        <v>tidal wetland</v>
      </c>
      <c r="O131" s="2" t="str">
        <v>biophysical controls</v>
      </c>
      <c r="P131" s="2" t="s">
        <v>9</v>
      </c>
      <c r="Q131" s="2" t="s">
        <v>10</v>
      </c>
    </row>
    <row r="132" spans="1:17" x14ac:dyDescent="0.35">
      <c r="A132" s="2" t="s">
        <v>5884</v>
      </c>
      <c r="B132" s="2" t="s">
        <v>656</v>
      </c>
      <c r="C132" s="2" t="s">
        <v>657</v>
      </c>
      <c r="D132" s="2">
        <v>2023</v>
      </c>
      <c r="E132" s="2" t="s">
        <v>658</v>
      </c>
      <c r="F132" s="2" t="s">
        <v>659</v>
      </c>
      <c r="G132" s="2" t="s">
        <v>660</v>
      </c>
      <c r="H132" s="2" t="s">
        <v>441</v>
      </c>
      <c r="I132" s="2" t="str" cm="1">
        <f t="array" ref="I132">H132 &amp; _xlfn.REGEXEXTRACT(G132,"^[^_]+_\d{4}") &amp; ".pdf"</f>
        <v>https://www.ocf.berkeley.edu/~pkmendez/envsci/projects/2023final/SyH_2023.pdf</v>
      </c>
      <c r="J132" s="1" t="str">
        <f t="shared" si="2"/>
        <v>https://www.ocf.berkeley.edu/~pkmendez/envsci/projects/2023final/SyH_2023.pdf</v>
      </c>
      <c r="K132" s="2" t="str" cm="1">
        <f t="array" ref="K132:O132">_xlfn.TAKE(TRIM(_xlfn.TEXTSPLIT(F132,{",",";"})),,5)</f>
        <v>education</v>
      </c>
      <c r="L132" s="2" t="str">
        <v>environmental planning</v>
      </c>
      <c r="M132" s="2" t="str">
        <v>landscape</v>
      </c>
      <c r="N132" s="2" t="str">
        <v>children</v>
      </c>
      <c r="O132" s="2" t="str">
        <v>elementary school</v>
      </c>
      <c r="P132" s="2" t="s">
        <v>9</v>
      </c>
      <c r="Q132" s="2" t="s">
        <v>10</v>
      </c>
    </row>
    <row r="133" spans="1:17" x14ac:dyDescent="0.35">
      <c r="A133" s="2" t="s">
        <v>5884</v>
      </c>
      <c r="B133" s="2" t="s">
        <v>661</v>
      </c>
      <c r="C133" s="2" t="s">
        <v>662</v>
      </c>
      <c r="D133" s="2">
        <v>2023</v>
      </c>
      <c r="E133" s="2" t="s">
        <v>663</v>
      </c>
      <c r="F133" s="2" t="s">
        <v>664</v>
      </c>
      <c r="G133" s="2" t="s">
        <v>665</v>
      </c>
      <c r="H133" s="2" t="s">
        <v>441</v>
      </c>
      <c r="I133" s="2" t="str" cm="1">
        <f t="array" ref="I133">H133 &amp; _xlfn.REGEXEXTRACT(G133,"^[^_]+_\d{4}") &amp; ".pdf"</f>
        <v>https://www.ocf.berkeley.edu/~pkmendez/envsci/projects/2023final/TeterC_2023.pdf</v>
      </c>
      <c r="J133" s="1" t="str">
        <f t="shared" si="2"/>
        <v>https://www.ocf.berkeley.edu/~pkmendez/envsci/projects/2023final/TeterC_2023.pdf</v>
      </c>
      <c r="K133" s="2" t="str" cm="1">
        <f t="array" ref="K133:O133">_xlfn.TAKE(TRIM(_xlfn.TEXTSPLIT(F133,{",",";"})),,5)</f>
        <v>Benthic macroinvertebrates</v>
      </c>
      <c r="L133" s="2" t="str">
        <v>pollution</v>
      </c>
      <c r="M133" s="2" t="str">
        <v>riparian ecosystems</v>
      </c>
      <c r="N133" s="2" t="str">
        <v>campgrounds</v>
      </c>
      <c r="O133" s="2" t="str">
        <v>biomonitoring</v>
      </c>
      <c r="P133" s="2" t="s">
        <v>9</v>
      </c>
      <c r="Q133" s="2" t="s">
        <v>10</v>
      </c>
    </row>
    <row r="134" spans="1:17" x14ac:dyDescent="0.35">
      <c r="A134" s="2" t="s">
        <v>5884</v>
      </c>
      <c r="B134" s="2" t="s">
        <v>666</v>
      </c>
      <c r="C134" s="2" t="s">
        <v>667</v>
      </c>
      <c r="D134" s="2">
        <v>2023</v>
      </c>
      <c r="E134" s="2" t="s">
        <v>668</v>
      </c>
      <c r="F134" s="2" t="s">
        <v>669</v>
      </c>
      <c r="G134" s="2" t="s">
        <v>670</v>
      </c>
      <c r="H134" s="2" t="s">
        <v>441</v>
      </c>
      <c r="I134" s="2" t="str" cm="1">
        <f t="array" ref="I134">H134 &amp; _xlfn.REGEXEXTRACT(G134,"^[^_]+_\d{4}") &amp; ".pdf"</f>
        <v>https://www.ocf.berkeley.edu/~pkmendez/envsci/projects/2023final/TrishaS_2023.pdf</v>
      </c>
      <c r="J134" s="1" t="str">
        <f t="shared" si="2"/>
        <v>https://www.ocf.berkeley.edu/~pkmendez/envsci/projects/2023final/TrishaS_2023.pdf</v>
      </c>
      <c r="K134" s="2" t="str" cm="1">
        <f t="array" ref="K134:O134">_xlfn.TAKE(TRIM(_xlfn.TEXTSPLIT(F134,{",",";"})),,5)</f>
        <v>Groundwater-induced land subsidence</v>
      </c>
      <c r="L134" s="2" t="str">
        <v>environmental flows</v>
      </c>
      <c r="M134" s="2" t="str">
        <v>digital elevation model (DEM)</v>
      </c>
      <c r="N134" s="2" t="str">
        <v>two-stage membrane filtration system</v>
      </c>
      <c r="O134" s="2" t="str">
        <v>dissolved oxygen (DO)</v>
      </c>
      <c r="P134" s="2" t="s">
        <v>9</v>
      </c>
      <c r="Q134" s="2" t="s">
        <v>10</v>
      </c>
    </row>
    <row r="135" spans="1:17" x14ac:dyDescent="0.35">
      <c r="A135" s="2" t="s">
        <v>5884</v>
      </c>
      <c r="B135" s="2" t="s">
        <v>671</v>
      </c>
      <c r="C135" s="2" t="s">
        <v>672</v>
      </c>
      <c r="D135" s="2">
        <v>2023</v>
      </c>
      <c r="E135" s="2" t="s">
        <v>673</v>
      </c>
      <c r="F135" s="2" t="s">
        <v>674</v>
      </c>
      <c r="G135" s="2" t="s">
        <v>675</v>
      </c>
      <c r="H135" s="2" t="s">
        <v>441</v>
      </c>
      <c r="I135" s="2" t="str" cm="1">
        <f t="array" ref="I135">H135 &amp; _xlfn.REGEXEXTRACT(G135,"^[^_]+_\d{4}") &amp; ".pdf"</f>
        <v>https://www.ocf.berkeley.edu/~pkmendez/envsci/projects/2023final/TrutaneR_2023.pdf</v>
      </c>
      <c r="J135" s="1" t="str">
        <f t="shared" si="2"/>
        <v>https://www.ocf.berkeley.edu/~pkmendez/envsci/projects/2023final/TrutaneR_2023.pdf</v>
      </c>
      <c r="K135" s="2" t="str" cm="1">
        <f t="array" ref="K135:O135">_xlfn.TAKE(TRIM(_xlfn.TEXTSPLIT(F135,{",",";"})),,5)</f>
        <v>Intermediate Disturbance Hypothesis (IDH)</v>
      </c>
      <c r="L135" s="2" t="str">
        <v>field heterogeneity</v>
      </c>
      <c r="M135" s="2" t="str">
        <v>grassland management</v>
      </c>
      <c r="N135" s="2" t="str">
        <v>NMDS</v>
      </c>
      <c r="O135" s="2" t="str">
        <v>paired study</v>
      </c>
      <c r="P135" s="2" t="s">
        <v>9</v>
      </c>
      <c r="Q135" s="2" t="s">
        <v>10</v>
      </c>
    </row>
    <row r="136" spans="1:17" x14ac:dyDescent="0.35">
      <c r="A136" s="2" t="s">
        <v>5884</v>
      </c>
      <c r="B136" s="2" t="s">
        <v>676</v>
      </c>
      <c r="C136" s="2" t="s">
        <v>677</v>
      </c>
      <c r="D136" s="2">
        <v>2023</v>
      </c>
      <c r="E136" s="2" t="s">
        <v>678</v>
      </c>
      <c r="F136" s="2" t="s">
        <v>679</v>
      </c>
      <c r="G136" s="2" t="s">
        <v>680</v>
      </c>
      <c r="H136" s="2" t="s">
        <v>441</v>
      </c>
      <c r="I136" s="2" t="str" cm="1">
        <f t="array" ref="I136">H136 &amp; _xlfn.REGEXEXTRACT(G136,"^[^_]+_\d{4}") &amp; ".pdf"</f>
        <v>https://www.ocf.berkeley.edu/~pkmendez/envsci/projects/2023final/VargasL_2023.pdf</v>
      </c>
      <c r="J136" s="1" t="str">
        <f t="shared" si="2"/>
        <v>https://www.ocf.berkeley.edu/~pkmendez/envsci/projects/2023final/VargasL_2023.pdf</v>
      </c>
      <c r="K136" s="2" t="str" cm="1">
        <f t="array" ref="K136:O136">_xlfn.TAKE(TRIM(_xlfn.TEXTSPLIT(F136,{",",";"})),,5)</f>
        <v>greenhouse gasses</v>
      </c>
      <c r="L136" s="2" t="str">
        <v>coastal wetlands</v>
      </c>
      <c r="M136" s="2" t="str">
        <v>pH</v>
      </c>
      <c r="N136" s="2" t="str">
        <v>denitrification</v>
      </c>
      <c r="O136" s="2" t="str">
        <v>carbon sequestration</v>
      </c>
      <c r="P136" s="2" t="s">
        <v>9</v>
      </c>
      <c r="Q136" s="2" t="s">
        <v>10</v>
      </c>
    </row>
    <row r="137" spans="1:17" x14ac:dyDescent="0.35">
      <c r="A137" s="2" t="s">
        <v>5884</v>
      </c>
      <c r="B137" s="2" t="s">
        <v>681</v>
      </c>
      <c r="C137" s="2" t="s">
        <v>682</v>
      </c>
      <c r="D137" s="2">
        <v>2023</v>
      </c>
      <c r="E137" s="2" t="s">
        <v>683</v>
      </c>
      <c r="F137" s="2" t="s">
        <v>684</v>
      </c>
      <c r="G137" s="2" t="s">
        <v>685</v>
      </c>
      <c r="H137" s="2" t="s">
        <v>441</v>
      </c>
      <c r="I137" s="2" t="str" cm="1">
        <f t="array" ref="I137">H137 &amp; _xlfn.REGEXEXTRACT(G137,"^[^_]+_\d{4}") &amp; ".pdf"</f>
        <v>https://www.ocf.berkeley.edu/~pkmendez/envsci/projects/2023final/VenkateshP_2023.pdf</v>
      </c>
      <c r="J137" s="1" t="str">
        <f t="shared" si="2"/>
        <v>https://www.ocf.berkeley.edu/~pkmendez/envsci/projects/2023final/VenkateshP_2023.pdf</v>
      </c>
      <c r="K137" s="2" t="str" cm="1">
        <f t="array" ref="K137:O137">_xlfn.TAKE(TRIM(_xlfn.TEXTSPLIT(F137,{",",";"})),,5)</f>
        <v>stormwater management</v>
      </c>
      <c r="L137" s="2" t="str">
        <v>urban floods</v>
      </c>
      <c r="M137" s="2" t="str">
        <v>wetland loss</v>
      </c>
      <c r="N137" s="2" t="str">
        <v>concrete</v>
      </c>
      <c r="O137" s="2" t="str">
        <v>environmental engineering</v>
      </c>
      <c r="P137" s="2" t="s">
        <v>9</v>
      </c>
      <c r="Q137" s="2" t="s">
        <v>10</v>
      </c>
    </row>
    <row r="138" spans="1:17" x14ac:dyDescent="0.35">
      <c r="A138" s="2" t="s">
        <v>5884</v>
      </c>
      <c r="B138" s="2" t="s">
        <v>686</v>
      </c>
      <c r="C138" s="2" t="s">
        <v>687</v>
      </c>
      <c r="D138" s="2">
        <v>2023</v>
      </c>
      <c r="E138" s="2" t="s">
        <v>688</v>
      </c>
      <c r="F138" s="2" t="s">
        <v>689</v>
      </c>
      <c r="G138" s="2" t="s">
        <v>690</v>
      </c>
      <c r="H138" s="2" t="s">
        <v>441</v>
      </c>
      <c r="I138" s="2" t="str" cm="1">
        <f t="array" ref="I138">H138 &amp; _xlfn.REGEXEXTRACT(G138,"^[^_]+_\d{4}") &amp; ".pdf"</f>
        <v>https://www.ocf.berkeley.edu/~pkmendez/envsci/projects/2023final/Verduzco-VillanuevaX_2023.pdf</v>
      </c>
      <c r="J138" s="1" t="str">
        <f t="shared" si="2"/>
        <v>https://www.ocf.berkeley.edu/~pkmendez/envsci/projects/2023final/Verduzco-VillanuevaX_2023.pdf</v>
      </c>
      <c r="K138" s="2" t="str" cm="1">
        <f t="array" ref="K138:O138">_xlfn.TAKE(TRIM(_xlfn.TEXTSPLIT(F138,{",",";"})),,5)</f>
        <v>Assembly Bill 617</v>
      </c>
      <c r="L138" s="2" t="str">
        <v>environmental justice</v>
      </c>
      <c r="M138" s="2" t="str">
        <v>spatiotemporal trends</v>
      </c>
      <c r="N138" s="2" t="str">
        <v>black carbon</v>
      </c>
      <c r="O138" s="2" t="str">
        <v>ambient particulate matter (PM2.5)</v>
      </c>
      <c r="P138" s="2" t="s">
        <v>9</v>
      </c>
      <c r="Q138" s="2" t="s">
        <v>10</v>
      </c>
    </row>
    <row r="139" spans="1:17" x14ac:dyDescent="0.35">
      <c r="A139" s="2" t="s">
        <v>5884</v>
      </c>
      <c r="B139" s="2" t="s">
        <v>691</v>
      </c>
      <c r="C139" s="2" t="s">
        <v>692</v>
      </c>
      <c r="D139" s="2">
        <v>2023</v>
      </c>
      <c r="E139" s="2" t="s">
        <v>693</v>
      </c>
      <c r="F139" s="2" t="s">
        <v>694</v>
      </c>
      <c r="G139" s="2" t="s">
        <v>695</v>
      </c>
      <c r="H139" s="2" t="s">
        <v>441</v>
      </c>
      <c r="I139" s="2" t="str" cm="1">
        <f t="array" ref="I139">H139 &amp; _xlfn.REGEXEXTRACT(G139,"^[^_]+_\d{4}") &amp; ".pdf"</f>
        <v>https://www.ocf.berkeley.edu/~pkmendez/envsci/projects/2023final/VillaromanA_2023.pdf</v>
      </c>
      <c r="J139" s="1" t="str">
        <f t="shared" si="2"/>
        <v>https://www.ocf.berkeley.edu/~pkmendez/envsci/projects/2023final/VillaromanA_2023.pdf</v>
      </c>
      <c r="K139" s="2" t="str" cm="1">
        <f t="array" ref="K139:O139">_xlfn.TAKE(TRIM(_xlfn.TEXTSPLIT(F139,{",",";"})),,5)</f>
        <v>Direct potable water</v>
      </c>
      <c r="L139" s="2" t="str">
        <v>recycled water</v>
      </c>
      <c r="M139" s="2" t="str">
        <v>water reclamation</v>
      </c>
      <c r="N139" s="2" t="str">
        <v>water conservation</v>
      </c>
      <c r="O139" s="2" t="str">
        <v>public opposition</v>
      </c>
      <c r="P139" s="2" t="s">
        <v>9</v>
      </c>
      <c r="Q139" s="2" t="s">
        <v>10</v>
      </c>
    </row>
    <row r="140" spans="1:17" x14ac:dyDescent="0.35">
      <c r="A140" s="2" t="s">
        <v>5884</v>
      </c>
      <c r="B140" s="2" t="s">
        <v>696</v>
      </c>
      <c r="C140" s="2" t="s">
        <v>697</v>
      </c>
      <c r="D140" s="2">
        <v>2023</v>
      </c>
      <c r="E140" s="2" t="s">
        <v>698</v>
      </c>
      <c r="F140" s="2" t="s">
        <v>699</v>
      </c>
      <c r="G140" s="2" t="s">
        <v>700</v>
      </c>
      <c r="H140" s="2" t="s">
        <v>441</v>
      </c>
      <c r="I140" s="2" t="str" cm="1">
        <f t="array" ref="I140">H140 &amp; _xlfn.REGEXEXTRACT(G140,"^[^_]+_\d{4}") &amp; ".pdf"</f>
        <v>https://www.ocf.berkeley.edu/~pkmendez/envsci/projects/2023final/WongA_2023.pdf</v>
      </c>
      <c r="J140" s="1" t="str">
        <f t="shared" si="2"/>
        <v>https://www.ocf.berkeley.edu/~pkmendez/envsci/projects/2023final/WongA_2023.pdf</v>
      </c>
      <c r="K140" s="2" t="str" cm="1">
        <f t="array" ref="K140:O140">_xlfn.TAKE(TRIM(_xlfn.TEXTSPLIT(F140,{",",";"})),,5)</f>
        <v>PLA (Polylactic Acid)</v>
      </c>
      <c r="L140" s="2" t="str">
        <v>Petroleum Plastic</v>
      </c>
      <c r="M140" s="2" t="str">
        <v>LCA (Life Cycle Assessment)</v>
      </c>
      <c r="N140" s="2" t="str">
        <v>Bioplastic</v>
      </c>
      <c r="O140" s="2" t="str">
        <v>Circular Economy</v>
      </c>
      <c r="P140" s="2" t="s">
        <v>9</v>
      </c>
      <c r="Q140" s="2" t="s">
        <v>10</v>
      </c>
    </row>
    <row r="141" spans="1:17" x14ac:dyDescent="0.35">
      <c r="A141" s="2" t="s">
        <v>5884</v>
      </c>
      <c r="B141" s="2" t="s">
        <v>701</v>
      </c>
      <c r="C141" s="2" t="s">
        <v>702</v>
      </c>
      <c r="D141" s="2">
        <v>2023</v>
      </c>
      <c r="E141" s="2" t="s">
        <v>703</v>
      </c>
      <c r="F141" s="2" t="s">
        <v>704</v>
      </c>
      <c r="G141" s="2" t="s">
        <v>705</v>
      </c>
      <c r="H141" s="2" t="s">
        <v>441</v>
      </c>
      <c r="I141" s="2" t="str" cm="1">
        <f t="array" ref="I141">H141 &amp; _xlfn.REGEXEXTRACT(G141,"^[^_]+_\d{4}") &amp; ".pdf"</f>
        <v>https://www.ocf.berkeley.edu/~pkmendez/envsci/projects/2023final/WongC_2023.pdf</v>
      </c>
      <c r="J141" s="1" t="str">
        <f t="shared" si="2"/>
        <v>https://www.ocf.berkeley.edu/~pkmendez/envsci/projects/2023final/WongC_2023.pdf</v>
      </c>
      <c r="K141" s="2" t="str" cm="1">
        <f t="array" ref="K141:O141">_xlfn.TAKE(TRIM(_xlfn.TEXTSPLIT(F141,{",",";"})),,5)</f>
        <v>California growers</v>
      </c>
      <c r="L141" s="2" t="str">
        <v>Precision agriculture</v>
      </c>
      <c r="M141" s="2" t="str">
        <v>Technology diffusion</v>
      </c>
      <c r="N141" s="2" t="str">
        <v>Cognitive mapping</v>
      </c>
      <c r="O141" s="2" t="str">
        <v>Agricultural technology</v>
      </c>
      <c r="P141" s="2" t="s">
        <v>9</v>
      </c>
      <c r="Q141" s="2" t="s">
        <v>10</v>
      </c>
    </row>
    <row r="142" spans="1:17" x14ac:dyDescent="0.35">
      <c r="A142" s="2" t="s">
        <v>5884</v>
      </c>
      <c r="B142" s="2" t="s">
        <v>706</v>
      </c>
      <c r="C142" s="2" t="s">
        <v>707</v>
      </c>
      <c r="D142" s="2">
        <v>2023</v>
      </c>
      <c r="E142" s="2" t="s">
        <v>708</v>
      </c>
      <c r="F142" s="2" t="s">
        <v>709</v>
      </c>
      <c r="G142" s="2" t="s">
        <v>710</v>
      </c>
      <c r="H142" s="2" t="s">
        <v>441</v>
      </c>
      <c r="I142" s="2" t="str" cm="1">
        <f t="array" ref="I142">H142 &amp; _xlfn.REGEXEXTRACT(G142,"^[^_]+_\d{4}") &amp; ".pdf"</f>
        <v>https://www.ocf.berkeley.edu/~pkmendez/envsci/projects/2023final/YakutisE_2023.pdf</v>
      </c>
      <c r="J142" s="1" t="str">
        <f t="shared" si="2"/>
        <v>https://www.ocf.berkeley.edu/~pkmendez/envsci/projects/2023final/YakutisE_2023.pdf</v>
      </c>
      <c r="K142" s="2" t="str" cm="1">
        <f t="array" ref="K142:O142">_xlfn.TAKE(TRIM(_xlfn.TEXTSPLIT(F142,{",",";"})),,5)</f>
        <v>Hantavirus</v>
      </c>
      <c r="L142" s="2" t="str">
        <v>climate</v>
      </c>
      <c r="M142" s="2" t="str">
        <v>viral zoonosis</v>
      </c>
      <c r="N142" s="2" t="str">
        <v>disease ecology</v>
      </c>
      <c r="O142" s="2" t="str">
        <v>epidemiology</v>
      </c>
      <c r="P142" s="2" t="s">
        <v>9</v>
      </c>
      <c r="Q142" s="2" t="s">
        <v>10</v>
      </c>
    </row>
    <row r="143" spans="1:17" x14ac:dyDescent="0.35">
      <c r="A143" s="2" t="s">
        <v>5884</v>
      </c>
      <c r="B143" s="2" t="s">
        <v>711</v>
      </c>
      <c r="C143" s="2" t="s">
        <v>712</v>
      </c>
      <c r="D143" s="2">
        <v>2023</v>
      </c>
      <c r="E143" s="2" t="s">
        <v>713</v>
      </c>
      <c r="F143" s="2" t="s">
        <v>714</v>
      </c>
      <c r="G143" s="2" t="s">
        <v>715</v>
      </c>
      <c r="H143" s="2" t="s">
        <v>441</v>
      </c>
      <c r="I143" s="2" t="str" cm="1">
        <f t="array" ref="I143">H143 &amp; _xlfn.REGEXEXTRACT(G143,"^[^_]+_\d{4}") &amp; ".pdf"</f>
        <v>https://www.ocf.berkeley.edu/~pkmendez/envsci/projects/2023final/YangY_2023.pdf</v>
      </c>
      <c r="J143" s="1" t="str">
        <f t="shared" si="2"/>
        <v>https://www.ocf.berkeley.edu/~pkmendez/envsci/projects/2023final/YangY_2023.pdf</v>
      </c>
      <c r="K143" s="2" t="str" cm="1">
        <f t="array" ref="K143:O143">_xlfn.TAKE(TRIM(_xlfn.TEXTSPLIT(F143,{",",";"})),,5)</f>
        <v>Sorghum transformation</v>
      </c>
      <c r="L143" s="2" t="str">
        <v>morphogenic genes</v>
      </c>
      <c r="M143" s="2" t="str">
        <v>Baby boom</v>
      </c>
      <c r="N143" s="2" t="str">
        <v>Wuschel2</v>
      </c>
      <c r="O143" s="2" t="str">
        <v>ethametsulfuron</v>
      </c>
      <c r="P143" s="2" t="s">
        <v>9</v>
      </c>
      <c r="Q143" s="2" t="s">
        <v>10</v>
      </c>
    </row>
    <row r="144" spans="1:17" x14ac:dyDescent="0.35">
      <c r="A144" s="2" t="s">
        <v>5884</v>
      </c>
      <c r="B144" s="2" t="s">
        <v>716</v>
      </c>
      <c r="C144" s="2" t="s">
        <v>717</v>
      </c>
      <c r="D144" s="2">
        <v>2023</v>
      </c>
      <c r="E144" s="2" t="s">
        <v>718</v>
      </c>
      <c r="F144" s="2" t="s">
        <v>719</v>
      </c>
      <c r="G144" s="2" t="s">
        <v>720</v>
      </c>
      <c r="H144" s="2" t="s">
        <v>441</v>
      </c>
      <c r="I144" s="2" t="str" cm="1">
        <f t="array" ref="I144">H144 &amp; _xlfn.REGEXEXTRACT(G144,"^[^_]+_\d{4}") &amp; ".pdf"</f>
        <v>https://www.ocf.berkeley.edu/~pkmendez/envsci/projects/2023final/YeJ_2023.pdf</v>
      </c>
      <c r="J144" s="1" t="str">
        <f t="shared" si="2"/>
        <v>https://www.ocf.berkeley.edu/~pkmendez/envsci/projects/2023final/YeJ_2023.pdf</v>
      </c>
      <c r="K144" s="2" t="str" cm="1">
        <f t="array" ref="K144:O144">_xlfn.TAKE(TRIM(_xlfn.TEXTSPLIT(F144,{",",";"})),,5)</f>
        <v>Low-moderate income (LMI)</v>
      </c>
      <c r="L144" s="2" t="str">
        <v>energy policy</v>
      </c>
      <c r="M144" s="2" t="str">
        <v>energy burden</v>
      </c>
      <c r="N144" s="2" t="str">
        <v>public utilities commision</v>
      </c>
      <c r="O144" s="2" t="str">
        <v>shared solar</v>
      </c>
      <c r="P144" s="2" t="s">
        <v>9</v>
      </c>
      <c r="Q144" s="2" t="s">
        <v>10</v>
      </c>
    </row>
    <row r="145" spans="1:17" x14ac:dyDescent="0.35">
      <c r="A145" s="2" t="s">
        <v>5884</v>
      </c>
      <c r="B145" s="2" t="s">
        <v>721</v>
      </c>
      <c r="C145" s="2" t="s">
        <v>722</v>
      </c>
      <c r="D145" s="2">
        <v>2023</v>
      </c>
      <c r="E145" s="2" t="s">
        <v>723</v>
      </c>
      <c r="F145" s="2" t="s">
        <v>724</v>
      </c>
      <c r="G145" s="2" t="s">
        <v>725</v>
      </c>
      <c r="H145" s="2" t="s">
        <v>441</v>
      </c>
      <c r="I145" s="2" t="str" cm="1">
        <f t="array" ref="I145">H145 &amp; _xlfn.REGEXEXTRACT(G145,"^[^_]+_\d{4}") &amp; ".pdf"</f>
        <v>https://www.ocf.berkeley.edu/~pkmendez/envsci/projects/2023final/YipA_2023.pdf</v>
      </c>
      <c r="J145" s="1" t="str">
        <f t="shared" si="2"/>
        <v>https://www.ocf.berkeley.edu/~pkmendez/envsci/projects/2023final/YipA_2023.pdf</v>
      </c>
      <c r="K145" s="2" t="str" cm="1">
        <f t="array" ref="K145:O145">_xlfn.TAKE(TRIM(_xlfn.TEXTSPLIT(F145,{",",";"})),,5)</f>
        <v>Food justice</v>
      </c>
      <c r="L145" s="2" t="str">
        <v>decolonizing food systems</v>
      </c>
      <c r="M145" s="2" t="str">
        <v>food politics</v>
      </c>
      <c r="N145" s="2" t="str">
        <v>sustainability in Asia</v>
      </c>
      <c r="O145" s="2" t="str">
        <v>green finance</v>
      </c>
      <c r="P145" s="2" t="s">
        <v>9</v>
      </c>
      <c r="Q145" s="2" t="s">
        <v>10</v>
      </c>
    </row>
    <row r="146" spans="1:17" x14ac:dyDescent="0.35">
      <c r="A146" s="2" t="s">
        <v>5884</v>
      </c>
      <c r="B146" s="2" t="s">
        <v>726</v>
      </c>
      <c r="C146" s="2" t="s">
        <v>727</v>
      </c>
      <c r="D146" s="2">
        <v>2023</v>
      </c>
      <c r="E146" s="2" t="s">
        <v>728</v>
      </c>
      <c r="F146" s="2" t="s">
        <v>729</v>
      </c>
      <c r="G146" s="2" t="s">
        <v>730</v>
      </c>
      <c r="H146" s="2" t="s">
        <v>441</v>
      </c>
      <c r="I146" s="2" t="str" cm="1">
        <f t="array" ref="I146">H146 &amp; _xlfn.REGEXEXTRACT(G146,"^[^_]+_\d{4}") &amp; ".pdf"</f>
        <v>https://www.ocf.berkeley.edu/~pkmendez/envsci/projects/2023final/ZhangS_2023.pdf</v>
      </c>
      <c r="J146" s="1" t="str">
        <f t="shared" si="2"/>
        <v>https://www.ocf.berkeley.edu/~pkmendez/envsci/projects/2023final/ZhangS_2023.pdf</v>
      </c>
      <c r="K146" s="2" t="str" cm="1">
        <f t="array" ref="K146:O146">_xlfn.TAKE(TRIM(_xlfn.TEXTSPLIT(F146,{",",";"})),,5)</f>
        <v>cryosphere</v>
      </c>
      <c r="L146" s="2" t="str">
        <v>seasonal snow</v>
      </c>
      <c r="M146" s="2" t="str">
        <v>sea ice dynamics</v>
      </c>
      <c r="N146" s="2" t="str">
        <v>melt pond</v>
      </c>
      <c r="O146" s="2" t="str">
        <v>remote sensing</v>
      </c>
      <c r="P146" s="2" t="s">
        <v>9</v>
      </c>
      <c r="Q146" s="2" t="s">
        <v>10</v>
      </c>
    </row>
    <row r="147" spans="1:17" x14ac:dyDescent="0.35">
      <c r="A147" s="2" t="s">
        <v>5884</v>
      </c>
      <c r="B147" s="2" t="s">
        <v>731</v>
      </c>
      <c r="C147" s="2" t="s">
        <v>732</v>
      </c>
      <c r="D147" s="2">
        <v>2022</v>
      </c>
      <c r="E147" s="2" t="s">
        <v>733</v>
      </c>
      <c r="F147" s="2" t="s">
        <v>734</v>
      </c>
      <c r="G147" s="2" t="s">
        <v>735</v>
      </c>
      <c r="H147" s="2" t="s">
        <v>441</v>
      </c>
      <c r="I147" s="2" t="str" cm="1">
        <f t="array" ref="I147">H147 &amp; _xlfn.REGEXEXTRACT(G147,"^[^_]+_\d{4}") &amp; ".pdf"</f>
        <v>https://www.ocf.berkeley.edu/~pkmendez/envsci/projects/2023final/ZhouT_2023.pdf</v>
      </c>
      <c r="J147" s="1" t="str">
        <f t="shared" si="2"/>
        <v>https://www.ocf.berkeley.edu/~pkmendez/envsci/projects/2023final/ZhouT_2023.pdf</v>
      </c>
      <c r="K147" s="2" t="str" cm="1">
        <f t="array" ref="K147:O147">_xlfn.TAKE(TRIM(_xlfn.TEXTSPLIT(F147,{",",";"})),,5)</f>
        <v>Greenhouse gas (GHG) emissions</v>
      </c>
      <c r="L147" s="2" t="str">
        <v>comparative analysis</v>
      </c>
      <c r="M147" s="2" t="str">
        <v>Porter Hypothesis</v>
      </c>
      <c r="N147" s="2" t="str">
        <v>environmental economics</v>
      </c>
      <c r="O147" s="2" t="str">
        <v>and environmental policies</v>
      </c>
      <c r="P147" s="2" t="s">
        <v>9</v>
      </c>
      <c r="Q147" s="2" t="s">
        <v>10</v>
      </c>
    </row>
    <row r="148" spans="1:17" x14ac:dyDescent="0.35">
      <c r="A148" s="2" t="s">
        <v>5884</v>
      </c>
      <c r="B148" s="2" t="s">
        <v>736</v>
      </c>
      <c r="C148" s="2" t="s">
        <v>737</v>
      </c>
      <c r="D148" s="2">
        <v>2022</v>
      </c>
      <c r="E148" s="2" t="s">
        <v>738</v>
      </c>
      <c r="F148" s="2" t="s">
        <v>739</v>
      </c>
      <c r="G148" s="2" t="s">
        <v>740</v>
      </c>
      <c r="H148" s="2" t="s">
        <v>741</v>
      </c>
      <c r="I148" s="2" t="str" cm="1">
        <f t="array" ref="I148">H148 &amp; _xlfn.REGEXEXTRACT(G148,"^[^_]+_\d{4}") &amp; ".pdf"</f>
        <v>https://www.ocf.berkeley.edu/~pkmendez/envsci/projects/2022final/AbrahaR_2022.pdf</v>
      </c>
      <c r="J148" s="1" t="str">
        <f t="shared" si="2"/>
        <v>https://www.ocf.berkeley.edu/~pkmendez/envsci/projects/2022final/AbrahaR_2022.pdf</v>
      </c>
      <c r="K148" s="2" t="str" cm="1">
        <f t="array" ref="K148:O148">_xlfn.TAKE(TRIM(_xlfn.TEXTSPLIT(F148,{",",";"})),,5)</f>
        <v>toxic waste</v>
      </c>
      <c r="L148" s="2" t="str">
        <v>segregation</v>
      </c>
      <c r="M148" s="2" t="str">
        <v>space</v>
      </c>
      <c r="N148" s="2" t="str">
        <v>GIS</v>
      </c>
      <c r="O148" s="2" t="str">
        <v>environmental justice</v>
      </c>
      <c r="P148" s="2" t="s">
        <v>9</v>
      </c>
      <c r="Q148" s="2" t="s">
        <v>10</v>
      </c>
    </row>
    <row r="149" spans="1:17" x14ac:dyDescent="0.35">
      <c r="A149" s="2" t="s">
        <v>5884</v>
      </c>
      <c r="B149" s="2" t="s">
        <v>742</v>
      </c>
      <c r="C149" s="2" t="s">
        <v>743</v>
      </c>
      <c r="D149" s="2">
        <v>2022</v>
      </c>
      <c r="E149" s="2" t="s">
        <v>744</v>
      </c>
      <c r="F149" s="2" t="s">
        <v>745</v>
      </c>
      <c r="G149" s="2" t="s">
        <v>746</v>
      </c>
      <c r="H149" s="2" t="s">
        <v>741</v>
      </c>
      <c r="I149" s="2" t="str" cm="1">
        <f t="array" ref="I149">H149 &amp; _xlfn.REGEXEXTRACT(G149,"^[^_]+_\d{4}") &amp; ".pdf"</f>
        <v>https://www.ocf.berkeley.edu/~pkmendez/envsci/projects/2022final/BatzJ_2022.pdf</v>
      </c>
      <c r="J149" s="1" t="str">
        <f t="shared" si="2"/>
        <v>https://www.ocf.berkeley.edu/~pkmendez/envsci/projects/2022final/BatzJ_2022.pdf</v>
      </c>
      <c r="K149" s="2" t="str" cm="1">
        <f t="array" ref="K149:O149">_xlfn.TAKE(TRIM(_xlfn.TEXTSPLIT(F149,{",",";"})),,5)</f>
        <v>Species</v>
      </c>
      <c r="L149" s="2" t="str">
        <v>ecosystem</v>
      </c>
      <c r="M149" s="2" t="str">
        <v>occurrence data</v>
      </c>
      <c r="N149" s="2" t="str">
        <v>urban ecology</v>
      </c>
      <c r="O149" s="2" t="str">
        <v>California Tiger Salamanders</v>
      </c>
      <c r="P149" s="2" t="s">
        <v>9</v>
      </c>
      <c r="Q149" s="2" t="s">
        <v>10</v>
      </c>
    </row>
    <row r="150" spans="1:17" x14ac:dyDescent="0.35">
      <c r="A150" s="2" t="s">
        <v>5884</v>
      </c>
      <c r="B150" s="2" t="s">
        <v>747</v>
      </c>
      <c r="C150" s="2" t="s">
        <v>748</v>
      </c>
      <c r="D150" s="2">
        <v>2022</v>
      </c>
      <c r="E150" s="2" t="s">
        <v>749</v>
      </c>
      <c r="F150" s="2" t="s">
        <v>750</v>
      </c>
      <c r="G150" s="2" t="s">
        <v>751</v>
      </c>
      <c r="H150" s="2" t="s">
        <v>741</v>
      </c>
      <c r="I150" s="2" t="str" cm="1">
        <f t="array" ref="I150">H150 &amp; _xlfn.REGEXEXTRACT(G150,"^[^_]+_\d{4}") &amp; ".pdf"</f>
        <v>https://www.ocf.berkeley.edu/~pkmendez/envsci/projects/2022final/BerndC_2022.pdf</v>
      </c>
      <c r="J150" s="1" t="str">
        <f t="shared" si="2"/>
        <v>https://www.ocf.berkeley.edu/~pkmendez/envsci/projects/2022final/BerndC_2022.pdf</v>
      </c>
      <c r="K150" s="2" t="str" cm="1">
        <f t="array" ref="K150:O150">_xlfn.TAKE(TRIM(_xlfn.TEXTSPLIT(F150,{",",";"})),,5)</f>
        <v>sympatry</v>
      </c>
      <c r="L150" s="2" t="str">
        <v>crater lake</v>
      </c>
      <c r="M150" s="2" t="str">
        <v>feeding niche</v>
      </c>
      <c r="N150" s="2" t="str">
        <v>linear regression</v>
      </c>
      <c r="O150" s="2" t="str">
        <v>allopatry</v>
      </c>
      <c r="P150" s="2" t="s">
        <v>9</v>
      </c>
      <c r="Q150" s="2" t="s">
        <v>10</v>
      </c>
    </row>
    <row r="151" spans="1:17" x14ac:dyDescent="0.35">
      <c r="A151" s="2" t="s">
        <v>5884</v>
      </c>
      <c r="B151" s="2" t="s">
        <v>752</v>
      </c>
      <c r="C151" s="2" t="s">
        <v>753</v>
      </c>
      <c r="D151" s="2">
        <v>2022</v>
      </c>
      <c r="E151" s="2" t="s">
        <v>754</v>
      </c>
      <c r="F151" s="2" t="s">
        <v>755</v>
      </c>
      <c r="G151" s="2" t="s">
        <v>756</v>
      </c>
      <c r="H151" s="2" t="s">
        <v>741</v>
      </c>
      <c r="I151" s="2" t="str" cm="1">
        <f t="array" ref="I151">H151 &amp; _xlfn.REGEXEXTRACT(G151,"^[^_]+_\d{4}") &amp; ".pdf"</f>
        <v>https://www.ocf.berkeley.edu/~pkmendez/envsci/projects/2022final/BettsB_2022.pdf</v>
      </c>
      <c r="J151" s="1" t="str">
        <f t="shared" si="2"/>
        <v>https://www.ocf.berkeley.edu/~pkmendez/envsci/projects/2022final/BettsB_2022.pdf</v>
      </c>
      <c r="K151" s="2" t="str" cm="1">
        <f t="array" ref="K151:O151">_xlfn.TAKE(TRIM(_xlfn.TEXTSPLIT(F151,{",",";"})),,5)</f>
        <v>environmental justice</v>
      </c>
      <c r="L151" s="2" t="str">
        <v>parks and recreation</v>
      </c>
      <c r="M151" s="2" t="str">
        <v>disproportionate access</v>
      </c>
      <c r="N151" s="2" t="str">
        <v>income inequality</v>
      </c>
      <c r="O151" s="2" t="str">
        <v>urban planning</v>
      </c>
      <c r="P151" s="2" t="s">
        <v>9</v>
      </c>
      <c r="Q151" s="2" t="s">
        <v>10</v>
      </c>
    </row>
    <row r="152" spans="1:17" x14ac:dyDescent="0.35">
      <c r="A152" s="2" t="s">
        <v>5884</v>
      </c>
      <c r="B152" s="2" t="s">
        <v>757</v>
      </c>
      <c r="C152" s="2" t="s">
        <v>758</v>
      </c>
      <c r="D152" s="2">
        <v>2022</v>
      </c>
      <c r="E152" s="2" t="s">
        <v>759</v>
      </c>
      <c r="F152" s="2" t="s">
        <v>760</v>
      </c>
      <c r="G152" s="2" t="s">
        <v>761</v>
      </c>
      <c r="H152" s="2" t="s">
        <v>741</v>
      </c>
      <c r="I152" s="2" t="str" cm="1">
        <f t="array" ref="I152">H152 &amp; _xlfn.REGEXEXTRACT(G152,"^[^_]+_\d{4}") &amp; ".pdf"</f>
        <v>https://www.ocf.berkeley.edu/~pkmendez/envsci/projects/2022final/BracamonteE_2022.pdf</v>
      </c>
      <c r="J152" s="1" t="str">
        <f t="shared" si="2"/>
        <v>https://www.ocf.berkeley.edu/~pkmendez/envsci/projects/2022final/BracamonteE_2022.pdf</v>
      </c>
      <c r="K152" s="2" t="str" cm="1">
        <f t="array" ref="K152:O152">_xlfn.TAKE(TRIM(_xlfn.TEXTSPLIT(F152,{",",";"})),,5)</f>
        <v>Particulate Matter (PM 2.5)</v>
      </c>
      <c r="L152" s="2" t="str">
        <v>Beijing 2008 Summer Olympics</v>
      </c>
      <c r="M152" s="2" t="str">
        <v>end license plate number</v>
      </c>
      <c r="N152" s="2" t="str">
        <v>U.S. Embassy</v>
      </c>
      <c r="O152" s="2" t="str">
        <v>environmental authoritarianism</v>
      </c>
      <c r="P152" s="2" t="s">
        <v>9</v>
      </c>
      <c r="Q152" s="2" t="s">
        <v>10</v>
      </c>
    </row>
    <row r="153" spans="1:17" x14ac:dyDescent="0.35">
      <c r="A153" s="2" t="s">
        <v>5884</v>
      </c>
      <c r="B153" s="2" t="s">
        <v>762</v>
      </c>
      <c r="C153" s="2" t="s">
        <v>763</v>
      </c>
      <c r="D153" s="2">
        <v>2022</v>
      </c>
      <c r="E153" s="2" t="s">
        <v>764</v>
      </c>
      <c r="F153" s="2" t="s">
        <v>765</v>
      </c>
      <c r="G153" s="2" t="s">
        <v>766</v>
      </c>
      <c r="H153" s="2" t="s">
        <v>741</v>
      </c>
      <c r="I153" s="2" t="str" cm="1">
        <f t="array" ref="I153">H153 &amp; _xlfn.REGEXEXTRACT(G153,"^[^_]+_\d{4}") &amp; ".pdf"</f>
        <v>https://www.ocf.berkeley.edu/~pkmendez/envsci/projects/2022final/BurkeE_2022.pdf</v>
      </c>
      <c r="J153" s="1" t="str">
        <f t="shared" si="2"/>
        <v>https://www.ocf.berkeley.edu/~pkmendez/envsci/projects/2022final/BurkeE_2022.pdf</v>
      </c>
      <c r="K153" s="2" t="str" cm="1">
        <f t="array" ref="K153:O153">_xlfn.TAKE(TRIM(_xlfn.TEXTSPLIT(F153,{",",";"})),,5)</f>
        <v>functional diversity</v>
      </c>
      <c r="L153" s="2" t="str">
        <v>species richness</v>
      </c>
      <c r="M153" s="2" t="str">
        <v>ecosystem resilience</v>
      </c>
      <c r="N153" s="2" t="str">
        <v>marine protected areas</v>
      </c>
      <c r="O153" s="2" t="str">
        <v>kelp forests</v>
      </c>
      <c r="P153" s="2" t="s">
        <v>9</v>
      </c>
      <c r="Q153" s="2" t="s">
        <v>10</v>
      </c>
    </row>
    <row r="154" spans="1:17" x14ac:dyDescent="0.35">
      <c r="A154" s="2" t="s">
        <v>5884</v>
      </c>
      <c r="B154" s="2" t="s">
        <v>767</v>
      </c>
      <c r="C154" s="2" t="s">
        <v>768</v>
      </c>
      <c r="D154" s="2">
        <v>2022</v>
      </c>
      <c r="E154" s="2" t="s">
        <v>769</v>
      </c>
      <c r="F154" s="2" t="s">
        <v>770</v>
      </c>
      <c r="G154" s="2" t="s">
        <v>771</v>
      </c>
      <c r="H154" s="2" t="s">
        <v>741</v>
      </c>
      <c r="I154" s="2" t="str" cm="1">
        <f t="array" ref="I154">H154 &amp; _xlfn.REGEXEXTRACT(G154,"^[^_]+_\d{4}") &amp; ".pdf"</f>
        <v>https://www.ocf.berkeley.edu/~pkmendez/envsci/projects/2022final/ChanZ_2022.pdf</v>
      </c>
      <c r="J154" s="1" t="str">
        <f t="shared" si="2"/>
        <v>https://www.ocf.berkeley.edu/~pkmendez/envsci/projects/2022final/ChanZ_2022.pdf</v>
      </c>
      <c r="K154" s="2" t="str" cm="1">
        <f t="array" ref="K154:O154">_xlfn.TAKE(TRIM(_xlfn.TEXTSPLIT(F154,{",",";"})),,5)</f>
        <v>environmental justice</v>
      </c>
      <c r="L154" s="2" t="str">
        <v>regional parks</v>
      </c>
      <c r="M154" s="2" t="str">
        <v>institutional organizations</v>
      </c>
      <c r="N154" s="2" t="str">
        <v>youth development</v>
      </c>
      <c r="O154" s="2" t="str">
        <v>outdoor recreation</v>
      </c>
      <c r="P154" s="2" t="s">
        <v>9</v>
      </c>
      <c r="Q154" s="2" t="s">
        <v>10</v>
      </c>
    </row>
    <row r="155" spans="1:17" x14ac:dyDescent="0.35">
      <c r="A155" s="2" t="s">
        <v>5884</v>
      </c>
      <c r="B155" s="2" t="s">
        <v>772</v>
      </c>
      <c r="C155" s="2" t="s">
        <v>773</v>
      </c>
      <c r="D155" s="2">
        <v>2022</v>
      </c>
      <c r="E155" s="2" t="s">
        <v>774</v>
      </c>
      <c r="F155" s="2" t="s">
        <v>775</v>
      </c>
      <c r="G155" s="2" t="s">
        <v>776</v>
      </c>
      <c r="H155" s="2" t="s">
        <v>741</v>
      </c>
      <c r="I155" s="2" t="str" cm="1">
        <f t="array" ref="I155">H155 &amp; _xlfn.REGEXEXTRACT(G155,"^[^_]+_\d{4}") &amp; ".pdf"</f>
        <v>https://www.ocf.berkeley.edu/~pkmendez/envsci/projects/2022final/ChowJ_2022.pdf</v>
      </c>
      <c r="J155" s="1" t="str">
        <f t="shared" si="2"/>
        <v>https://www.ocf.berkeley.edu/~pkmendez/envsci/projects/2022final/ChowJ_2022.pdf</v>
      </c>
      <c r="K155" s="2" t="str" cm="1">
        <f t="array" ref="K155:O155">_xlfn.TAKE(TRIM(_xlfn.TEXTSPLIT(F155,{",",";"})),,5)</f>
        <v>waste management</v>
      </c>
      <c r="L155" s="2" t="str">
        <v>policy analysis</v>
      </c>
      <c r="M155" s="2" t="str">
        <v>single-use plastics</v>
      </c>
      <c r="N155" s="2" t="str">
        <v>circular economy</v>
      </c>
      <c r="O155" s="2" t="str">
        <v>stewardship programs</v>
      </c>
      <c r="P155" s="2" t="s">
        <v>9</v>
      </c>
      <c r="Q155" s="2" t="s">
        <v>10</v>
      </c>
    </row>
    <row r="156" spans="1:17" x14ac:dyDescent="0.35">
      <c r="A156" s="2" t="s">
        <v>5884</v>
      </c>
      <c r="B156" s="2" t="s">
        <v>777</v>
      </c>
      <c r="C156" s="2" t="s">
        <v>778</v>
      </c>
      <c r="D156" s="2">
        <v>2022</v>
      </c>
      <c r="E156" s="2" t="s">
        <v>779</v>
      </c>
      <c r="F156" s="2" t="s">
        <v>780</v>
      </c>
      <c r="G156" s="2" t="s">
        <v>781</v>
      </c>
      <c r="H156" s="2" t="s">
        <v>741</v>
      </c>
      <c r="I156" s="2" t="str" cm="1">
        <f t="array" ref="I156">H156 &amp; _xlfn.REGEXEXTRACT(G156,"^[^_]+_\d{4}") &amp; ".pdf"</f>
        <v>https://www.ocf.berkeley.edu/~pkmendez/envsci/projects/2022final/ChristiansenJ_2022.pdf</v>
      </c>
      <c r="J156" s="1" t="str">
        <f t="shared" si="2"/>
        <v>https://www.ocf.berkeley.edu/~pkmendez/envsci/projects/2022final/ChristiansenJ_2022.pdf</v>
      </c>
      <c r="K156" s="2" t="str" cm="1">
        <f t="array" ref="K156:O156">_xlfn.TAKE(TRIM(_xlfn.TEXTSPLIT(F156,{",",";"})),,5)</f>
        <v>fire return interval</v>
      </c>
      <c r="L156" s="2" t="str">
        <v>mastication</v>
      </c>
      <c r="M156" s="2" t="str">
        <v>prescribed fire</v>
      </c>
      <c r="N156" s="2" t="str">
        <v>wildfire</v>
      </c>
      <c r="O156" s="2" t="str">
        <v>fire regime</v>
      </c>
      <c r="P156" s="2" t="s">
        <v>9</v>
      </c>
      <c r="Q156" s="2" t="s">
        <v>10</v>
      </c>
    </row>
    <row r="157" spans="1:17" x14ac:dyDescent="0.35">
      <c r="A157" s="2" t="s">
        <v>5884</v>
      </c>
      <c r="B157" s="2" t="s">
        <v>782</v>
      </c>
      <c r="C157" s="2" t="s">
        <v>783</v>
      </c>
      <c r="D157" s="2">
        <v>2022</v>
      </c>
      <c r="E157" s="2" t="s">
        <v>784</v>
      </c>
      <c r="F157" s="2" t="s">
        <v>785</v>
      </c>
      <c r="G157" s="2" t="s">
        <v>786</v>
      </c>
      <c r="H157" s="2" t="s">
        <v>741</v>
      </c>
      <c r="I157" s="2" t="str" cm="1">
        <f t="array" ref="I157">H157 &amp; _xlfn.REGEXEXTRACT(G157,"^[^_]+_\d{4}") &amp; ".pdf"</f>
        <v>https://www.ocf.berkeley.edu/~pkmendez/envsci/projects/2022final/CirauloI_2022.pdf</v>
      </c>
      <c r="J157" s="1" t="str">
        <f t="shared" si="2"/>
        <v>https://www.ocf.berkeley.edu/~pkmendez/envsci/projects/2022final/CirauloI_2022.pdf</v>
      </c>
      <c r="K157" s="2" t="str" cm="1">
        <f t="array" ref="K157:O157">_xlfn.TAKE(TRIM(_xlfn.TEXTSPLIT(F157,{",",";"})),,5)</f>
        <v>environmental justice</v>
      </c>
      <c r="L157" s="2" t="str">
        <v>education inequality</v>
      </c>
      <c r="M157" s="2" t="str">
        <v>Los Angeles</v>
      </c>
      <c r="N157" s="2" t="str">
        <v>geospatial information systems</v>
      </c>
      <c r="O157" s="2" t="str">
        <v>green space</v>
      </c>
      <c r="P157" s="2" t="s">
        <v>9</v>
      </c>
      <c r="Q157" s="2" t="s">
        <v>10</v>
      </c>
    </row>
    <row r="158" spans="1:17" x14ac:dyDescent="0.35">
      <c r="A158" s="2" t="s">
        <v>5884</v>
      </c>
      <c r="B158" s="2" t="s">
        <v>787</v>
      </c>
      <c r="C158" s="2" t="s">
        <v>788</v>
      </c>
      <c r="D158" s="2">
        <v>2022</v>
      </c>
      <c r="E158" s="2" t="s">
        <v>789</v>
      </c>
      <c r="F158" s="2" t="s">
        <v>790</v>
      </c>
      <c r="G158" s="2" t="s">
        <v>791</v>
      </c>
      <c r="H158" s="2" t="s">
        <v>741</v>
      </c>
      <c r="I158" s="2" t="str" cm="1">
        <f t="array" ref="I158">H158 &amp; _xlfn.REGEXEXTRACT(G158,"^[^_]+_\d{4}") &amp; ".pdf"</f>
        <v>https://www.ocf.berkeley.edu/~pkmendez/envsci/projects/2022final/CooperI_2022.pdf</v>
      </c>
      <c r="J158" s="1" t="str">
        <f t="shared" si="2"/>
        <v>https://www.ocf.berkeley.edu/~pkmendez/envsci/projects/2022final/CooperI_2022.pdf</v>
      </c>
      <c r="K158" s="2" t="str" cm="1">
        <f t="array" ref="K158:O158">_xlfn.TAKE(TRIM(_xlfn.TEXTSPLIT(F158,{",",";"})),,5)</f>
        <v>climate change</v>
      </c>
      <c r="L158" s="2" t="str">
        <v>municipal policy</v>
      </c>
      <c r="M158" s="2" t="str">
        <v>greenhouse gas</v>
      </c>
      <c r="N158" s="2" t="str">
        <v>emissions inventory</v>
      </c>
      <c r="O158" s="2" t="str">
        <v>climate policy</v>
      </c>
      <c r="P158" s="2" t="s">
        <v>9</v>
      </c>
      <c r="Q158" s="2" t="s">
        <v>10</v>
      </c>
    </row>
    <row r="159" spans="1:17" x14ac:dyDescent="0.35">
      <c r="A159" s="2" t="s">
        <v>5884</v>
      </c>
      <c r="B159" s="2" t="s">
        <v>792</v>
      </c>
      <c r="C159" s="2" t="s">
        <v>793</v>
      </c>
      <c r="D159" s="2">
        <v>2022</v>
      </c>
      <c r="E159" s="2" t="s">
        <v>794</v>
      </c>
      <c r="F159" s="2" t="s">
        <v>795</v>
      </c>
      <c r="G159" s="2" t="s">
        <v>796</v>
      </c>
      <c r="H159" s="2" t="s">
        <v>741</v>
      </c>
      <c r="I159" s="2" t="str" cm="1">
        <f t="array" ref="I159">H159 &amp; _xlfn.REGEXEXTRACT(G159,"^[^_]+_\d{4}") &amp; ".pdf"</f>
        <v>https://www.ocf.berkeley.edu/~pkmendez/envsci/projects/2022final/CowellA_2022.pdf</v>
      </c>
      <c r="J159" s="1" t="str">
        <f t="shared" si="2"/>
        <v>https://www.ocf.berkeley.edu/~pkmendez/envsci/projects/2022final/CowellA_2022.pdf</v>
      </c>
      <c r="K159" s="2" t="str" cm="1">
        <f t="array" ref="K159:O159">_xlfn.TAKE(TRIM(_xlfn.TEXTSPLIT(F159,{",",";"})),,5)</f>
        <v>Odocoileus hemionus</v>
      </c>
      <c r="L159" s="2" t="str">
        <v>green wave hypothesis</v>
      </c>
      <c r="M159" s="2" t="str">
        <v>human disturbance</v>
      </c>
      <c r="N159" s="2" t="str">
        <v>step selection function</v>
      </c>
      <c r="O159" s="2" t="str">
        <v>MAR covariates</v>
      </c>
      <c r="P159" s="2" t="s">
        <v>9</v>
      </c>
      <c r="Q159" s="2" t="s">
        <v>10</v>
      </c>
    </row>
    <row r="160" spans="1:17" x14ac:dyDescent="0.35">
      <c r="A160" s="2" t="s">
        <v>5884</v>
      </c>
      <c r="B160" s="2" t="s">
        <v>797</v>
      </c>
      <c r="C160" s="2" t="s">
        <v>798</v>
      </c>
      <c r="D160" s="2">
        <v>2022</v>
      </c>
      <c r="E160" s="2" t="s">
        <v>799</v>
      </c>
      <c r="F160" s="2" t="s">
        <v>800</v>
      </c>
      <c r="G160" s="2" t="s">
        <v>801</v>
      </c>
      <c r="H160" s="2" t="s">
        <v>741</v>
      </c>
      <c r="I160" s="2" t="str" cm="1">
        <f t="array" ref="I160">H160 &amp; _xlfn.REGEXEXTRACT(G160,"^[^_]+_\d{4}") &amp; ".pdf"</f>
        <v>https://www.ocf.berkeley.edu/~pkmendez/envsci/projects/2022final/CoyleD_2022.pdf</v>
      </c>
      <c r="J160" s="1" t="str">
        <f t="shared" si="2"/>
        <v>https://www.ocf.berkeley.edu/~pkmendez/envsci/projects/2022final/CoyleD_2022.pdf</v>
      </c>
      <c r="K160" s="2" t="str" cm="1">
        <f t="array" ref="K160:O160">_xlfn.TAKE(TRIM(_xlfn.TEXTSPLIT(F160,{",",";"})),,5)</f>
        <v>Hemiptera</v>
      </c>
      <c r="L160" s="2" t="str">
        <v>Invasive plants</v>
      </c>
      <c r="M160" s="2" t="str">
        <v>insect-plant-microbe interaction</v>
      </c>
      <c r="N160" s="2" t="str">
        <v>microbiome diversity</v>
      </c>
      <c r="O160" s="2" t="str">
        <v>alpha and beta diversity</v>
      </c>
      <c r="P160" s="2" t="s">
        <v>9</v>
      </c>
      <c r="Q160" s="2" t="s">
        <v>10</v>
      </c>
    </row>
    <row r="161" spans="1:17" x14ac:dyDescent="0.35">
      <c r="A161" s="2" t="s">
        <v>5884</v>
      </c>
      <c r="B161" s="2" t="s">
        <v>802</v>
      </c>
      <c r="C161" s="2" t="s">
        <v>803</v>
      </c>
      <c r="D161" s="2">
        <v>2022</v>
      </c>
      <c r="E161" s="2" t="s">
        <v>804</v>
      </c>
      <c r="F161" s="2" t="s">
        <v>805</v>
      </c>
      <c r="G161" s="2" t="s">
        <v>806</v>
      </c>
      <c r="H161" s="2" t="s">
        <v>741</v>
      </c>
      <c r="I161" s="2" t="str" cm="1">
        <f t="array" ref="I161">H161 &amp; _xlfn.REGEXEXTRACT(G161,"^[^_]+_\d{4}") &amp; ".pdf"</f>
        <v>https://www.ocf.berkeley.edu/~pkmendez/envsci/projects/2022final/DandarJ_2022.pdf</v>
      </c>
      <c r="J161" s="1" t="str">
        <f t="shared" si="2"/>
        <v>https://www.ocf.berkeley.edu/~pkmendez/envsci/projects/2022final/DandarJ_2022.pdf</v>
      </c>
      <c r="K161" s="2" t="str" cm="1">
        <f t="array" ref="K161:O161">_xlfn.TAKE(TRIM(_xlfn.TEXTSPLIT(F161,{",",";"})),,5)</f>
        <v>inundation</v>
      </c>
      <c r="L161" s="2" t="str">
        <v>coastal erosion</v>
      </c>
      <c r="M161" s="2" t="str">
        <v>Grus americana</v>
      </c>
      <c r="N161" s="2" t="str">
        <v>endangered species conservation</v>
      </c>
      <c r="O161" s="2" t="str">
        <v>coastal wetlands</v>
      </c>
      <c r="P161" s="2" t="s">
        <v>9</v>
      </c>
      <c r="Q161" s="2" t="s">
        <v>10</v>
      </c>
    </row>
    <row r="162" spans="1:17" x14ac:dyDescent="0.35">
      <c r="A162" s="2" t="s">
        <v>5884</v>
      </c>
      <c r="B162" s="2" t="s">
        <v>807</v>
      </c>
      <c r="C162" s="2" t="s">
        <v>808</v>
      </c>
      <c r="D162" s="2">
        <v>2022</v>
      </c>
      <c r="E162" s="2" t="s">
        <v>809</v>
      </c>
      <c r="F162" s="2" t="s">
        <v>810</v>
      </c>
      <c r="G162" s="2" t="s">
        <v>811</v>
      </c>
      <c r="H162" s="2" t="s">
        <v>741</v>
      </c>
      <c r="I162" s="2" t="str" cm="1">
        <f t="array" ref="I162">H162 &amp; _xlfn.REGEXEXTRACT(G162,"^[^_]+_\d{4}") &amp; ".pdf"</f>
        <v>https://www.ocf.berkeley.edu/~pkmendez/envsci/projects/2022final/deWitA_2022.pdf</v>
      </c>
      <c r="J162" s="1" t="str">
        <f t="shared" si="2"/>
        <v>https://www.ocf.berkeley.edu/~pkmendez/envsci/projects/2022final/deWitA_2022.pdf</v>
      </c>
      <c r="K162" s="2" t="str" cm="1">
        <f t="array" ref="K162:O162">_xlfn.TAKE(TRIM(_xlfn.TEXTSPLIT(F162,{",",";"})),,5)</f>
        <v>EPT</v>
      </c>
      <c r="L162" s="2" t="str">
        <v>perennial and intermittent streams</v>
      </c>
      <c r="M162" s="2" t="str">
        <v>Mediterranean climate</v>
      </c>
      <c r="N162" s="2" t="str">
        <v>seasonal change</v>
      </c>
      <c r="O162" s="2" t="str">
        <v>climate change</v>
      </c>
      <c r="P162" s="2" t="s">
        <v>9</v>
      </c>
      <c r="Q162" s="2" t="s">
        <v>10</v>
      </c>
    </row>
    <row r="163" spans="1:17" x14ac:dyDescent="0.35">
      <c r="A163" s="2" t="s">
        <v>5884</v>
      </c>
      <c r="B163" s="2" t="s">
        <v>812</v>
      </c>
      <c r="C163" s="2" t="s">
        <v>813</v>
      </c>
      <c r="D163" s="2">
        <v>2022</v>
      </c>
      <c r="E163" s="2" t="s">
        <v>814</v>
      </c>
      <c r="F163" s="2" t="s">
        <v>815</v>
      </c>
      <c r="G163" s="2" t="s">
        <v>816</v>
      </c>
      <c r="H163" s="2" t="s">
        <v>741</v>
      </c>
      <c r="I163" s="2" t="str" cm="1">
        <f t="array" ref="I163">H163 &amp; _xlfn.REGEXEXTRACT(G163,"^[^_]+_\d{4}") &amp; ".pdf"</f>
        <v>https://www.ocf.berkeley.edu/~pkmendez/envsci/projects/2022final/DingY_2022.pdf</v>
      </c>
      <c r="J163" s="1" t="str">
        <f t="shared" si="2"/>
        <v>https://www.ocf.berkeley.edu/~pkmendez/envsci/projects/2022final/DingY_2022.pdf</v>
      </c>
      <c r="K163" s="2" t="str" cm="1">
        <f t="array" ref="K163:O163">_xlfn.TAKE(TRIM(_xlfn.TEXTSPLIT(F163,{",",";"})),,5)</f>
        <v>choice experiment</v>
      </c>
      <c r="L163" s="2" t="str">
        <v>mediation analysis</v>
      </c>
      <c r="M163" s="2" t="str">
        <v>public education</v>
      </c>
      <c r="N163" s="2" t="str">
        <v>trust</v>
      </c>
      <c r="O163" s="2" t="str">
        <v>survey</v>
      </c>
      <c r="P163" s="2" t="s">
        <v>9</v>
      </c>
      <c r="Q163" s="2" t="s">
        <v>10</v>
      </c>
    </row>
    <row r="164" spans="1:17" x14ac:dyDescent="0.35">
      <c r="A164" s="2" t="s">
        <v>5884</v>
      </c>
      <c r="B164" s="2" t="s">
        <v>817</v>
      </c>
      <c r="C164" s="2" t="s">
        <v>818</v>
      </c>
      <c r="D164" s="2">
        <v>2022</v>
      </c>
      <c r="E164" s="2" t="s">
        <v>819</v>
      </c>
      <c r="F164" s="2" t="s">
        <v>820</v>
      </c>
      <c r="G164" s="2" t="s">
        <v>821</v>
      </c>
      <c r="H164" s="2" t="s">
        <v>741</v>
      </c>
      <c r="I164" s="2" t="str" cm="1">
        <f t="array" ref="I164">H164 &amp; _xlfn.REGEXEXTRACT(G164,"^[^_]+_\d{4}") &amp; ".pdf"</f>
        <v>https://www.ocf.berkeley.edu/~pkmendez/envsci/projects/2022final/ElishaL_2022.pdf</v>
      </c>
      <c r="J164" s="1" t="str">
        <f t="shared" si="2"/>
        <v>https://www.ocf.berkeley.edu/~pkmendez/envsci/projects/2022final/ElishaL_2022.pdf</v>
      </c>
      <c r="K164" s="2" t="str" cm="1">
        <f t="array" ref="K164:O164">_xlfn.TAKE(TRIM(_xlfn.TEXTSPLIT(F164,{",",";"})),,5)</f>
        <v>conservation policy</v>
      </c>
      <c r="L164" s="2" t="str">
        <v>sport fishing</v>
      </c>
      <c r="M164" s="2" t="str">
        <v>pier fishing</v>
      </c>
      <c r="N164" s="2" t="str">
        <v>Soupfin</v>
      </c>
      <c r="O164" s="2" t="str">
        <v>threatened species</v>
      </c>
      <c r="P164" s="2" t="s">
        <v>9</v>
      </c>
      <c r="Q164" s="2" t="s">
        <v>10</v>
      </c>
    </row>
    <row r="165" spans="1:17" x14ac:dyDescent="0.35">
      <c r="A165" s="2" t="s">
        <v>5884</v>
      </c>
      <c r="B165" s="2" t="s">
        <v>822</v>
      </c>
      <c r="C165" s="2" t="s">
        <v>823</v>
      </c>
      <c r="D165" s="2">
        <v>2022</v>
      </c>
      <c r="E165" s="2" t="s">
        <v>824</v>
      </c>
      <c r="F165" s="2" t="s">
        <v>825</v>
      </c>
      <c r="G165" s="2" t="s">
        <v>826</v>
      </c>
      <c r="H165" s="2" t="s">
        <v>741</v>
      </c>
      <c r="I165" s="2" t="str" cm="1">
        <f t="array" ref="I165">H165 &amp; _xlfn.REGEXEXTRACT(G165,"^[^_]+_\d{4}") &amp; ".pdf"</f>
        <v>https://www.ocf.berkeley.edu/~pkmendez/envsci/projects/2022final/GonzagaA_2022.pdf</v>
      </c>
      <c r="J165" s="1" t="str">
        <f t="shared" si="2"/>
        <v>https://www.ocf.berkeley.edu/~pkmendez/envsci/projects/2022final/GonzagaA_2022.pdf</v>
      </c>
      <c r="K165" s="2" t="str" cm="1">
        <f t="array" ref="K165:O165">_xlfn.TAKE(TRIM(_xlfn.TEXTSPLIT(F165,{",",";"})),,5)</f>
        <v>environmental literacy</v>
      </c>
      <c r="L165" s="2" t="str">
        <v>pupil expenditures</v>
      </c>
      <c r="M165" s="2" t="str">
        <v>environmental knowledge</v>
      </c>
      <c r="N165" s="2" t="str">
        <v>environmental education</v>
      </c>
      <c r="O165" s="2" t="str">
        <v>science education</v>
      </c>
      <c r="P165" s="2" t="s">
        <v>9</v>
      </c>
      <c r="Q165" s="2" t="s">
        <v>10</v>
      </c>
    </row>
    <row r="166" spans="1:17" x14ac:dyDescent="0.35">
      <c r="A166" s="2" t="s">
        <v>5884</v>
      </c>
      <c r="B166" s="2" t="s">
        <v>827</v>
      </c>
      <c r="C166" s="2" t="s">
        <v>828</v>
      </c>
      <c r="D166" s="2">
        <v>2022</v>
      </c>
      <c r="E166" s="2" t="s">
        <v>829</v>
      </c>
      <c r="F166" s="2" t="s">
        <v>830</v>
      </c>
      <c r="G166" s="2" t="s">
        <v>831</v>
      </c>
      <c r="H166" s="2" t="s">
        <v>741</v>
      </c>
      <c r="I166" s="2" t="str" cm="1">
        <f t="array" ref="I166">H166 &amp; _xlfn.REGEXEXTRACT(G166,"^[^_]+_\d{4}") &amp; ".pdf"</f>
        <v>https://www.ocf.berkeley.edu/~pkmendez/envsci/projects/2022final/GoodarziN_2022.pdf</v>
      </c>
      <c r="J166" s="1" t="str">
        <f t="shared" si="2"/>
        <v>https://www.ocf.berkeley.edu/~pkmendez/envsci/projects/2022final/GoodarziN_2022.pdf</v>
      </c>
      <c r="K166" s="2" t="str" cm="1">
        <f t="array" ref="K166:O166">_xlfn.TAKE(TRIM(_xlfn.TEXTSPLIT(F166,{",",";"})),,5)</f>
        <v>Air pollution</v>
      </c>
      <c r="L166" s="2" t="str">
        <v>pandemic</v>
      </c>
      <c r="M166" s="2" t="str">
        <v>freeway/highway</v>
      </c>
      <c r="N166" s="2" t="str">
        <v>vaccination</v>
      </c>
      <c r="O166" s="2" t="str">
        <v>exposure</v>
      </c>
      <c r="P166" s="2" t="s">
        <v>9</v>
      </c>
      <c r="Q166" s="2" t="s">
        <v>10</v>
      </c>
    </row>
    <row r="167" spans="1:17" x14ac:dyDescent="0.35">
      <c r="A167" s="2" t="s">
        <v>5884</v>
      </c>
      <c r="B167" s="2" t="s">
        <v>832</v>
      </c>
      <c r="C167" s="2" t="s">
        <v>833</v>
      </c>
      <c r="D167" s="2">
        <v>2022</v>
      </c>
      <c r="E167" s="2" t="s">
        <v>3312</v>
      </c>
      <c r="F167" s="2" t="s">
        <v>834</v>
      </c>
      <c r="G167" s="2" t="s">
        <v>835</v>
      </c>
      <c r="H167" s="2" t="s">
        <v>741</v>
      </c>
      <c r="I167" s="2" t="str" cm="1">
        <f t="array" ref="I167">H167 &amp; _xlfn.REGEXEXTRACT(G167,"^[^_]+_\d{4}") &amp; ".pdf"</f>
        <v>https://www.ocf.berkeley.edu/~pkmendez/envsci/projects/2022final/HernandezE_2022.pdf</v>
      </c>
      <c r="J167" s="1" t="str">
        <f t="shared" si="2"/>
        <v>https://www.ocf.berkeley.edu/~pkmendez/envsci/projects/2022final/HernandezE_2022.pdf</v>
      </c>
      <c r="K167" s="2" t="str" cm="1">
        <f t="array" ref="K167:O167">_xlfn.TAKE(TRIM(_xlfn.TEXTSPLIT(F167,{",",";"})),,5)</f>
        <v>environmental justice</v>
      </c>
      <c r="L167" s="2" t="str">
        <v>toxic air pollution</v>
      </c>
      <c r="M167" s="2" t="str">
        <v>highly-trafficked roads</v>
      </c>
      <c r="N167" s="2" t="str">
        <v>particulate matter (PM 2.5)</v>
      </c>
      <c r="O167" s="2" t="str">
        <v>children</v>
      </c>
      <c r="P167" s="2" t="s">
        <v>9</v>
      </c>
      <c r="Q167" s="2" t="s">
        <v>10</v>
      </c>
    </row>
    <row r="168" spans="1:17" x14ac:dyDescent="0.35">
      <c r="A168" s="2" t="s">
        <v>5884</v>
      </c>
      <c r="B168" s="2" t="s">
        <v>836</v>
      </c>
      <c r="C168" s="2" t="s">
        <v>837</v>
      </c>
      <c r="D168" s="2">
        <v>2022</v>
      </c>
      <c r="E168" s="2" t="s">
        <v>838</v>
      </c>
      <c r="F168" s="2" t="s">
        <v>839</v>
      </c>
      <c r="G168" s="2" t="s">
        <v>840</v>
      </c>
      <c r="H168" s="2" t="s">
        <v>741</v>
      </c>
      <c r="I168" s="2" t="str" cm="1">
        <f t="array" ref="I168">H168 &amp; _xlfn.REGEXEXTRACT(G168,"^[^_]+_\d{4}") &amp; ".pdf"</f>
        <v>https://www.ocf.berkeley.edu/~pkmendez/envsci/projects/2022final/HicksK_2022.pdf</v>
      </c>
      <c r="J168" s="1" t="str">
        <f t="shared" si="2"/>
        <v>https://www.ocf.berkeley.edu/~pkmendez/envsci/projects/2022final/HicksK_2022.pdf</v>
      </c>
      <c r="K168" s="2" t="str" cm="1">
        <f t="array" ref="K168:O168">_xlfn.TAKE(TRIM(_xlfn.TEXTSPLIT(F168,{",",";"})),,5)</f>
        <v>Education</v>
      </c>
      <c r="L168" s="2" t="str">
        <v>Environmental Knowledge</v>
      </c>
      <c r="M168" s="2" t="str">
        <v>Teacher Knowledge</v>
      </c>
      <c r="N168" s="2" t="str">
        <v>Environmental Science</v>
      </c>
      <c r="O168" s="2" t="str">
        <v>Recycling</v>
      </c>
      <c r="P168" s="2" t="s">
        <v>9</v>
      </c>
      <c r="Q168" s="2" t="s">
        <v>10</v>
      </c>
    </row>
    <row r="169" spans="1:17" x14ac:dyDescent="0.35">
      <c r="A169" s="2" t="s">
        <v>5884</v>
      </c>
      <c r="B169" s="2" t="s">
        <v>841</v>
      </c>
      <c r="C169" s="2" t="s">
        <v>842</v>
      </c>
      <c r="D169" s="2">
        <v>2022</v>
      </c>
      <c r="E169" s="2" t="s">
        <v>843</v>
      </c>
      <c r="F169" s="2" t="s">
        <v>844</v>
      </c>
      <c r="G169" s="2" t="s">
        <v>845</v>
      </c>
      <c r="H169" s="2" t="s">
        <v>741</v>
      </c>
      <c r="I169" s="2" t="str" cm="1">
        <f t="array" ref="I169">H169 &amp; _xlfn.REGEXEXTRACT(G169,"^[^_]+_\d{4}") &amp; ".pdf"</f>
        <v>https://www.ocf.berkeley.edu/~pkmendez/envsci/projects/2022final/JacobsenS_2022.pdf</v>
      </c>
      <c r="J169" s="1" t="str">
        <f t="shared" si="2"/>
        <v>https://www.ocf.berkeley.edu/~pkmendez/envsci/projects/2022final/JacobsenS_2022.pdf</v>
      </c>
      <c r="K169" s="2" t="str" cm="1">
        <f t="array" ref="K169:O169">_xlfn.TAKE(TRIM(_xlfn.TEXTSPLIT(F169,{",",";"})),,5)</f>
        <v>species distribution modeling</v>
      </c>
      <c r="L169" s="2" t="str">
        <v>Maximum entropy</v>
      </c>
      <c r="M169" s="2" t="str">
        <v>climate change</v>
      </c>
      <c r="N169" s="2" t="str">
        <v>invasive species</v>
      </c>
      <c r="O169" s="2" t="str">
        <v>dispersal risk</v>
      </c>
      <c r="P169" s="2" t="s">
        <v>9</v>
      </c>
      <c r="Q169" s="2" t="s">
        <v>10</v>
      </c>
    </row>
    <row r="170" spans="1:17" x14ac:dyDescent="0.35">
      <c r="A170" s="2" t="s">
        <v>5884</v>
      </c>
      <c r="B170" s="2" t="s">
        <v>846</v>
      </c>
      <c r="C170" s="2" t="s">
        <v>847</v>
      </c>
      <c r="D170" s="2">
        <v>2022</v>
      </c>
      <c r="E170" s="2" t="s">
        <v>848</v>
      </c>
      <c r="F170" s="2" t="s">
        <v>849</v>
      </c>
      <c r="G170" s="2" t="s">
        <v>850</v>
      </c>
      <c r="H170" s="2" t="s">
        <v>741</v>
      </c>
      <c r="I170" s="2" t="str" cm="1">
        <f t="array" ref="I170">H170 &amp; _xlfn.REGEXEXTRACT(G170,"^[^_]+_\d{4}") &amp; ".pdf"</f>
        <v>https://www.ocf.berkeley.edu/~pkmendez/envsci/projects/2022final/JenniferC_2022.pdf</v>
      </c>
      <c r="J170" s="1" t="str">
        <f t="shared" si="2"/>
        <v>https://www.ocf.berkeley.edu/~pkmendez/envsci/projects/2022final/JenniferC_2022.pdf</v>
      </c>
      <c r="K170" s="2" t="str" cm="1">
        <f t="array" ref="K170:O170">_xlfn.TAKE(TRIM(_xlfn.TEXTSPLIT(F170,{",",";"})),,5)</f>
        <v>Food desert</v>
      </c>
      <c r="L170" s="2" t="str">
        <v>greenspace</v>
      </c>
      <c r="M170" s="2" t="str">
        <v>income</v>
      </c>
      <c r="N170" s="2" t="str">
        <v>accessibility</v>
      </c>
      <c r="O170" s="2" t="str">
        <v>public health</v>
      </c>
      <c r="P170" s="2" t="s">
        <v>9</v>
      </c>
      <c r="Q170" s="2" t="s">
        <v>10</v>
      </c>
    </row>
    <row r="171" spans="1:17" x14ac:dyDescent="0.35">
      <c r="A171" s="2" t="s">
        <v>5884</v>
      </c>
      <c r="B171" s="2" t="s">
        <v>851</v>
      </c>
      <c r="C171" s="2" t="s">
        <v>852</v>
      </c>
      <c r="D171" s="2">
        <v>2022</v>
      </c>
      <c r="E171" s="2" t="s">
        <v>853</v>
      </c>
      <c r="F171" s="2" t="s">
        <v>854</v>
      </c>
      <c r="G171" s="2" t="s">
        <v>855</v>
      </c>
      <c r="H171" s="2" t="s">
        <v>741</v>
      </c>
      <c r="I171" s="2" t="str" cm="1">
        <f t="array" ref="I171">H171 &amp; _xlfn.REGEXEXTRACT(G171,"^[^_]+_\d{4}") &amp; ".pdf"</f>
        <v>https://www.ocf.berkeley.edu/~pkmendez/envsci/projects/2022final/KakaliaZ_2022.pdf</v>
      </c>
      <c r="J171" s="1" t="str">
        <f t="shared" si="2"/>
        <v>https://www.ocf.berkeley.edu/~pkmendez/envsci/projects/2022final/KakaliaZ_2022.pdf</v>
      </c>
      <c r="K171" s="2" t="str" cm="1">
        <f t="array" ref="K171:O171">_xlfn.TAKE(TRIM(_xlfn.TEXTSPLIT(F171,{",",";"})),,5)</f>
        <v>circular fashion</v>
      </c>
      <c r="L171" s="2" t="str">
        <v>sustainable consumption</v>
      </c>
      <c r="M171" s="2" t="str">
        <v>clothing recycling</v>
      </c>
      <c r="N171" s="2" t="str">
        <v>second-hand fashion</v>
      </c>
      <c r="O171" s="2" t="str">
        <v>college communities</v>
      </c>
      <c r="P171" s="2" t="s">
        <v>9</v>
      </c>
      <c r="Q171" s="2" t="s">
        <v>10</v>
      </c>
    </row>
    <row r="172" spans="1:17" x14ac:dyDescent="0.35">
      <c r="A172" s="2" t="s">
        <v>5884</v>
      </c>
      <c r="B172" s="2" t="s">
        <v>856</v>
      </c>
      <c r="C172" s="2" t="s">
        <v>857</v>
      </c>
      <c r="D172" s="2">
        <v>2022</v>
      </c>
      <c r="E172" s="2" t="s">
        <v>858</v>
      </c>
      <c r="F172" s="2" t="s">
        <v>859</v>
      </c>
      <c r="G172" s="2" t="s">
        <v>860</v>
      </c>
      <c r="H172" s="2" t="s">
        <v>741</v>
      </c>
      <c r="I172" s="2" t="str" cm="1">
        <f t="array" ref="I172">H172 &amp; _xlfn.REGEXEXTRACT(G172,"^[^_]+_\d{4}") &amp; ".pdf"</f>
        <v>https://www.ocf.berkeley.edu/~pkmendez/envsci/projects/2022final/KalantarS_2022.pdf</v>
      </c>
      <c r="J172" s="1" t="str">
        <f t="shared" si="2"/>
        <v>https://www.ocf.berkeley.edu/~pkmendez/envsci/projects/2022final/KalantarS_2022.pdf</v>
      </c>
      <c r="K172" s="2" t="str" cm="1">
        <f t="array" ref="K172:O172">_xlfn.TAKE(TRIM(_xlfn.TEXTSPLIT(F172,{",",";"})),,5)</f>
        <v>food systems studies</v>
      </c>
      <c r="L172" s="2" t="str">
        <v>food security</v>
      </c>
      <c r="M172" s="2" t="str">
        <v>environmental justice</v>
      </c>
      <c r="N172" s="2" t="str">
        <v>model-minority</v>
      </c>
      <c r="O172" s="2" t="str">
        <v>public health</v>
      </c>
      <c r="P172" s="2" t="s">
        <v>9</v>
      </c>
      <c r="Q172" s="2" t="s">
        <v>10</v>
      </c>
    </row>
    <row r="173" spans="1:17" x14ac:dyDescent="0.35">
      <c r="A173" s="2" t="s">
        <v>5884</v>
      </c>
      <c r="B173" s="2" t="s">
        <v>861</v>
      </c>
      <c r="C173" s="2" t="s">
        <v>862</v>
      </c>
      <c r="D173" s="2">
        <v>2022</v>
      </c>
      <c r="E173" s="2" t="s">
        <v>863</v>
      </c>
      <c r="F173" s="2" t="s">
        <v>864</v>
      </c>
      <c r="G173" s="2" t="s">
        <v>865</v>
      </c>
      <c r="H173" s="2" t="s">
        <v>741</v>
      </c>
      <c r="I173" s="2" t="str" cm="1">
        <f t="array" ref="I173">H173 &amp; _xlfn.REGEXEXTRACT(G173,"^[^_]+_\d{4}") &amp; ".pdf"</f>
        <v>https://www.ocf.berkeley.edu/~pkmendez/envsci/projects/2022final/KangA_2022.pdf</v>
      </c>
      <c r="J173" s="1" t="str">
        <f t="shared" si="2"/>
        <v>https://www.ocf.berkeley.edu/~pkmendez/envsci/projects/2022final/KangA_2022.pdf</v>
      </c>
      <c r="K173" s="2" t="str" cm="1">
        <f t="array" ref="K173:O173">_xlfn.TAKE(TRIM(_xlfn.TEXTSPLIT(F173,{",",";"})),,5)</f>
        <v>Life history ecology</v>
      </c>
      <c r="L173" s="2" t="str">
        <v>pesticide exposure</v>
      </c>
      <c r="M173" s="2" t="str">
        <v>environmental adaptation</v>
      </c>
      <c r="N173" s="2" t="str">
        <v>rhizobia</v>
      </c>
      <c r="O173" s="2" t="str">
        <v>glyphosate</v>
      </c>
      <c r="P173" s="2" t="s">
        <v>9</v>
      </c>
      <c r="Q173" s="2" t="s">
        <v>10</v>
      </c>
    </row>
    <row r="174" spans="1:17" x14ac:dyDescent="0.35">
      <c r="A174" s="2" t="s">
        <v>5884</v>
      </c>
      <c r="B174" s="2" t="s">
        <v>866</v>
      </c>
      <c r="C174" s="2" t="s">
        <v>867</v>
      </c>
      <c r="D174" s="2">
        <v>2022</v>
      </c>
      <c r="E174" s="2" t="s">
        <v>868</v>
      </c>
      <c r="F174" s="2" t="s">
        <v>869</v>
      </c>
      <c r="G174" s="2" t="s">
        <v>870</v>
      </c>
      <c r="H174" s="2" t="s">
        <v>741</v>
      </c>
      <c r="I174" s="2" t="str" cm="1">
        <f t="array" ref="I174">H174 &amp; _xlfn.REGEXEXTRACT(G174,"^[^_]+_\d{4}") &amp; ".pdf"</f>
        <v>https://www.ocf.berkeley.edu/~pkmendez/envsci/projects/2022final/KanJ_2022.pdf</v>
      </c>
      <c r="J174" s="1" t="str">
        <f t="shared" si="2"/>
        <v>https://www.ocf.berkeley.edu/~pkmendez/envsci/projects/2022final/KanJ_2022.pdf</v>
      </c>
      <c r="K174" s="2" t="str" cm="1">
        <f t="array" ref="K174:O174">_xlfn.TAKE(TRIM(_xlfn.TEXTSPLIT(F174,{",",";"})),,5)</f>
        <v>snow melting</v>
      </c>
      <c r="L174" s="2" t="str">
        <v>climate change</v>
      </c>
      <c r="M174" s="2" t="str">
        <v>environmental disasters</v>
      </c>
      <c r="N174" s="2" t="str">
        <v>agriculture</v>
      </c>
      <c r="O174" s="2" t="str">
        <v>snow-water equivalent</v>
      </c>
      <c r="P174" s="2" t="s">
        <v>9</v>
      </c>
      <c r="Q174" s="2" t="s">
        <v>10</v>
      </c>
    </row>
    <row r="175" spans="1:17" x14ac:dyDescent="0.35">
      <c r="A175" s="2" t="s">
        <v>5884</v>
      </c>
      <c r="B175" s="2" t="s">
        <v>871</v>
      </c>
      <c r="C175" s="2" t="s">
        <v>872</v>
      </c>
      <c r="D175" s="2">
        <v>2022</v>
      </c>
      <c r="E175" s="2" t="s">
        <v>873</v>
      </c>
      <c r="F175" s="2" t="s">
        <v>874</v>
      </c>
      <c r="G175" s="2" t="s">
        <v>875</v>
      </c>
      <c r="H175" s="2" t="s">
        <v>741</v>
      </c>
      <c r="I175" s="2" t="str" cm="1">
        <f t="array" ref="I175">H175 &amp; _xlfn.REGEXEXTRACT(G175,"^[^_]+_\d{4}") &amp; ".pdf"</f>
        <v>https://www.ocf.berkeley.edu/~pkmendez/envsci/projects/2022final/KellyT_2022.pdf</v>
      </c>
      <c r="J175" s="1" t="str">
        <f t="shared" si="2"/>
        <v>https://www.ocf.berkeley.edu/~pkmendez/envsci/projects/2022final/KellyT_2022.pdf</v>
      </c>
      <c r="K175" s="2" t="str" cm="1">
        <f t="array" ref="K175:O175">_xlfn.TAKE(TRIM(_xlfn.TEXTSPLIT(F175,{",",";"})),,5)</f>
        <v>water reuse</v>
      </c>
      <c r="L175" s="2" t="str">
        <v>water systems</v>
      </c>
      <c r="M175" s="2" t="str">
        <v>non-potable reuse</v>
      </c>
      <c r="N175" s="2" t="str">
        <v>recycled water stakeholders</v>
      </c>
      <c r="O175" s="2" t="str">
        <v>water scarcity</v>
      </c>
      <c r="P175" s="2" t="s">
        <v>9</v>
      </c>
      <c r="Q175" s="2" t="s">
        <v>10</v>
      </c>
    </row>
    <row r="176" spans="1:17" x14ac:dyDescent="0.35">
      <c r="A176" s="2" t="s">
        <v>5884</v>
      </c>
      <c r="B176" s="2" t="s">
        <v>876</v>
      </c>
      <c r="C176" s="2" t="s">
        <v>877</v>
      </c>
      <c r="D176" s="2">
        <v>2022</v>
      </c>
      <c r="E176" s="2" t="s">
        <v>878</v>
      </c>
      <c r="F176" s="2" t="s">
        <v>879</v>
      </c>
      <c r="G176" s="2" t="s">
        <v>880</v>
      </c>
      <c r="H176" s="2" t="s">
        <v>741</v>
      </c>
      <c r="I176" s="2" t="str" cm="1">
        <f t="array" ref="I176">H176 &amp; _xlfn.REGEXEXTRACT(G176,"^[^_]+_\d{4}") &amp; ".pdf"</f>
        <v>https://www.ocf.berkeley.edu/~pkmendez/envsci/projects/2022final/KruglerJ_2022.pdf</v>
      </c>
      <c r="J176" s="1" t="str">
        <f t="shared" si="2"/>
        <v>https://www.ocf.berkeley.edu/~pkmendez/envsci/projects/2022final/KruglerJ_2022.pdf</v>
      </c>
      <c r="K176" s="2" t="str" cm="1">
        <f t="array" ref="K176:O176">_xlfn.TAKE(TRIM(_xlfn.TEXTSPLIT(F176,{",",";"})),,5)</f>
        <v>thermoregulation</v>
      </c>
      <c r="L176" s="2" t="str">
        <v>museum specimens</v>
      </c>
      <c r="M176" s="2" t="str">
        <v>climate change</v>
      </c>
      <c r="N176" s="2" t="str">
        <v>California</v>
      </c>
      <c r="O176" s="2" t="str">
        <v>bill morphology</v>
      </c>
      <c r="P176" s="2" t="s">
        <v>9</v>
      </c>
      <c r="Q176" s="2" t="s">
        <v>10</v>
      </c>
    </row>
    <row r="177" spans="1:17" x14ac:dyDescent="0.35">
      <c r="A177" s="2" t="s">
        <v>5884</v>
      </c>
      <c r="B177" s="2" t="s">
        <v>881</v>
      </c>
      <c r="C177" s="2" t="s">
        <v>882</v>
      </c>
      <c r="D177" s="2">
        <v>2022</v>
      </c>
      <c r="E177" s="2" t="s">
        <v>883</v>
      </c>
      <c r="F177" s="2" t="s">
        <v>884</v>
      </c>
      <c r="G177" s="2" t="s">
        <v>885</v>
      </c>
      <c r="H177" s="2" t="s">
        <v>741</v>
      </c>
      <c r="I177" s="2" t="str" cm="1">
        <f t="array" ref="I177">H177 &amp; _xlfn.REGEXEXTRACT(G177,"^[^_]+_\d{4}") &amp; ".pdf"</f>
        <v>https://www.ocf.berkeley.edu/~pkmendez/envsci/projects/2022final/LeeG_2022.pdf</v>
      </c>
      <c r="J177" s="1" t="str">
        <f t="shared" si="2"/>
        <v>https://www.ocf.berkeley.edu/~pkmendez/envsci/projects/2022final/LeeG_2022.pdf</v>
      </c>
      <c r="K177" s="2" t="str" cm="1">
        <f t="array" ref="K177:O177">_xlfn.TAKE(TRIM(_xlfn.TEXTSPLIT(F177,{",",";"})),,5)</f>
        <v>LCA</v>
      </c>
      <c r="L177" s="2" t="str">
        <v>GHG emission</v>
      </c>
      <c r="M177" s="2" t="str">
        <v>carbon footprint</v>
      </c>
      <c r="N177" s="2" t="str">
        <v>Korean food</v>
      </c>
      <c r="O177" s="2" t="str">
        <v>restaurant operation</v>
      </c>
      <c r="P177" s="2" t="s">
        <v>9</v>
      </c>
      <c r="Q177" s="2" t="s">
        <v>10</v>
      </c>
    </row>
    <row r="178" spans="1:17" x14ac:dyDescent="0.35">
      <c r="A178" s="2" t="s">
        <v>5884</v>
      </c>
      <c r="B178" s="2" t="s">
        <v>886</v>
      </c>
      <c r="C178" s="2" t="s">
        <v>887</v>
      </c>
      <c r="D178" s="2">
        <v>2022</v>
      </c>
      <c r="E178" s="2" t="s">
        <v>888</v>
      </c>
      <c r="F178" s="2" t="s">
        <v>889</v>
      </c>
      <c r="G178" s="2" t="s">
        <v>890</v>
      </c>
      <c r="H178" s="2" t="s">
        <v>741</v>
      </c>
      <c r="I178" s="2" t="str" cm="1">
        <f t="array" ref="I178">H178 &amp; _xlfn.REGEXEXTRACT(G178,"^[^_]+_\d{4}") &amp; ".pdf"</f>
        <v>https://www.ocf.berkeley.edu/~pkmendez/envsci/projects/2022final/LeeT_2022.pdf</v>
      </c>
      <c r="J178" s="1" t="str">
        <f t="shared" si="2"/>
        <v>https://www.ocf.berkeley.edu/~pkmendez/envsci/projects/2022final/LeeT_2022.pdf</v>
      </c>
      <c r="K178" s="2" t="str" cm="1">
        <f t="array" ref="K178:O178">_xlfn.TAKE(TRIM(_xlfn.TEXTSPLIT(F178,{",",";"})),,5)</f>
        <v>trap efficiency</v>
      </c>
      <c r="L178" s="2" t="str">
        <v>sediment yield</v>
      </c>
      <c r="M178" s="2" t="str">
        <v>time series</v>
      </c>
      <c r="N178" s="2" t="str">
        <v>dynamic time warping</v>
      </c>
      <c r="O178" s="2" t="str">
        <v>linear regression</v>
      </c>
      <c r="P178" s="2" t="s">
        <v>9</v>
      </c>
      <c r="Q178" s="2" t="s">
        <v>10</v>
      </c>
    </row>
    <row r="179" spans="1:17" x14ac:dyDescent="0.35">
      <c r="A179" s="2" t="s">
        <v>5884</v>
      </c>
      <c r="B179" s="2" t="s">
        <v>891</v>
      </c>
      <c r="C179" s="2" t="s">
        <v>892</v>
      </c>
      <c r="D179" s="2">
        <v>2022</v>
      </c>
      <c r="E179" s="2" t="s">
        <v>893</v>
      </c>
      <c r="F179" s="2" t="s">
        <v>894</v>
      </c>
      <c r="G179" s="2" t="s">
        <v>895</v>
      </c>
      <c r="H179" s="2" t="s">
        <v>741</v>
      </c>
      <c r="I179" s="2" t="str" cm="1">
        <f t="array" ref="I179">H179 &amp; _xlfn.REGEXEXTRACT(G179,"^[^_]+_\d{4}") &amp; ".pdf"</f>
        <v>https://www.ocf.berkeley.edu/~pkmendez/envsci/projects/2022final/LelchookV_2022.pdf</v>
      </c>
      <c r="J179" s="1" t="str">
        <f t="shared" si="2"/>
        <v>https://www.ocf.berkeley.edu/~pkmendez/envsci/projects/2022final/LelchookV_2022.pdf</v>
      </c>
      <c r="K179" s="2" t="str" cm="1">
        <f t="array" ref="K179:O179">_xlfn.TAKE(TRIM(_xlfn.TEXTSPLIT(F179,{",",";"})),,5)</f>
        <v>environmental justice</v>
      </c>
      <c r="L179" s="2" t="str">
        <v>food apartheid</v>
      </c>
      <c r="M179" s="2" t="str">
        <v>community based participatory research</v>
      </c>
      <c r="N179" s="2" t="str">
        <v>community food system</v>
      </c>
      <c r="O179" s="2" t="str">
        <v>policy</v>
      </c>
      <c r="P179" s="2" t="s">
        <v>9</v>
      </c>
      <c r="Q179" s="2" t="s">
        <v>10</v>
      </c>
    </row>
    <row r="180" spans="1:17" x14ac:dyDescent="0.35">
      <c r="A180" s="2" t="s">
        <v>5884</v>
      </c>
      <c r="B180" s="2" t="s">
        <v>896</v>
      </c>
      <c r="C180" s="2" t="s">
        <v>897</v>
      </c>
      <c r="D180" s="2">
        <v>2022</v>
      </c>
      <c r="E180" s="2" t="s">
        <v>898</v>
      </c>
      <c r="F180" s="2" t="s">
        <v>899</v>
      </c>
      <c r="G180" s="2" t="s">
        <v>900</v>
      </c>
      <c r="H180" s="2" t="s">
        <v>741</v>
      </c>
      <c r="I180" s="2" t="str" cm="1">
        <f t="array" ref="I180">H180 &amp; _xlfn.REGEXEXTRACT(G180,"^[^_]+_\d{4}") &amp; ".pdf"</f>
        <v>https://www.ocf.berkeley.edu/~pkmendez/envsci/projects/2022final/LennonA_2022.pdf</v>
      </c>
      <c r="J180" s="1" t="str">
        <f t="shared" si="2"/>
        <v>https://www.ocf.berkeley.edu/~pkmendez/envsci/projects/2022final/LennonA_2022.pdf</v>
      </c>
      <c r="K180" s="2" t="str" cm="1">
        <f t="array" ref="K180:O180">_xlfn.TAKE(TRIM(_xlfn.TEXTSPLIT(F180,{",",";"})),,5)</f>
        <v>forest management</v>
      </c>
      <c r="L180" s="2" t="str">
        <v>fuel treatments</v>
      </c>
      <c r="M180" s="2" t="str">
        <v>soil science</v>
      </c>
      <c r="N180" s="2" t="str">
        <v>carbon stocks</v>
      </c>
      <c r="O180" s="2" t="str">
        <v>carbon sequestration</v>
      </c>
      <c r="P180" s="2" t="s">
        <v>9</v>
      </c>
      <c r="Q180" s="2" t="s">
        <v>10</v>
      </c>
    </row>
    <row r="181" spans="1:17" x14ac:dyDescent="0.35">
      <c r="A181" s="2" t="s">
        <v>5884</v>
      </c>
      <c r="B181" s="2" t="s">
        <v>901</v>
      </c>
      <c r="C181" s="2" t="s">
        <v>902</v>
      </c>
      <c r="D181" s="2">
        <v>2022</v>
      </c>
      <c r="E181" s="2" t="s">
        <v>903</v>
      </c>
      <c r="F181" s="2" t="s">
        <v>904</v>
      </c>
      <c r="G181" s="2" t="s">
        <v>905</v>
      </c>
      <c r="H181" s="2" t="s">
        <v>741</v>
      </c>
      <c r="I181" s="2" t="str" cm="1">
        <f t="array" ref="I181">H181 &amp; _xlfn.REGEXEXTRACT(G181,"^[^_]+_\d{4}") &amp; ".pdf"</f>
        <v>https://www.ocf.berkeley.edu/~pkmendez/envsci/projects/2022final/LiangJ_2022.pdf</v>
      </c>
      <c r="J181" s="1" t="str">
        <f t="shared" si="2"/>
        <v>https://www.ocf.berkeley.edu/~pkmendez/envsci/projects/2022final/LiangJ_2022.pdf</v>
      </c>
      <c r="K181" s="2" t="str" cm="1">
        <f t="array" ref="K181:O181">_xlfn.TAKE(TRIM(_xlfn.TEXTSPLIT(F181,{",",";"})),,5)</f>
        <v>bivalve filtration</v>
      </c>
      <c r="L181" s="2" t="str">
        <v>nutrient content</v>
      </c>
      <c r="M181" s="2" t="str">
        <v>turbidity</v>
      </c>
      <c r="N181" s="2" t="str">
        <v>water quality</v>
      </c>
      <c r="O181" s="2" t="str">
        <v>bioremediation</v>
      </c>
      <c r="P181" s="2" t="s">
        <v>9</v>
      </c>
      <c r="Q181" s="2" t="s">
        <v>10</v>
      </c>
    </row>
    <row r="182" spans="1:17" x14ac:dyDescent="0.35">
      <c r="A182" s="2" t="s">
        <v>5884</v>
      </c>
      <c r="B182" s="2" t="s">
        <v>906</v>
      </c>
      <c r="C182" s="2" t="s">
        <v>907</v>
      </c>
      <c r="D182" s="2">
        <v>2022</v>
      </c>
      <c r="E182" s="2" t="s">
        <v>908</v>
      </c>
      <c r="F182" s="2" t="s">
        <v>909</v>
      </c>
      <c r="G182" s="2" t="s">
        <v>910</v>
      </c>
      <c r="H182" s="2" t="s">
        <v>741</v>
      </c>
      <c r="I182" s="2" t="str" cm="1">
        <f t="array" ref="I182">H182 &amp; _xlfn.REGEXEXTRACT(G182,"^[^_]+_\d{4}") &amp; ".pdf"</f>
        <v>https://www.ocf.berkeley.edu/~pkmendez/envsci/projects/2022final/LinK_2022.pdf</v>
      </c>
      <c r="J182" s="1" t="str">
        <f t="shared" si="2"/>
        <v>https://www.ocf.berkeley.edu/~pkmendez/envsci/projects/2022final/LinK_2022.pdf</v>
      </c>
      <c r="K182" s="2" t="str" cm="1">
        <f t="array" ref="K182:O182">_xlfn.TAKE(TRIM(_xlfn.TEXTSPLIT(F182,{",",";"})),,5)</f>
        <v>diversity index</v>
      </c>
      <c r="L182" s="2" t="str">
        <v>equability</v>
      </c>
      <c r="M182" s="2" t="str">
        <v>environmental justice</v>
      </c>
      <c r="N182" s="2" t="str">
        <v>ecosystem services</v>
      </c>
      <c r="O182" s="2" t="str">
        <v>neighborhood</v>
      </c>
      <c r="P182" s="2" t="s">
        <v>9</v>
      </c>
      <c r="Q182" s="2" t="s">
        <v>10</v>
      </c>
    </row>
    <row r="183" spans="1:17" x14ac:dyDescent="0.35">
      <c r="A183" s="2" t="s">
        <v>5884</v>
      </c>
      <c r="B183" s="2" t="s">
        <v>911</v>
      </c>
      <c r="C183" s="2" t="s">
        <v>912</v>
      </c>
      <c r="D183" s="2">
        <v>2022</v>
      </c>
      <c r="E183" s="2" t="s">
        <v>913</v>
      </c>
      <c r="F183" s="2" t="s">
        <v>914</v>
      </c>
      <c r="G183" s="2" t="s">
        <v>915</v>
      </c>
      <c r="H183" s="2" t="s">
        <v>741</v>
      </c>
      <c r="I183" s="2" t="str" cm="1">
        <f t="array" ref="I183">H183 &amp; _xlfn.REGEXEXTRACT(G183,"^[^_]+_\d{4}") &amp; ".pdf"</f>
        <v>https://www.ocf.berkeley.edu/~pkmendez/envsci/projects/2022final/LiuA_2022.pdf</v>
      </c>
      <c r="J183" s="1" t="str">
        <f t="shared" si="2"/>
        <v>https://www.ocf.berkeley.edu/~pkmendez/envsci/projects/2022final/LiuA_2022.pdf</v>
      </c>
      <c r="K183" s="2" t="str" cm="1">
        <f t="array" ref="K183:O183">_xlfn.TAKE(TRIM(_xlfn.TEXTSPLIT(F183,{",",";"})),,5)</f>
        <v>municipal solid waste</v>
      </c>
      <c r="L183" s="2" t="str">
        <v>demand-side management</v>
      </c>
      <c r="M183" s="2" t="str">
        <v>education</v>
      </c>
      <c r="N183" s="2" t="str">
        <v>default nudge</v>
      </c>
      <c r="O183" s="2" t="str">
        <v>paper napkins</v>
      </c>
      <c r="P183" s="2" t="s">
        <v>9</v>
      </c>
      <c r="Q183" s="2" t="s">
        <v>10</v>
      </c>
    </row>
    <row r="184" spans="1:17" x14ac:dyDescent="0.35">
      <c r="A184" s="2" t="s">
        <v>5884</v>
      </c>
      <c r="B184" s="2" t="s">
        <v>916</v>
      </c>
      <c r="C184" s="2" t="s">
        <v>917</v>
      </c>
      <c r="D184" s="2">
        <v>2022</v>
      </c>
      <c r="E184" s="2" t="s">
        <v>918</v>
      </c>
      <c r="F184" s="2" t="s">
        <v>919</v>
      </c>
      <c r="G184" s="2" t="s">
        <v>920</v>
      </c>
      <c r="H184" s="2" t="s">
        <v>741</v>
      </c>
      <c r="I184" s="2" t="str" cm="1">
        <f t="array" ref="I184">H184 &amp; _xlfn.REGEXEXTRACT(G184,"^[^_]+_\d{4}") &amp; ".pdf"</f>
        <v>https://www.ocf.berkeley.edu/~pkmendez/envsci/projects/2022final/MartinG_2022.pdf</v>
      </c>
      <c r="J184" s="1" t="str">
        <f t="shared" si="2"/>
        <v>https://www.ocf.berkeley.edu/~pkmendez/envsci/projects/2022final/MartinG_2022.pdf</v>
      </c>
      <c r="K184" s="2" t="str" cm="1">
        <f t="array" ref="K184:O184">_xlfn.TAKE(TRIM(_xlfn.TEXTSPLIT(F184,{",",";"})),,5)</f>
        <v>waste contamination</v>
      </c>
      <c r="L184" s="2" t="str">
        <v>waste diversion</v>
      </c>
      <c r="M184" s="2" t="str">
        <v>infrastructure</v>
      </c>
      <c r="N184" s="2" t="str">
        <v>waste audit</v>
      </c>
      <c r="O184" s="2" t="str">
        <v>education</v>
      </c>
      <c r="P184" s="2" t="s">
        <v>9</v>
      </c>
      <c r="Q184" s="2" t="s">
        <v>10</v>
      </c>
    </row>
    <row r="185" spans="1:17" x14ac:dyDescent="0.35">
      <c r="A185" s="2" t="s">
        <v>5884</v>
      </c>
      <c r="B185" s="2" t="s">
        <v>921</v>
      </c>
      <c r="C185" s="2" t="s">
        <v>922</v>
      </c>
      <c r="D185" s="2">
        <v>2022</v>
      </c>
      <c r="E185" s="2" t="s">
        <v>923</v>
      </c>
      <c r="F185" s="2" t="s">
        <v>924</v>
      </c>
      <c r="G185" s="2" t="s">
        <v>925</v>
      </c>
      <c r="H185" s="2" t="s">
        <v>741</v>
      </c>
      <c r="I185" s="2" t="str" cm="1">
        <f t="array" ref="I185">H185 &amp; _xlfn.REGEXEXTRACT(G185,"^[^_]+_\d{4}") &amp; ".pdf"</f>
        <v>https://www.ocf.berkeley.edu/~pkmendez/envsci/projects/2022final/McKillop-HerrS_2022.pdf</v>
      </c>
      <c r="J185" s="1" t="str">
        <f t="shared" si="2"/>
        <v>https://www.ocf.berkeley.edu/~pkmendez/envsci/projects/2022final/McKillop-HerrS_2022.pdf</v>
      </c>
      <c r="K185" s="2" t="str" cm="1">
        <f t="array" ref="K185:O185">_xlfn.TAKE(TRIM(_xlfn.TEXTSPLIT(F185,{",",";"})),,5)</f>
        <v>community composition</v>
      </c>
      <c r="L185" s="2" t="str">
        <v>hydrology</v>
      </c>
      <c r="M185" s="2" t="str">
        <v>intermittent</v>
      </c>
      <c r="N185" s="2" t="str">
        <v>perennial</v>
      </c>
      <c r="O185" s="2" t="str">
        <v>density</v>
      </c>
      <c r="P185" s="2" t="s">
        <v>9</v>
      </c>
      <c r="Q185" s="2" t="s">
        <v>10</v>
      </c>
    </row>
    <row r="186" spans="1:17" x14ac:dyDescent="0.35">
      <c r="A186" s="2" t="s">
        <v>5884</v>
      </c>
      <c r="B186" s="2" t="s">
        <v>926</v>
      </c>
      <c r="C186" s="2" t="s">
        <v>927</v>
      </c>
      <c r="D186" s="2">
        <v>2022</v>
      </c>
      <c r="E186" s="2" t="s">
        <v>928</v>
      </c>
      <c r="F186" s="2" t="s">
        <v>929</v>
      </c>
      <c r="G186" s="2" t="s">
        <v>930</v>
      </c>
      <c r="H186" s="2" t="s">
        <v>741</v>
      </c>
      <c r="I186" s="2" t="str" cm="1">
        <f t="array" ref="I186">H186 &amp; _xlfn.REGEXEXTRACT(G186,"^[^_]+_\d{4}") &amp; ".pdf"</f>
        <v>https://www.ocf.berkeley.edu/~pkmendez/envsci/projects/2022final/MengJ_2022.pdf</v>
      </c>
      <c r="J186" s="1" t="str">
        <f t="shared" si="2"/>
        <v>https://www.ocf.berkeley.edu/~pkmendez/envsci/projects/2022final/MengJ_2022.pdf</v>
      </c>
      <c r="K186" s="2" t="str" cm="1">
        <f t="array" ref="K186:O186">_xlfn.TAKE(TRIM(_xlfn.TEXTSPLIT(F186,{",",";"})),,5)</f>
        <v>bioremediation</v>
      </c>
      <c r="L186" s="2" t="str">
        <v>hydrocarbon</v>
      </c>
      <c r="M186" s="2" t="str">
        <v>biosurfactant</v>
      </c>
      <c r="N186" s="2" t="str">
        <v>wetland destruction</v>
      </c>
      <c r="O186" s="2" t="str">
        <v>oil remediation</v>
      </c>
      <c r="P186" s="2" t="s">
        <v>9</v>
      </c>
      <c r="Q186" s="2" t="s">
        <v>10</v>
      </c>
    </row>
    <row r="187" spans="1:17" x14ac:dyDescent="0.35">
      <c r="A187" s="2" t="s">
        <v>5884</v>
      </c>
      <c r="B187" s="2" t="s">
        <v>931</v>
      </c>
      <c r="C187" s="2" t="s">
        <v>932</v>
      </c>
      <c r="D187" s="2">
        <v>2022</v>
      </c>
      <c r="E187" s="2" t="s">
        <v>933</v>
      </c>
      <c r="F187" s="2" t="s">
        <v>934</v>
      </c>
      <c r="G187" s="2" t="s">
        <v>935</v>
      </c>
      <c r="H187" s="2" t="s">
        <v>741</v>
      </c>
      <c r="I187" s="2" t="str" cm="1">
        <f t="array" ref="I187">H187 &amp; _xlfn.REGEXEXTRACT(G187,"^[^_]+_\d{4}") &amp; ".pdf"</f>
        <v>https://www.ocf.berkeley.edu/~pkmendez/envsci/projects/2022final/NakamuraM_2022.pdf</v>
      </c>
      <c r="J187" s="1" t="str">
        <f t="shared" si="2"/>
        <v>https://www.ocf.berkeley.edu/~pkmendez/envsci/projects/2022final/NakamuraM_2022.pdf</v>
      </c>
      <c r="K187" s="2" t="str" cm="1">
        <f t="array" ref="K187:O187">_xlfn.TAKE(TRIM(_xlfn.TEXTSPLIT(F187,{",",";"})),,5)</f>
        <v>Gravity Recovery and Climate Experiment (GRACE)</v>
      </c>
      <c r="L187" s="2" t="str">
        <v>flooding</v>
      </c>
      <c r="M187" s="2" t="str">
        <v>Terrestrial Water Storage Anomaly</v>
      </c>
      <c r="N187" s="2" t="str">
        <v>time series analysis</v>
      </c>
      <c r="O187" s="2" t="str">
        <v>hydro-meteorology</v>
      </c>
      <c r="P187" s="2" t="s">
        <v>9</v>
      </c>
      <c r="Q187" s="2" t="s">
        <v>10</v>
      </c>
    </row>
    <row r="188" spans="1:17" x14ac:dyDescent="0.35">
      <c r="A188" s="2" t="s">
        <v>5884</v>
      </c>
      <c r="B188" s="2" t="s">
        <v>936</v>
      </c>
      <c r="C188" s="2" t="s">
        <v>937</v>
      </c>
      <c r="D188" s="2">
        <v>2022</v>
      </c>
      <c r="E188" s="2" t="s">
        <v>938</v>
      </c>
      <c r="F188" s="2" t="s">
        <v>939</v>
      </c>
      <c r="G188" s="2" t="s">
        <v>940</v>
      </c>
      <c r="H188" s="2" t="s">
        <v>741</v>
      </c>
      <c r="I188" s="2" t="str" cm="1">
        <f t="array" ref="I188">H188 &amp; _xlfn.REGEXEXTRACT(G188,"^[^_]+_\d{4}") &amp; ".pdf"</f>
        <v>https://www.ocf.berkeley.edu/~pkmendez/envsci/projects/2022final/NashE_2022.pdf</v>
      </c>
      <c r="J188" s="1" t="str">
        <f t="shared" si="2"/>
        <v>https://www.ocf.berkeley.edu/~pkmendez/envsci/projects/2022final/NashE_2022.pdf</v>
      </c>
      <c r="K188" s="2" t="str" cm="1">
        <f t="array" ref="K188:O188">_xlfn.TAKE(TRIM(_xlfn.TEXTSPLIT(F188,{",",";"})),,5)</f>
        <v>resilience</v>
      </c>
      <c r="L188" s="2" t="str">
        <v>renewable energy</v>
      </c>
      <c r="M188" s="2" t="str">
        <v>linear regression</v>
      </c>
      <c r="N188" s="2" t="str">
        <v>natural disasters</v>
      </c>
      <c r="O188" s="2" t="str">
        <v>energy infrastructure</v>
      </c>
      <c r="P188" s="2" t="s">
        <v>9</v>
      </c>
      <c r="Q188" s="2" t="s">
        <v>10</v>
      </c>
    </row>
    <row r="189" spans="1:17" x14ac:dyDescent="0.35">
      <c r="A189" s="2" t="s">
        <v>5884</v>
      </c>
      <c r="B189" s="2" t="s">
        <v>941</v>
      </c>
      <c r="C189" s="2" t="s">
        <v>942</v>
      </c>
      <c r="D189" s="2">
        <v>2022</v>
      </c>
      <c r="E189" s="2" t="s">
        <v>943</v>
      </c>
      <c r="F189" s="2" t="s">
        <v>944</v>
      </c>
      <c r="G189" s="2" t="s">
        <v>945</v>
      </c>
      <c r="H189" s="2" t="s">
        <v>741</v>
      </c>
      <c r="I189" s="2" t="str" cm="1">
        <f t="array" ref="I189">H189 &amp; _xlfn.REGEXEXTRACT(G189,"^[^_]+_\d{4}") &amp; ".pdf"</f>
        <v>https://www.ocf.berkeley.edu/~pkmendez/envsci/projects/2022final/NganT_2022.pdf</v>
      </c>
      <c r="J189" s="1" t="str">
        <f t="shared" si="2"/>
        <v>https://www.ocf.berkeley.edu/~pkmendez/envsci/projects/2022final/NganT_2022.pdf</v>
      </c>
      <c r="K189" s="2" t="str" cm="1">
        <f t="array" ref="K189:O189">_xlfn.TAKE(TRIM(_xlfn.TEXTSPLIT(F189,{",",";"})),,5)</f>
        <v>ephemeral</v>
      </c>
      <c r="L189" s="2" t="str">
        <v>perennial</v>
      </c>
      <c r="M189" s="2" t="str">
        <v>freshwater ecology</v>
      </c>
      <c r="N189" s="2" t="str">
        <v>climate change</v>
      </c>
      <c r="O189" s="2" t="str">
        <v>functional space</v>
      </c>
      <c r="P189" s="2" t="s">
        <v>9</v>
      </c>
      <c r="Q189" s="2" t="s">
        <v>10</v>
      </c>
    </row>
    <row r="190" spans="1:17" x14ac:dyDescent="0.35">
      <c r="A190" s="2" t="s">
        <v>5884</v>
      </c>
      <c r="B190" s="2" t="s">
        <v>946</v>
      </c>
      <c r="C190" s="2" t="s">
        <v>947</v>
      </c>
      <c r="D190" s="2">
        <v>2022</v>
      </c>
      <c r="E190" s="2" t="s">
        <v>948</v>
      </c>
      <c r="F190" s="2" t="s">
        <v>949</v>
      </c>
      <c r="G190" s="2" t="s">
        <v>950</v>
      </c>
      <c r="H190" s="2" t="s">
        <v>741</v>
      </c>
      <c r="I190" s="2" t="str" cm="1">
        <f t="array" ref="I190">H190 &amp; _xlfn.REGEXEXTRACT(G190,"^[^_]+_\d{4}") &amp; ".pdf"</f>
        <v>https://www.ocf.berkeley.edu/~pkmendez/envsci/projects/2022final/NgR_2022.pdf</v>
      </c>
      <c r="J190" s="1" t="str">
        <f t="shared" si="2"/>
        <v>https://www.ocf.berkeley.edu/~pkmendez/envsci/projects/2022final/NgR_2022.pdf</v>
      </c>
      <c r="K190" s="2" t="str" cm="1">
        <f t="array" ref="K190:O190">_xlfn.TAKE(TRIM(_xlfn.TEXTSPLIT(F190,{",",";"})),,5)</f>
        <v>Central valley</v>
      </c>
      <c r="L190" s="2" t="str">
        <v>agricultural communities</v>
      </c>
      <c r="M190" s="2" t="str">
        <v>heatwaves</v>
      </c>
      <c r="N190" s="2" t="str">
        <v>vulnerability analysis</v>
      </c>
      <c r="O190" s="2" t="str">
        <v>healthcare resources</v>
      </c>
      <c r="P190" s="2" t="s">
        <v>9</v>
      </c>
      <c r="Q190" s="2" t="s">
        <v>10</v>
      </c>
    </row>
    <row r="191" spans="1:17" x14ac:dyDescent="0.35">
      <c r="A191" s="2" t="s">
        <v>5884</v>
      </c>
      <c r="B191" s="2" t="s">
        <v>951</v>
      </c>
      <c r="C191" s="2" t="s">
        <v>952</v>
      </c>
      <c r="D191" s="2">
        <v>2022</v>
      </c>
      <c r="E191" s="2" t="s">
        <v>953</v>
      </c>
      <c r="F191" s="2" t="s">
        <v>954</v>
      </c>
      <c r="G191" s="2" t="s">
        <v>955</v>
      </c>
      <c r="H191" s="2" t="s">
        <v>741</v>
      </c>
      <c r="I191" s="2" t="str" cm="1">
        <f t="array" ref="I191">H191 &amp; _xlfn.REGEXEXTRACT(G191,"^[^_]+_\d{4}") &amp; ".pdf"</f>
        <v>https://www.ocf.berkeley.edu/~pkmendez/envsci/projects/2022final/OshiroJ_2022.pdf</v>
      </c>
      <c r="J191" s="1" t="str">
        <f t="shared" si="2"/>
        <v>https://www.ocf.berkeley.edu/~pkmendez/envsci/projects/2022final/OshiroJ_2022.pdf</v>
      </c>
      <c r="K191" s="2" t="str" cm="1">
        <f t="array" ref="K191:O191">_xlfn.TAKE(TRIM(_xlfn.TEXTSPLIT(F191,{",",";"})),,5)</f>
        <v>Iron homeostasis</v>
      </c>
      <c r="L191" s="2" t="str">
        <v>Chalmydomonas reinhardtii</v>
      </c>
      <c r="M191" s="2" t="str">
        <v>Dunaliella salina</v>
      </c>
      <c r="N191" s="2" t="str">
        <v>Dunaliella tertiolecta</v>
      </c>
      <c r="O191" s="2" t="str">
        <v>photosynthetic efficiency</v>
      </c>
      <c r="P191" s="2" t="s">
        <v>9</v>
      </c>
      <c r="Q191" s="2" t="s">
        <v>10</v>
      </c>
    </row>
    <row r="192" spans="1:17" x14ac:dyDescent="0.35">
      <c r="A192" s="2" t="s">
        <v>5884</v>
      </c>
      <c r="B192" s="2" t="s">
        <v>956</v>
      </c>
      <c r="C192" s="2" t="s">
        <v>957</v>
      </c>
      <c r="D192" s="2">
        <v>2022</v>
      </c>
      <c r="E192" s="2" t="s">
        <v>958</v>
      </c>
      <c r="F192" s="2" t="s">
        <v>959</v>
      </c>
      <c r="G192" s="2" t="s">
        <v>960</v>
      </c>
      <c r="H192" s="2" t="s">
        <v>741</v>
      </c>
      <c r="I192" s="2" t="str" cm="1">
        <f t="array" ref="I192">H192 &amp; _xlfn.REGEXEXTRACT(G192,"^[^_]+_\d{4}") &amp; ".pdf"</f>
        <v>https://www.ocf.berkeley.edu/~pkmendez/envsci/projects/2022final/PaiA_2022.pdf</v>
      </c>
      <c r="J192" s="1" t="str">
        <f t="shared" si="2"/>
        <v>https://www.ocf.berkeley.edu/~pkmendez/envsci/projects/2022final/PaiA_2022.pdf</v>
      </c>
      <c r="K192" s="2" t="str" cm="1">
        <f t="array" ref="K192:O192">_xlfn.TAKE(TRIM(_xlfn.TEXTSPLIT(F192,{",",";"})),,5)</f>
        <v>environmental stewardship</v>
      </c>
      <c r="L192" s="2" t="str">
        <v>legal personhood</v>
      </c>
      <c r="M192" s="2" t="str">
        <v>traditional ecological knowledges</v>
      </c>
      <c r="N192" s="2" t="str">
        <v>tribal law</v>
      </c>
      <c r="O192" s="2" t="str">
        <v>community rights</v>
      </c>
      <c r="P192" s="2" t="s">
        <v>9</v>
      </c>
      <c r="Q192" s="2" t="s">
        <v>10</v>
      </c>
    </row>
    <row r="193" spans="1:17" x14ac:dyDescent="0.35">
      <c r="A193" s="2" t="s">
        <v>5884</v>
      </c>
      <c r="B193" s="2" t="s">
        <v>961</v>
      </c>
      <c r="C193" s="2" t="s">
        <v>962</v>
      </c>
      <c r="D193" s="2">
        <v>2022</v>
      </c>
      <c r="E193" s="2" t="s">
        <v>963</v>
      </c>
      <c r="F193" s="2" t="s">
        <v>964</v>
      </c>
      <c r="G193" s="2" t="s">
        <v>965</v>
      </c>
      <c r="H193" s="2" t="s">
        <v>741</v>
      </c>
      <c r="I193" s="2" t="str" cm="1">
        <f t="array" ref="I193">H193 &amp; _xlfn.REGEXEXTRACT(G193,"^[^_]+_\d{4}") &amp; ".pdf"</f>
        <v>https://www.ocf.berkeley.edu/~pkmendez/envsci/projects/2022final/PuthuparambilS_2022.pdf</v>
      </c>
      <c r="J193" s="1" t="str">
        <f t="shared" si="2"/>
        <v>https://www.ocf.berkeley.edu/~pkmendez/envsci/projects/2022final/PuthuparambilS_2022.pdf</v>
      </c>
      <c r="K193" s="2" t="str" cm="1">
        <f t="array" ref="K193:O193">_xlfn.TAKE(TRIM(_xlfn.TEXTSPLIT(F193,{",",";"})),,5)</f>
        <v>oil extraction</v>
      </c>
      <c r="L193" s="2" t="str">
        <v>forest cover loss</v>
      </c>
      <c r="M193" s="2" t="str">
        <v>Indigenous communities</v>
      </c>
      <c r="N193" s="2" t="str">
        <v>satellite imagery</v>
      </c>
      <c r="O193" s="2" t="str">
        <v>biodiversity</v>
      </c>
      <c r="P193" s="2" t="s">
        <v>9</v>
      </c>
      <c r="Q193" s="2" t="s">
        <v>10</v>
      </c>
    </row>
    <row r="194" spans="1:17" x14ac:dyDescent="0.35">
      <c r="A194" s="2" t="s">
        <v>5884</v>
      </c>
      <c r="B194" s="2" t="s">
        <v>966</v>
      </c>
      <c r="C194" s="2" t="s">
        <v>967</v>
      </c>
      <c r="D194" s="2">
        <v>2022</v>
      </c>
      <c r="E194" s="2" t="s">
        <v>968</v>
      </c>
      <c r="G194" s="2" t="s">
        <v>969</v>
      </c>
      <c r="H194" s="2" t="s">
        <v>741</v>
      </c>
      <c r="I194" s="2" t="str" cm="1">
        <f t="array" ref="I194">H194 &amp; _xlfn.REGEXEXTRACT(G194,"^[^_]+_\d{4}") &amp; ".pdf"</f>
        <v>https://www.ocf.berkeley.edu/~pkmendez/envsci/projects/2022final/RamirezS_2022.pdf</v>
      </c>
      <c r="J194" s="1" t="str">
        <f t="shared" si="2"/>
        <v>https://www.ocf.berkeley.edu/~pkmendez/envsci/projects/2022final/RamirezS_2022.pdf</v>
      </c>
      <c r="K194" s="2" t="e" cm="1">
        <f t="array" ref="K194">_xlfn.TAKE(TRIM(_xlfn.TEXTSPLIT(F194,{",",";"})),,5)</f>
        <v>#VALUE!</v>
      </c>
      <c r="P194" s="2" t="s">
        <v>9</v>
      </c>
      <c r="Q194" s="2" t="s">
        <v>10</v>
      </c>
    </row>
    <row r="195" spans="1:17" x14ac:dyDescent="0.35">
      <c r="A195" s="2" t="s">
        <v>5884</v>
      </c>
      <c r="B195" s="2" t="s">
        <v>970</v>
      </c>
      <c r="C195" s="2" t="s">
        <v>971</v>
      </c>
      <c r="D195" s="2">
        <v>2022</v>
      </c>
      <c r="E195" s="2" t="s">
        <v>972</v>
      </c>
      <c r="F195" s="2" t="s">
        <v>973</v>
      </c>
      <c r="G195" s="2" t="s">
        <v>974</v>
      </c>
      <c r="H195" s="2" t="s">
        <v>741</v>
      </c>
      <c r="I195" s="2" t="str" cm="1">
        <f t="array" ref="I195">H195 &amp; _xlfn.REGEXEXTRACT(G195,"^[^_]+_\d{4}") &amp; ".pdf"</f>
        <v>https://www.ocf.berkeley.edu/~pkmendez/envsci/projects/2022final/RamseyH_2022.pdf</v>
      </c>
      <c r="J195" s="1" t="str">
        <f t="shared" ref="J195:J258" si="3">HYPERLINK(I195, I195)</f>
        <v>https://www.ocf.berkeley.edu/~pkmendez/envsci/projects/2022final/RamseyH_2022.pdf</v>
      </c>
      <c r="K195" s="2" t="str" cm="1">
        <f t="array" ref="K195:O195">_xlfn.TAKE(TRIM(_xlfn.TEXTSPLIT(F195,{",",";"})),,5)</f>
        <v>environmental knowledge</v>
      </c>
      <c r="L195" s="2" t="str">
        <v>environmental worldviews</v>
      </c>
      <c r="M195" s="2" t="str">
        <v>altruistic</v>
      </c>
      <c r="N195" s="2" t="str">
        <v>biospheric</v>
      </c>
      <c r="O195" s="2" t="str">
        <v>egoistic</v>
      </c>
      <c r="P195" s="2" t="s">
        <v>9</v>
      </c>
      <c r="Q195" s="2" t="s">
        <v>10</v>
      </c>
    </row>
    <row r="196" spans="1:17" x14ac:dyDescent="0.35">
      <c r="A196" s="2" t="s">
        <v>5884</v>
      </c>
      <c r="B196" s="2" t="s">
        <v>975</v>
      </c>
      <c r="C196" s="2" t="s">
        <v>976</v>
      </c>
      <c r="D196" s="2">
        <v>2022</v>
      </c>
      <c r="E196" s="2" t="s">
        <v>977</v>
      </c>
      <c r="F196" s="2" t="s">
        <v>978</v>
      </c>
      <c r="G196" s="2" t="s">
        <v>979</v>
      </c>
      <c r="H196" s="2" t="s">
        <v>741</v>
      </c>
      <c r="I196" s="2" t="str" cm="1">
        <f t="array" ref="I196">H196 &amp; _xlfn.REGEXEXTRACT(G196,"^[^_]+_\d{4}") &amp; ".pdf"</f>
        <v>https://www.ocf.berkeley.edu/~pkmendez/envsci/projects/2022final/RamusD_2022.pdf</v>
      </c>
      <c r="J196" s="1" t="str">
        <f t="shared" si="3"/>
        <v>https://www.ocf.berkeley.edu/~pkmendez/envsci/projects/2022final/RamusD_2022.pdf</v>
      </c>
      <c r="K196" s="2" t="str" cm="1">
        <f t="array" ref="K196:O196">_xlfn.TAKE(TRIM(_xlfn.TEXTSPLIT(F196,{",",";"})),,5)</f>
        <v>psychedelics</v>
      </c>
      <c r="L196" s="2" t="str">
        <v>indigenous rights</v>
      </c>
      <c r="M196" s="2" t="str">
        <v>land access</v>
      </c>
      <c r="N196" s="2" t="str">
        <v>cacti</v>
      </c>
      <c r="O196" s="2" t="str">
        <v>desert</v>
      </c>
      <c r="P196" s="2" t="s">
        <v>9</v>
      </c>
      <c r="Q196" s="2" t="s">
        <v>10</v>
      </c>
    </row>
    <row r="197" spans="1:17" x14ac:dyDescent="0.35">
      <c r="A197" s="2" t="s">
        <v>5884</v>
      </c>
      <c r="B197" s="2" t="s">
        <v>980</v>
      </c>
      <c r="C197" s="2" t="s">
        <v>981</v>
      </c>
      <c r="D197" s="2">
        <v>2022</v>
      </c>
      <c r="E197" s="2" t="s">
        <v>982</v>
      </c>
      <c r="F197" s="2" t="s">
        <v>983</v>
      </c>
      <c r="G197" s="2" t="s">
        <v>984</v>
      </c>
      <c r="H197" s="2" t="s">
        <v>741</v>
      </c>
      <c r="I197" s="2" t="str" cm="1">
        <f t="array" ref="I197">H197 &amp; _xlfn.REGEXEXTRACT(G197,"^[^_]+_\d{4}") &amp; ".pdf"</f>
        <v>https://www.ocf.berkeley.edu/~pkmendez/envsci/projects/2022final/ReinT_2022.pdf</v>
      </c>
      <c r="J197" s="1" t="str">
        <f t="shared" si="3"/>
        <v>https://www.ocf.berkeley.edu/~pkmendez/envsci/projects/2022final/ReinT_2022.pdf</v>
      </c>
      <c r="K197" s="2" t="str" cm="1">
        <f t="array" ref="K197:O197">_xlfn.TAKE(TRIM(_xlfn.TEXTSPLIT(F197,{",",";"})),,5)</f>
        <v>plant-pollinator mutualism</v>
      </c>
      <c r="L197" s="2" t="str">
        <v>bees and syrphid flies</v>
      </c>
      <c r="M197" s="2" t="str">
        <v>native plants</v>
      </c>
      <c r="N197" s="2" t="str">
        <v>pollination ecology</v>
      </c>
      <c r="O197" s="2" t="str">
        <v>insect community interactions</v>
      </c>
      <c r="P197" s="2" t="s">
        <v>9</v>
      </c>
      <c r="Q197" s="2" t="s">
        <v>10</v>
      </c>
    </row>
    <row r="198" spans="1:17" x14ac:dyDescent="0.35">
      <c r="A198" s="2" t="s">
        <v>5884</v>
      </c>
      <c r="B198" s="2" t="s">
        <v>990</v>
      </c>
      <c r="C198" s="2" t="s">
        <v>991</v>
      </c>
      <c r="D198" s="2">
        <v>2022</v>
      </c>
      <c r="E198" s="2" t="s">
        <v>992</v>
      </c>
      <c r="F198" s="2" t="s">
        <v>993</v>
      </c>
      <c r="G198" s="2" t="s">
        <v>994</v>
      </c>
      <c r="H198" s="2" t="s">
        <v>741</v>
      </c>
      <c r="I198" s="2" t="str" cm="1">
        <f t="array" ref="I198">H198 &amp; _xlfn.REGEXEXTRACT(G198,"^[^_]+_\d{4}") &amp; ".pdf"</f>
        <v>https://www.ocf.berkeley.edu/~pkmendez/envsci/projects/2022final/RodriguezM_2022.pdf</v>
      </c>
      <c r="J198" s="1" t="str">
        <f t="shared" si="3"/>
        <v>https://www.ocf.berkeley.edu/~pkmendez/envsci/projects/2022final/RodriguezM_2022.pdf</v>
      </c>
      <c r="K198" s="2" t="str" cm="1">
        <f t="array" ref="K198:O198">_xlfn.TAKE(TRIM(_xlfn.TEXTSPLIT(F198,{",",";"})),,5)</f>
        <v>sustainability</v>
      </c>
      <c r="L198" s="2" t="str">
        <v>recycling</v>
      </c>
      <c r="M198" s="2" t="str">
        <v>belonging</v>
      </c>
      <c r="N198" s="2" t="str">
        <v>compost</v>
      </c>
      <c r="O198" s="2" t="str">
        <v>operations staff</v>
      </c>
      <c r="P198" s="2" t="s">
        <v>9</v>
      </c>
      <c r="Q198" s="2" t="s">
        <v>10</v>
      </c>
    </row>
    <row r="199" spans="1:17" x14ac:dyDescent="0.35">
      <c r="A199" s="2" t="s">
        <v>5884</v>
      </c>
      <c r="B199" s="2" t="s">
        <v>995</v>
      </c>
      <c r="C199" s="2" t="s">
        <v>996</v>
      </c>
      <c r="D199" s="2">
        <v>2022</v>
      </c>
      <c r="E199" s="2" t="s">
        <v>997</v>
      </c>
      <c r="F199" s="2" t="s">
        <v>998</v>
      </c>
      <c r="G199" s="2" t="s">
        <v>999</v>
      </c>
      <c r="H199" s="2" t="s">
        <v>741</v>
      </c>
      <c r="I199" s="2" t="str" cm="1">
        <f t="array" ref="I199">H199 &amp; _xlfn.REGEXEXTRACT(G199,"^[^_]+_\d{4}") &amp; ".pdf"</f>
        <v>https://www.ocf.berkeley.edu/~pkmendez/envsci/projects/2022final/RoxbroughB_2022.pdf</v>
      </c>
      <c r="J199" s="1" t="str">
        <f t="shared" si="3"/>
        <v>https://www.ocf.berkeley.edu/~pkmendez/envsci/projects/2022final/RoxbroughB_2022.pdf</v>
      </c>
      <c r="K199" s="2" t="str" cm="1">
        <f t="array" ref="K199:O199">_xlfn.TAKE(TRIM(_xlfn.TEXTSPLIT(F199,{",",";"})),,5)</f>
        <v>California</v>
      </c>
      <c r="L199" s="2" t="str">
        <v>body size</v>
      </c>
      <c r="M199" s="2" t="str">
        <v>climate change</v>
      </c>
      <c r="N199" s="2" t="str">
        <v>Pterostichus</v>
      </c>
      <c r="O199" s="2" t="str">
        <v>community ecology</v>
      </c>
      <c r="P199" s="2" t="s">
        <v>9</v>
      </c>
      <c r="Q199" s="2" t="s">
        <v>10</v>
      </c>
    </row>
    <row r="200" spans="1:17" x14ac:dyDescent="0.35">
      <c r="A200" s="2" t="s">
        <v>5884</v>
      </c>
      <c r="B200" s="2" t="s">
        <v>1000</v>
      </c>
      <c r="C200" s="2" t="s">
        <v>1001</v>
      </c>
      <c r="D200" s="2">
        <v>2022</v>
      </c>
      <c r="E200" s="2" t="s">
        <v>1002</v>
      </c>
      <c r="F200" s="2" t="s">
        <v>1003</v>
      </c>
      <c r="G200" s="2" t="s">
        <v>1004</v>
      </c>
      <c r="H200" s="2" t="s">
        <v>741</v>
      </c>
      <c r="I200" s="2" t="str" cm="1">
        <f t="array" ref="I200">H200 &amp; _xlfn.REGEXEXTRACT(G200,"^[^_]+_\d{4}") &amp; ".pdf"</f>
        <v>https://www.ocf.berkeley.edu/~pkmendez/envsci/projects/2022final/RuppertT_2022.pdf</v>
      </c>
      <c r="J200" s="1" t="str">
        <f t="shared" si="3"/>
        <v>https://www.ocf.berkeley.edu/~pkmendez/envsci/projects/2022final/RuppertT_2022.pdf</v>
      </c>
      <c r="K200" s="2" t="str" cm="1">
        <f t="array" ref="K200:N200">_xlfn.TAKE(TRIM(_xlfn.TEXTSPLIT(F200,{",",";"})),,5)</f>
        <v>Water use</v>
      </c>
      <c r="L200" s="2" t="str">
        <v>animal-sourced foods</v>
      </c>
      <c r="M200" s="2" t="str">
        <v>US beef</v>
      </c>
      <c r="N200" s="2" t="str">
        <v>plant-based global Food Regime</v>
      </c>
      <c r="P200" s="2" t="s">
        <v>9</v>
      </c>
      <c r="Q200" s="2" t="s">
        <v>10</v>
      </c>
    </row>
    <row r="201" spans="1:17" x14ac:dyDescent="0.35">
      <c r="A201" s="2" t="s">
        <v>5884</v>
      </c>
      <c r="B201" s="2" t="s">
        <v>1005</v>
      </c>
      <c r="C201" s="2" t="s">
        <v>1006</v>
      </c>
      <c r="D201" s="2">
        <v>2022</v>
      </c>
      <c r="E201" s="2" t="s">
        <v>1007</v>
      </c>
      <c r="F201" s="2" t="s">
        <v>1008</v>
      </c>
      <c r="G201" s="2" t="s">
        <v>1009</v>
      </c>
      <c r="H201" s="2" t="s">
        <v>741</v>
      </c>
      <c r="I201" s="2" t="str" cm="1">
        <f t="array" ref="I201">H201 &amp; _xlfn.REGEXEXTRACT(G201,"^[^_]+_\d{4}") &amp; ".pdf"</f>
        <v>https://www.ocf.berkeley.edu/~pkmendez/envsci/projects/2022final/SalesJ_2022.pdf</v>
      </c>
      <c r="J201" s="1" t="str">
        <f t="shared" si="3"/>
        <v>https://www.ocf.berkeley.edu/~pkmendez/envsci/projects/2022final/SalesJ_2022.pdf</v>
      </c>
      <c r="K201" s="2" t="str" cm="1">
        <f t="array" ref="K201:O201">_xlfn.TAKE(TRIM(_xlfn.TEXTSPLIT(F201,{",",";"})),,5)</f>
        <v>Random Forest</v>
      </c>
      <c r="L201" s="2" t="str">
        <v>Cytisus scoparius</v>
      </c>
      <c r="M201" s="2" t="str">
        <v>Genista monspessulana</v>
      </c>
      <c r="N201" s="2" t="str">
        <v>niche overlap</v>
      </c>
      <c r="O201" s="2" t="str">
        <v>invasive-invasive competition/facilitation</v>
      </c>
      <c r="P201" s="2" t="s">
        <v>9</v>
      </c>
      <c r="Q201" s="2" t="s">
        <v>10</v>
      </c>
    </row>
    <row r="202" spans="1:17" x14ac:dyDescent="0.35">
      <c r="A202" s="2" t="s">
        <v>5884</v>
      </c>
      <c r="B202" s="2" t="s">
        <v>1010</v>
      </c>
      <c r="C202" s="2" t="s">
        <v>1011</v>
      </c>
      <c r="D202" s="2">
        <v>2022</v>
      </c>
      <c r="E202" s="2" t="s">
        <v>1012</v>
      </c>
      <c r="F202" s="2" t="s">
        <v>1013</v>
      </c>
      <c r="G202" s="2" t="s">
        <v>1014</v>
      </c>
      <c r="H202" s="2" t="s">
        <v>741</v>
      </c>
      <c r="I202" s="2" t="str" cm="1">
        <f t="array" ref="I202">H202 &amp; _xlfn.REGEXEXTRACT(G202,"^[^_]+_\d{4}") &amp; ".pdf"</f>
        <v>https://www.ocf.berkeley.edu/~pkmendez/envsci/projects/2022final/SallstromE_2022.pdf</v>
      </c>
      <c r="J202" s="1" t="str">
        <f t="shared" si="3"/>
        <v>https://www.ocf.berkeley.edu/~pkmendez/envsci/projects/2022final/SallstromE_2022.pdf</v>
      </c>
      <c r="K202" s="2" t="str" cm="1">
        <f t="array" ref="K202:O202">_xlfn.TAKE(TRIM(_xlfn.TEXTSPLIT(F202,{",",";"})),,5)</f>
        <v>GIS</v>
      </c>
      <c r="L202" s="2" t="str">
        <v>animal agriculture</v>
      </c>
      <c r="M202" s="2" t="str">
        <v>U.S. Census</v>
      </c>
      <c r="N202" s="2" t="str">
        <v>American Community Survey (ACS)</v>
      </c>
      <c r="O202" s="2" t="str">
        <v>buffer analysis</v>
      </c>
      <c r="P202" s="2" t="s">
        <v>9</v>
      </c>
      <c r="Q202" s="2" t="s">
        <v>10</v>
      </c>
    </row>
    <row r="203" spans="1:17" x14ac:dyDescent="0.35">
      <c r="A203" s="2" t="s">
        <v>5884</v>
      </c>
      <c r="B203" s="2" t="s">
        <v>1015</v>
      </c>
      <c r="C203" s="2" t="s">
        <v>1016</v>
      </c>
      <c r="D203" s="2">
        <v>2022</v>
      </c>
      <c r="E203" s="2" t="s">
        <v>1017</v>
      </c>
      <c r="F203" s="2" t="s">
        <v>1018</v>
      </c>
      <c r="G203" s="2" t="s">
        <v>1019</v>
      </c>
      <c r="H203" s="2" t="s">
        <v>741</v>
      </c>
      <c r="I203" s="2" t="str" cm="1">
        <f t="array" ref="I203">H203 &amp; _xlfn.REGEXEXTRACT(G203,"^[^_]+_\d{4}") &amp; ".pdf"</f>
        <v>https://www.ocf.berkeley.edu/~pkmendez/envsci/projects/2022final/SamuelsA_2022.pdf</v>
      </c>
      <c r="J203" s="1" t="str">
        <f t="shared" si="3"/>
        <v>https://www.ocf.berkeley.edu/~pkmendez/envsci/projects/2022final/SamuelsA_2022.pdf</v>
      </c>
      <c r="K203" s="2" t="str" cm="1">
        <f t="array" ref="K203:O203">_xlfn.TAKE(TRIM(_xlfn.TEXTSPLIT(F203,{",",";"})),,5)</f>
        <v>Triticum aestivum</v>
      </c>
      <c r="L203" s="2" t="str">
        <v>climate change</v>
      </c>
      <c r="M203" s="2" t="str">
        <v>resilience</v>
      </c>
      <c r="N203" s="2" t="str">
        <v>arbuscular mycorrhizal fungi</v>
      </c>
      <c r="O203" s="2" t="str">
        <v>mutualism</v>
      </c>
      <c r="P203" s="2" t="s">
        <v>9</v>
      </c>
      <c r="Q203" s="2" t="s">
        <v>10</v>
      </c>
    </row>
    <row r="204" spans="1:17" x14ac:dyDescent="0.35">
      <c r="A204" s="2" t="s">
        <v>5884</v>
      </c>
      <c r="B204" s="2" t="s">
        <v>1020</v>
      </c>
      <c r="C204" s="2" t="s">
        <v>1021</v>
      </c>
      <c r="D204" s="2">
        <v>2022</v>
      </c>
      <c r="E204" s="2" t="s">
        <v>1022</v>
      </c>
      <c r="F204" s="2" t="s">
        <v>1023</v>
      </c>
      <c r="G204" s="2" t="s">
        <v>1024</v>
      </c>
      <c r="H204" s="2" t="s">
        <v>741</v>
      </c>
      <c r="I204" s="2" t="str" cm="1">
        <f t="array" ref="I204">H204 &amp; _xlfn.REGEXEXTRACT(G204,"^[^_]+_\d{4}") &amp; ".pdf"</f>
        <v>https://www.ocf.berkeley.edu/~pkmendez/envsci/projects/2022final/SchaferT_2022.pdf</v>
      </c>
      <c r="J204" s="1" t="str">
        <f t="shared" si="3"/>
        <v>https://www.ocf.berkeley.edu/~pkmendez/envsci/projects/2022final/SchaferT_2022.pdf</v>
      </c>
      <c r="K204" s="2" t="str" cm="1">
        <f t="array" ref="K204:O204">_xlfn.TAKE(TRIM(_xlfn.TEXTSPLIT(F204,{",",";"})),,5)</f>
        <v>pandemic</v>
      </c>
      <c r="L204" s="2" t="str">
        <v>college students</v>
      </c>
      <c r="M204" s="2" t="str">
        <v>higher education</v>
      </c>
      <c r="N204" s="2" t="str">
        <v>food insecurity</v>
      </c>
      <c r="O204" s="2" t="str">
        <v>housing insecurity</v>
      </c>
      <c r="P204" s="2" t="s">
        <v>9</v>
      </c>
      <c r="Q204" s="2" t="s">
        <v>10</v>
      </c>
    </row>
    <row r="205" spans="1:17" x14ac:dyDescent="0.35">
      <c r="A205" s="2" t="s">
        <v>5884</v>
      </c>
      <c r="B205" s="2" t="s">
        <v>1025</v>
      </c>
      <c r="C205" s="2" t="s">
        <v>1026</v>
      </c>
      <c r="D205" s="2">
        <v>2022</v>
      </c>
      <c r="E205" s="2" t="s">
        <v>1027</v>
      </c>
      <c r="F205" s="2" t="s">
        <v>1028</v>
      </c>
      <c r="G205" s="2" t="s">
        <v>1029</v>
      </c>
      <c r="H205" s="2" t="s">
        <v>741</v>
      </c>
      <c r="I205" s="2" t="str" cm="1">
        <f t="array" ref="I205">H205 &amp; _xlfn.REGEXEXTRACT(G205,"^[^_]+_\d{4}") &amp; ".pdf"</f>
        <v>https://www.ocf.berkeley.edu/~pkmendez/envsci/projects/2022final/SidhomP_2022.pdf</v>
      </c>
      <c r="J205" s="1" t="str">
        <f t="shared" si="3"/>
        <v>https://www.ocf.berkeley.edu/~pkmendez/envsci/projects/2022final/SidhomP_2022.pdf</v>
      </c>
      <c r="K205" s="2" t="str" cm="1">
        <f t="array" ref="K205:O205">_xlfn.TAKE(TRIM(_xlfn.TEXTSPLIT(F205,{",",";"})),,5)</f>
        <v>BirdNET</v>
      </c>
      <c r="L205" s="2" t="str">
        <v>OpenAcousticDevices AudioMoth</v>
      </c>
      <c r="M205" s="2" t="str">
        <v>human nature recreation</v>
      </c>
      <c r="N205" s="2" t="str">
        <v>bird behavior</v>
      </c>
      <c r="O205" s="2" t="str">
        <v>wilderness preserve</v>
      </c>
      <c r="P205" s="2" t="s">
        <v>9</v>
      </c>
      <c r="Q205" s="2" t="s">
        <v>10</v>
      </c>
    </row>
    <row r="206" spans="1:17" x14ac:dyDescent="0.35">
      <c r="A206" s="2" t="s">
        <v>5884</v>
      </c>
      <c r="B206" s="2" t="s">
        <v>1030</v>
      </c>
      <c r="C206" s="2" t="s">
        <v>1031</v>
      </c>
      <c r="D206" s="2">
        <v>2022</v>
      </c>
      <c r="E206" s="2" t="s">
        <v>1032</v>
      </c>
      <c r="F206" s="2" t="s">
        <v>1033</v>
      </c>
      <c r="G206" s="2" t="s">
        <v>1034</v>
      </c>
      <c r="H206" s="2" t="s">
        <v>741</v>
      </c>
      <c r="I206" s="2" t="str" cm="1">
        <f t="array" ref="I206">H206 &amp; _xlfn.REGEXEXTRACT(G206,"^[^_]+_\d{4}") &amp; ".pdf"</f>
        <v>https://www.ocf.berkeley.edu/~pkmendez/envsci/projects/2022final/TicasO_2022.pdf</v>
      </c>
      <c r="J206" s="1" t="str">
        <f t="shared" si="3"/>
        <v>https://www.ocf.berkeley.edu/~pkmendez/envsci/projects/2022final/TicasO_2022.pdf</v>
      </c>
      <c r="K206" s="2" t="str" cm="1">
        <f t="array" ref="K206:O206">_xlfn.TAKE(TRIM(_xlfn.TEXTSPLIT(F206,{",",";"})),,5)</f>
        <v>Accretion</v>
      </c>
      <c r="L206" s="2" t="str">
        <v>Cover Burns</v>
      </c>
      <c r="M206" s="2" t="str">
        <v>Impoundment</v>
      </c>
      <c r="N206" s="2" t="str">
        <v>Prescribed Burning</v>
      </c>
      <c r="O206" s="2" t="str">
        <v>Organic Matter</v>
      </c>
      <c r="P206" s="2" t="s">
        <v>9</v>
      </c>
      <c r="Q206" s="2" t="s">
        <v>10</v>
      </c>
    </row>
    <row r="207" spans="1:17" x14ac:dyDescent="0.35">
      <c r="A207" s="2" t="s">
        <v>5884</v>
      </c>
      <c r="B207" s="2" t="s">
        <v>1035</v>
      </c>
      <c r="C207" s="2" t="s">
        <v>1036</v>
      </c>
      <c r="D207" s="2">
        <v>2022</v>
      </c>
      <c r="E207" s="2" t="s">
        <v>1037</v>
      </c>
      <c r="F207" s="2" t="s">
        <v>1038</v>
      </c>
      <c r="G207" s="2" t="s">
        <v>1039</v>
      </c>
      <c r="H207" s="2" t="s">
        <v>741</v>
      </c>
      <c r="I207" s="2" t="str" cm="1">
        <f t="array" ref="I207">H207 &amp; _xlfn.REGEXEXTRACT(G207,"^[^_]+_\d{4}") &amp; ".pdf"</f>
        <v>https://www.ocf.berkeley.edu/~pkmendez/envsci/projects/2022final/TranM_2022.pdf</v>
      </c>
      <c r="J207" s="1" t="str">
        <f t="shared" si="3"/>
        <v>https://www.ocf.berkeley.edu/~pkmendez/envsci/projects/2022final/TranM_2022.pdf</v>
      </c>
      <c r="K207" s="2" t="str" cm="1">
        <f t="array" ref="K207:O207">_xlfn.TAKE(TRIM(_xlfn.TEXTSPLIT(F207,{",",";"})),,5)</f>
        <v>interspecies</v>
      </c>
      <c r="L207" s="2" t="str">
        <v>predator-prey</v>
      </c>
      <c r="M207" s="2" t="str">
        <v>intraspecies</v>
      </c>
      <c r="N207" s="2" t="str">
        <v>Sea Star Wasting Disease</v>
      </c>
      <c r="O207" s="2" t="str">
        <v>occurrence</v>
      </c>
      <c r="P207" s="2" t="s">
        <v>9</v>
      </c>
      <c r="Q207" s="2" t="s">
        <v>10</v>
      </c>
    </row>
    <row r="208" spans="1:17" x14ac:dyDescent="0.35">
      <c r="A208" s="2" t="s">
        <v>5884</v>
      </c>
      <c r="B208" s="2" t="s">
        <v>1040</v>
      </c>
      <c r="C208" s="2" t="s">
        <v>1041</v>
      </c>
      <c r="D208" s="2">
        <v>2022</v>
      </c>
      <c r="E208" s="2" t="s">
        <v>1042</v>
      </c>
      <c r="F208" s="2" t="s">
        <v>1043</v>
      </c>
      <c r="G208" s="2" t="s">
        <v>1044</v>
      </c>
      <c r="H208" s="2" t="s">
        <v>741</v>
      </c>
      <c r="I208" s="2" t="str" cm="1">
        <f t="array" ref="I208">H208 &amp; _xlfn.REGEXEXTRACT(G208,"^[^_]+_\d{4}") &amp; ".pdf"</f>
        <v>https://www.ocf.berkeley.edu/~pkmendez/envsci/projects/2022final/WheelerM_2022.pdf</v>
      </c>
      <c r="J208" s="1" t="str">
        <f t="shared" si="3"/>
        <v>https://www.ocf.berkeley.edu/~pkmendez/envsci/projects/2022final/WheelerM_2022.pdf</v>
      </c>
      <c r="K208" s="2" t="str" cm="1">
        <f t="array" ref="K208:O208">_xlfn.TAKE(TRIM(_xlfn.TEXTSPLIT(F208,{",",";"})),,5)</f>
        <v>dominant species</v>
      </c>
      <c r="L208" s="2" t="str">
        <v>non-native</v>
      </c>
      <c r="M208" s="2" t="str">
        <v>species distribution</v>
      </c>
      <c r="N208" s="2" t="str">
        <v>temporal study</v>
      </c>
      <c r="O208" s="2" t="str">
        <v>abundance</v>
      </c>
      <c r="P208" s="2" t="s">
        <v>9</v>
      </c>
      <c r="Q208" s="2" t="s">
        <v>10</v>
      </c>
    </row>
    <row r="209" spans="1:17" x14ac:dyDescent="0.35">
      <c r="A209" s="2" t="s">
        <v>5884</v>
      </c>
      <c r="B209" s="2" t="s">
        <v>1045</v>
      </c>
      <c r="C209" s="2" t="s">
        <v>1046</v>
      </c>
      <c r="D209" s="2">
        <v>2022</v>
      </c>
      <c r="E209" s="2" t="s">
        <v>1047</v>
      </c>
      <c r="F209" s="2" t="s">
        <v>1048</v>
      </c>
      <c r="G209" s="2" t="s">
        <v>1049</v>
      </c>
      <c r="H209" s="2" t="s">
        <v>741</v>
      </c>
      <c r="I209" s="2" t="str" cm="1">
        <f t="array" ref="I209">H209 &amp; _xlfn.REGEXEXTRACT(G209,"^[^_]+_\d{4}") &amp; ".pdf"</f>
        <v>https://www.ocf.berkeley.edu/~pkmendez/envsci/projects/2022final/WilliamsM_2022.pdf</v>
      </c>
      <c r="J209" s="1" t="str">
        <f t="shared" si="3"/>
        <v>https://www.ocf.berkeley.edu/~pkmendez/envsci/projects/2022final/WilliamsM_2022.pdf</v>
      </c>
      <c r="K209" s="2" t="str" cm="1">
        <f t="array" ref="K209:O209">_xlfn.TAKE(TRIM(_xlfn.TEXTSPLIT(F209,{",",";"})),,5)</f>
        <v>land equivalence ratio</v>
      </c>
      <c r="L209" s="2" t="str">
        <v>land suitability analysis</v>
      </c>
      <c r="M209" s="2" t="str">
        <v>rangevoltaics</v>
      </c>
      <c r="N209" s="2" t="str">
        <v>photovoltaics</v>
      </c>
      <c r="O209" s="2" t="str">
        <v>land efficiency</v>
      </c>
      <c r="P209" s="2" t="s">
        <v>9</v>
      </c>
      <c r="Q209" s="2" t="s">
        <v>10</v>
      </c>
    </row>
    <row r="210" spans="1:17" x14ac:dyDescent="0.35">
      <c r="A210" s="2" t="s">
        <v>5884</v>
      </c>
      <c r="B210" s="2" t="s">
        <v>1050</v>
      </c>
      <c r="C210" s="2" t="s">
        <v>1051</v>
      </c>
      <c r="D210" s="2">
        <v>2022</v>
      </c>
      <c r="E210" s="2" t="s">
        <v>1052</v>
      </c>
      <c r="F210" s="2" t="s">
        <v>1053</v>
      </c>
      <c r="G210" s="2" t="s">
        <v>1054</v>
      </c>
      <c r="H210" s="2" t="s">
        <v>741</v>
      </c>
      <c r="I210" s="2" t="str" cm="1">
        <f t="array" ref="I210">H210 &amp; _xlfn.REGEXEXTRACT(G210,"^[^_]+_\d{4}") &amp; ".pdf"</f>
        <v>https://www.ocf.berkeley.edu/~pkmendez/envsci/projects/2022final/WongM_2022.pdf</v>
      </c>
      <c r="J210" s="1" t="str">
        <f t="shared" si="3"/>
        <v>https://www.ocf.berkeley.edu/~pkmendez/envsci/projects/2022final/WongM_2022.pdf</v>
      </c>
      <c r="K210" s="2" t="str" cm="1">
        <f t="array" ref="K210:O210">_xlfn.TAKE(TRIM(_xlfn.TEXTSPLIT(F210,{",",";"})),,5)</f>
        <v>plastic pollution</v>
      </c>
      <c r="L210" s="2" t="str">
        <v>COVID-19 (SARS-CoV-2)</v>
      </c>
      <c r="M210" s="2" t="str">
        <v>municipal solid waste</v>
      </c>
      <c r="N210" s="2" t="str">
        <v>sustainability</v>
      </c>
      <c r="O210" s="2" t="str">
        <v>littering</v>
      </c>
      <c r="P210" s="2" t="s">
        <v>9</v>
      </c>
      <c r="Q210" s="2" t="s">
        <v>10</v>
      </c>
    </row>
    <row r="211" spans="1:17" x14ac:dyDescent="0.35">
      <c r="A211" s="2" t="s">
        <v>5884</v>
      </c>
      <c r="B211" s="2" t="s">
        <v>1055</v>
      </c>
      <c r="C211" s="2" t="s">
        <v>1056</v>
      </c>
      <c r="D211" s="2">
        <v>2022</v>
      </c>
      <c r="E211" s="2" t="s">
        <v>1057</v>
      </c>
      <c r="F211" s="2" t="s">
        <v>1058</v>
      </c>
      <c r="G211" s="2" t="s">
        <v>1059</v>
      </c>
      <c r="H211" s="2" t="s">
        <v>741</v>
      </c>
      <c r="I211" s="2" t="str" cm="1">
        <f t="array" ref="I211">H211 &amp; _xlfn.REGEXEXTRACT(G211,"^[^_]+_\d{4}") &amp; ".pdf"</f>
        <v>https://www.ocf.berkeley.edu/~pkmendez/envsci/projects/2022final/XiaoM_2022.pdf</v>
      </c>
      <c r="J211" s="1" t="str">
        <f t="shared" si="3"/>
        <v>https://www.ocf.berkeley.edu/~pkmendez/envsci/projects/2022final/XiaoM_2022.pdf</v>
      </c>
      <c r="K211" s="2" t="str" cm="1">
        <f t="array" ref="K211:O211">_xlfn.TAKE(TRIM(_xlfn.TEXTSPLIT(F211,{",",";"})),,5)</f>
        <v>non-linear model</v>
      </c>
      <c r="L211" s="2" t="str">
        <v>mixed effect model</v>
      </c>
      <c r="M211" s="2" t="str">
        <v>geographic information system</v>
      </c>
      <c r="N211" s="2" t="str">
        <v>time series</v>
      </c>
      <c r="O211" s="2" t="str">
        <v>CAL FIRE</v>
      </c>
      <c r="P211" s="2" t="s">
        <v>9</v>
      </c>
      <c r="Q211" s="2" t="s">
        <v>10</v>
      </c>
    </row>
    <row r="212" spans="1:17" x14ac:dyDescent="0.35">
      <c r="A212" s="2" t="s">
        <v>5884</v>
      </c>
      <c r="B212" s="2" t="s">
        <v>1060</v>
      </c>
      <c r="C212" s="2" t="s">
        <v>1061</v>
      </c>
      <c r="D212" s="2">
        <v>2022</v>
      </c>
      <c r="E212" s="2" t="s">
        <v>1062</v>
      </c>
      <c r="F212" s="2" t="s">
        <v>1063</v>
      </c>
      <c r="G212" s="2" t="s">
        <v>1064</v>
      </c>
      <c r="H212" s="2" t="s">
        <v>741</v>
      </c>
      <c r="I212" s="2" t="str" cm="1">
        <f t="array" ref="I212">H212 &amp; _xlfn.REGEXEXTRACT(G212,"^[^_]+_\d{4}") &amp; ".pdf"</f>
        <v>https://www.ocf.berkeley.edu/~pkmendez/envsci/projects/2022final/XuG_2022.pdf</v>
      </c>
      <c r="J212" s="1" t="str">
        <f t="shared" si="3"/>
        <v>https://www.ocf.berkeley.edu/~pkmendez/envsci/projects/2022final/XuG_2022.pdf</v>
      </c>
      <c r="K212" s="2" t="str" cm="1">
        <f t="array" ref="K212:O212">_xlfn.TAKE(TRIM(_xlfn.TEXTSPLIT(F212,{",",";"})),,5)</f>
        <v>corporate social responsibility</v>
      </c>
      <c r="L212" s="2" t="str">
        <v>ESG typology</v>
      </c>
      <c r="M212" s="2" t="str">
        <v>financial performance</v>
      </c>
      <c r="N212" s="2" t="str">
        <v>mediation analysis</v>
      </c>
      <c r="O212" s="2" t="str">
        <v>China</v>
      </c>
      <c r="P212" s="2" t="s">
        <v>9</v>
      </c>
      <c r="Q212" s="2" t="s">
        <v>10</v>
      </c>
    </row>
    <row r="213" spans="1:17" x14ac:dyDescent="0.35">
      <c r="A213" s="2" t="s">
        <v>5884</v>
      </c>
      <c r="B213" s="2" t="s">
        <v>1065</v>
      </c>
      <c r="C213" s="2" t="s">
        <v>1066</v>
      </c>
      <c r="D213" s="2">
        <v>2022</v>
      </c>
      <c r="E213" s="2" t="s">
        <v>1067</v>
      </c>
      <c r="F213" s="2" t="s">
        <v>1068</v>
      </c>
      <c r="G213" s="2" t="s">
        <v>1069</v>
      </c>
      <c r="H213" s="2" t="s">
        <v>741</v>
      </c>
      <c r="I213" s="2" t="str" cm="1">
        <f t="array" ref="I213">H213 &amp; _xlfn.REGEXEXTRACT(G213,"^[^_]+_\d{4}") &amp; ".pdf"</f>
        <v>https://www.ocf.berkeley.edu/~pkmendez/envsci/projects/2022final/YangE_2022.pdf</v>
      </c>
      <c r="J213" s="1" t="str">
        <f t="shared" si="3"/>
        <v>https://www.ocf.berkeley.edu/~pkmendez/envsci/projects/2022final/YangE_2022.pdf</v>
      </c>
      <c r="K213" s="2" t="str" cm="1">
        <f t="array" ref="K213:O213">_xlfn.TAKE(TRIM(_xlfn.TEXTSPLIT(F213,{",",";"})),,5)</f>
        <v>phylogenetics</v>
      </c>
      <c r="L213" s="2" t="str">
        <v>breeding biology</v>
      </c>
      <c r="M213" s="2" t="str">
        <v>finch</v>
      </c>
      <c r="N213" s="2" t="str">
        <v>waxbills</v>
      </c>
      <c r="O213" s="2" t="str">
        <v>firefinches</v>
      </c>
      <c r="P213" s="2" t="s">
        <v>9</v>
      </c>
      <c r="Q213" s="2" t="s">
        <v>10</v>
      </c>
    </row>
    <row r="214" spans="1:17" x14ac:dyDescent="0.35">
      <c r="A214" s="2" t="s">
        <v>5884</v>
      </c>
      <c r="B214" s="2" t="s">
        <v>1070</v>
      </c>
      <c r="C214" s="2" t="s">
        <v>1071</v>
      </c>
      <c r="D214" s="2">
        <v>2022</v>
      </c>
      <c r="E214" s="2" t="s">
        <v>1072</v>
      </c>
      <c r="F214" s="2" t="s">
        <v>1073</v>
      </c>
      <c r="G214" s="2" t="s">
        <v>1074</v>
      </c>
      <c r="H214" s="2" t="s">
        <v>741</v>
      </c>
      <c r="I214" s="2" t="str" cm="1">
        <f t="array" ref="I214">H214 &amp; _xlfn.REGEXEXTRACT(G214,"^[^_]+_\d{4}") &amp; ".pdf"</f>
        <v>https://www.ocf.berkeley.edu/~pkmendez/envsci/projects/2022final/YaoY_2022.pdf</v>
      </c>
      <c r="J214" s="1" t="str">
        <f t="shared" si="3"/>
        <v>https://www.ocf.berkeley.edu/~pkmendez/envsci/projects/2022final/YaoY_2022.pdf</v>
      </c>
      <c r="K214" s="2" t="str" cm="1">
        <f t="array" ref="K214:O214">_xlfn.TAKE(TRIM(_xlfn.TEXTSPLIT(F214,{",",";"})),,5)</f>
        <v>energy mix</v>
      </c>
      <c r="L214" s="2" t="str">
        <v>Covid-19</v>
      </c>
      <c r="M214" s="2" t="str">
        <v>renewable energy</v>
      </c>
      <c r="N214" s="2" t="str">
        <v>fossil fuel</v>
      </c>
      <c r="O214" s="2" t="str">
        <v>energy consumption</v>
      </c>
      <c r="P214" s="2" t="s">
        <v>9</v>
      </c>
      <c r="Q214" s="2" t="s">
        <v>10</v>
      </c>
    </row>
    <row r="215" spans="1:17" x14ac:dyDescent="0.35">
      <c r="A215" s="2" t="s">
        <v>5884</v>
      </c>
      <c r="B215" s="2" t="s">
        <v>1075</v>
      </c>
      <c r="C215" s="2" t="s">
        <v>1076</v>
      </c>
      <c r="D215" s="2">
        <v>2022</v>
      </c>
      <c r="E215" s="2" t="s">
        <v>1077</v>
      </c>
      <c r="F215" s="2" t="s">
        <v>1078</v>
      </c>
      <c r="G215" s="2" t="s">
        <v>1079</v>
      </c>
      <c r="H215" s="2" t="s">
        <v>741</v>
      </c>
      <c r="I215" s="2" t="str" cm="1">
        <f t="array" ref="I215">H215 &amp; _xlfn.REGEXEXTRACT(G215,"^[^_]+_\d{4}") &amp; ".pdf"</f>
        <v>https://www.ocf.berkeley.edu/~pkmendez/envsci/projects/2022final/YunZ_2022.pdf</v>
      </c>
      <c r="J215" s="1" t="str">
        <f t="shared" si="3"/>
        <v>https://www.ocf.berkeley.edu/~pkmendez/envsci/projects/2022final/YunZ_2022.pdf</v>
      </c>
      <c r="K215" s="2" t="str" cm="1">
        <f t="array" ref="K215:O215">_xlfn.TAKE(TRIM(_xlfn.TEXTSPLIT(F215,{",",";"})),,5)</f>
        <v>water pollution</v>
      </c>
      <c r="L215" s="2" t="str">
        <v>Lake Tahoe</v>
      </c>
      <c r="M215" s="2" t="str">
        <v>data analysis</v>
      </c>
      <c r="N215" s="2" t="str">
        <v>policymaking</v>
      </c>
      <c r="O215" s="2" t="str">
        <v>airborne pollutants</v>
      </c>
      <c r="P215" s="2" t="s">
        <v>9</v>
      </c>
      <c r="Q215" s="2" t="s">
        <v>10</v>
      </c>
    </row>
    <row r="216" spans="1:17" x14ac:dyDescent="0.35">
      <c r="A216" s="2" t="s">
        <v>5884</v>
      </c>
      <c r="B216" s="2" t="s">
        <v>1080</v>
      </c>
      <c r="C216" s="2" t="s">
        <v>1081</v>
      </c>
      <c r="D216" s="2">
        <v>2022</v>
      </c>
      <c r="E216" s="2" t="s">
        <v>1082</v>
      </c>
      <c r="F216" s="2" t="s">
        <v>1083</v>
      </c>
      <c r="G216" s="2" t="s">
        <v>1084</v>
      </c>
      <c r="H216" s="2" t="s">
        <v>741</v>
      </c>
      <c r="I216" s="2" t="str" cm="1">
        <f t="array" ref="I216">H216 &amp; _xlfn.REGEXEXTRACT(G216,"^[^_]+_\d{4}") &amp; ".pdf"</f>
        <v>https://www.ocf.berkeley.edu/~pkmendez/envsci/projects/2022final/ZermenoA_2022.pdf</v>
      </c>
      <c r="J216" s="1" t="str">
        <f t="shared" si="3"/>
        <v>https://www.ocf.berkeley.edu/~pkmendez/envsci/projects/2022final/ZermenoA_2022.pdf</v>
      </c>
      <c r="K216" s="2" t="str" cm="1">
        <f t="array" ref="K216:O216">_xlfn.TAKE(TRIM(_xlfn.TEXTSPLIT(F216,{",",";"})),,5)</f>
        <v>geoethics</v>
      </c>
      <c r="L216" s="2" t="str">
        <v>GIS standards</v>
      </c>
      <c r="M216" s="2" t="str">
        <v>GIS guidelines</v>
      </c>
      <c r="N216" s="2" t="str">
        <v>practitioner methods</v>
      </c>
      <c r="O216" s="2" t="str">
        <v>unethical practices</v>
      </c>
      <c r="P216" s="2" t="s">
        <v>9</v>
      </c>
      <c r="Q216" s="2" t="s">
        <v>10</v>
      </c>
    </row>
    <row r="217" spans="1:17" x14ac:dyDescent="0.35">
      <c r="A217" s="2" t="s">
        <v>5884</v>
      </c>
      <c r="B217" s="2" t="s">
        <v>1085</v>
      </c>
      <c r="C217" s="2" t="s">
        <v>1086</v>
      </c>
      <c r="D217" s="2">
        <v>2022</v>
      </c>
      <c r="E217" s="2" t="s">
        <v>1087</v>
      </c>
      <c r="F217" s="2" t="s">
        <v>1088</v>
      </c>
      <c r="G217" s="2" t="s">
        <v>1089</v>
      </c>
      <c r="H217" s="2" t="s">
        <v>741</v>
      </c>
      <c r="I217" s="2" t="str" cm="1">
        <f t="array" ref="I217">H217 &amp; _xlfn.REGEXEXTRACT(G217,"^[^_]+_\d{4}") &amp; ".pdf"</f>
        <v>https://www.ocf.berkeley.edu/~pkmendez/envsci/projects/2022final/ZhangL_2022.pdf</v>
      </c>
      <c r="J217" s="1" t="str">
        <f t="shared" si="3"/>
        <v>https://www.ocf.berkeley.edu/~pkmendez/envsci/projects/2022final/ZhangL_2022.pdf</v>
      </c>
      <c r="K217" s="2" t="str" cm="1">
        <f t="array" ref="K217:O217">_xlfn.TAKE(TRIM(_xlfn.TEXTSPLIT(F217,{",",";"})),,5)</f>
        <v>energy transition</v>
      </c>
      <c r="L217" s="2" t="str">
        <v>natural gas</v>
      </c>
      <c r="M217" s="2" t="str">
        <v>nuclear energy retirement</v>
      </c>
      <c r="N217" s="2" t="str">
        <v>stakeholder engagement</v>
      </c>
      <c r="O217" s="2" t="str">
        <v>clean energy</v>
      </c>
      <c r="P217" s="2" t="s">
        <v>9</v>
      </c>
      <c r="Q217" s="2" t="s">
        <v>10</v>
      </c>
    </row>
    <row r="218" spans="1:17" x14ac:dyDescent="0.35">
      <c r="A218" s="2" t="s">
        <v>5884</v>
      </c>
      <c r="B218" s="2" t="s">
        <v>1090</v>
      </c>
      <c r="C218" s="2" t="s">
        <v>1091</v>
      </c>
      <c r="D218" s="2">
        <v>2022</v>
      </c>
      <c r="E218" s="2" t="s">
        <v>1092</v>
      </c>
      <c r="F218" s="2" t="s">
        <v>1093</v>
      </c>
      <c r="G218" s="2" t="s">
        <v>1094</v>
      </c>
      <c r="H218" s="2" t="s">
        <v>741</v>
      </c>
      <c r="I218" s="2" t="str" cm="1">
        <f t="array" ref="I218">H218 &amp; _xlfn.REGEXEXTRACT(G218,"^[^_]+_\d{4}") &amp; ".pdf"</f>
        <v>https://www.ocf.berkeley.edu/~pkmendez/envsci/projects/2022final/ZhongD_2022.pdf</v>
      </c>
      <c r="J218" s="1" t="str">
        <f t="shared" si="3"/>
        <v>https://www.ocf.berkeley.edu/~pkmendez/envsci/projects/2022final/ZhongD_2022.pdf</v>
      </c>
      <c r="K218" s="2" t="str" cm="1">
        <f t="array" ref="K218:O218">_xlfn.TAKE(TRIM(_xlfn.TEXTSPLIT(F218,{",",";"})),,5)</f>
        <v>leaf vein density</v>
      </c>
      <c r="L218" s="2" t="str">
        <v>petiole</v>
      </c>
      <c r="M218" s="2" t="str">
        <v>puncture</v>
      </c>
      <c r="N218" s="2" t="str">
        <v>herbivory</v>
      </c>
      <c r="O218" s="2" t="str">
        <v>plant growth</v>
      </c>
      <c r="P218" s="2" t="s">
        <v>9</v>
      </c>
      <c r="Q218" s="2" t="s">
        <v>10</v>
      </c>
    </row>
    <row r="219" spans="1:17" x14ac:dyDescent="0.35">
      <c r="A219" s="2" t="s">
        <v>5884</v>
      </c>
      <c r="B219" s="2" t="s">
        <v>1095</v>
      </c>
      <c r="C219" s="2" t="s">
        <v>1096</v>
      </c>
      <c r="D219" s="2">
        <v>2022</v>
      </c>
      <c r="E219" s="2" t="s">
        <v>1097</v>
      </c>
      <c r="F219" s="2" t="s">
        <v>1098</v>
      </c>
      <c r="G219" s="2" t="s">
        <v>1099</v>
      </c>
      <c r="H219" s="2" t="s">
        <v>741</v>
      </c>
      <c r="I219" s="2" t="str" cm="1">
        <f t="array" ref="I219">H219 &amp; _xlfn.REGEXEXTRACT(G219,"^[^_]+_\d{4}") &amp; ".pdf"</f>
        <v>https://www.ocf.berkeley.edu/~pkmendez/envsci/projects/2022final/ZhuA_2022.pdf</v>
      </c>
      <c r="J219" s="1" t="str">
        <f t="shared" si="3"/>
        <v>https://www.ocf.berkeley.edu/~pkmendez/envsci/projects/2022final/ZhuA_2022.pdf</v>
      </c>
      <c r="K219" s="2" t="str" cm="1">
        <f t="array" ref="K219:O219">_xlfn.TAKE(TRIM(_xlfn.TEXTSPLIT(F219,{",",";"})),,5)</f>
        <v>soft policing</v>
      </c>
      <c r="L219" s="2" t="str">
        <v>hostile architecture</v>
      </c>
      <c r="M219" s="2" t="str">
        <v>urban green space</v>
      </c>
      <c r="N219" s="2" t="str">
        <v>defensible spaces</v>
      </c>
      <c r="O219" s="2" t="str">
        <v>crime prevention through environmental design</v>
      </c>
      <c r="P219" s="2" t="s">
        <v>9</v>
      </c>
      <c r="Q219" s="2" t="s">
        <v>10</v>
      </c>
    </row>
    <row r="220" spans="1:17" x14ac:dyDescent="0.35">
      <c r="A220" s="2" t="s">
        <v>5884</v>
      </c>
      <c r="B220" s="2" t="s">
        <v>985</v>
      </c>
      <c r="C220" s="2" t="s">
        <v>986</v>
      </c>
      <c r="D220" s="2">
        <v>2021</v>
      </c>
      <c r="E220" s="2" t="s">
        <v>987</v>
      </c>
      <c r="F220" s="2" t="s">
        <v>988</v>
      </c>
      <c r="G220" s="2" t="s">
        <v>989</v>
      </c>
      <c r="H220" s="2" t="s">
        <v>741</v>
      </c>
      <c r="I220" s="2" t="str" cm="1">
        <f t="array" ref="I220">H220 &amp; _xlfn.REGEXEXTRACT(G220,"^[^_]+_\d{4}") &amp; ".pdf"</f>
        <v>https://www.ocf.berkeley.edu/~pkmendez/envsci/projects/2022final/RenX_2022.pdf</v>
      </c>
      <c r="J220" s="1" t="str">
        <f t="shared" si="3"/>
        <v>https://www.ocf.berkeley.edu/~pkmendez/envsci/projects/2022final/RenX_2022.pdf</v>
      </c>
      <c r="K220" s="2" t="str" cm="1">
        <f t="array" ref="K220:O220">_xlfn.TAKE(TRIM(_xlfn.TEXTSPLIT(F220,{",",";"})),,5)</f>
        <v>hair-crested drongos</v>
      </c>
      <c r="L220" s="2" t="str">
        <v>migration</v>
      </c>
      <c r="M220" s="2" t="str">
        <v>stopover</v>
      </c>
      <c r="N220" s="2" t="str">
        <v>site selection</v>
      </c>
      <c r="O220" s="2" t="str">
        <v>migratory behaviors</v>
      </c>
      <c r="P220" s="2" t="s">
        <v>9</v>
      </c>
      <c r="Q220" s="2" t="s">
        <v>10</v>
      </c>
    </row>
    <row r="221" spans="1:17" x14ac:dyDescent="0.35">
      <c r="A221" s="2" t="s">
        <v>5884</v>
      </c>
      <c r="B221" s="2" t="s">
        <v>1100</v>
      </c>
      <c r="C221" s="2" t="s">
        <v>1101</v>
      </c>
      <c r="D221" s="2">
        <v>2021</v>
      </c>
      <c r="E221" s="2" t="s">
        <v>1102</v>
      </c>
      <c r="F221" s="2" t="s">
        <v>1103</v>
      </c>
      <c r="G221" s="2" t="s">
        <v>1104</v>
      </c>
      <c r="H221" s="2" t="s">
        <v>1105</v>
      </c>
      <c r="I221" s="2" t="str" cm="1">
        <f t="array" ref="I221">H221 &amp; _xlfn.REGEXEXTRACT(G221,"^[^_]+_\d{4}") &amp; ".pdf"</f>
        <v>https://www.ocf.berkeley.edu/~pkmendez/envsci/projects/2021final/AvilaBreachI_2021.pdf</v>
      </c>
      <c r="J221" s="1" t="str">
        <f t="shared" si="3"/>
        <v>https://www.ocf.berkeley.edu/~pkmendez/envsci/projects/2021final/AvilaBreachI_2021.pdf</v>
      </c>
      <c r="K221" s="2" t="str" cm="1">
        <f t="array" ref="K221:O221">_xlfn.TAKE(TRIM(_xlfn.TEXTSPLIT(F221,{",",";"})),,5)</f>
        <v>Migration</v>
      </c>
      <c r="L221" s="2" t="str">
        <v>environmental degradation</v>
      </c>
      <c r="M221" s="2" t="str">
        <v>climate change</v>
      </c>
      <c r="N221" s="2" t="str">
        <v>displacement</v>
      </c>
      <c r="O221" s="2" t="str">
        <v>Northern Triangle</v>
      </c>
      <c r="P221" s="2" t="s">
        <v>9</v>
      </c>
      <c r="Q221" s="2" t="s">
        <v>10</v>
      </c>
    </row>
    <row r="222" spans="1:17" x14ac:dyDescent="0.35">
      <c r="A222" s="2" t="s">
        <v>5884</v>
      </c>
      <c r="B222" s="2" t="s">
        <v>1106</v>
      </c>
      <c r="C222" s="2" t="s">
        <v>1107</v>
      </c>
      <c r="D222" s="2">
        <v>2021</v>
      </c>
      <c r="E222" s="2" t="s">
        <v>1108</v>
      </c>
      <c r="F222" s="2" t="s">
        <v>1109</v>
      </c>
      <c r="G222" s="2" t="s">
        <v>1110</v>
      </c>
      <c r="H222" s="2" t="s">
        <v>1105</v>
      </c>
      <c r="I222" s="2" t="str" cm="1">
        <f t="array" ref="I222">H222 &amp; _xlfn.REGEXEXTRACT(G222,"^[^_]+_\d{4}") &amp; ".pdf"</f>
        <v>https://www.ocf.berkeley.edu/~pkmendez/envsci/projects/2021final/BuiS_2021.pdf</v>
      </c>
      <c r="J222" s="1" t="str">
        <f t="shared" si="3"/>
        <v>https://www.ocf.berkeley.edu/~pkmendez/envsci/projects/2021final/BuiS_2021.pdf</v>
      </c>
      <c r="K222" s="2" t="str" cm="1">
        <f t="array" ref="K222:O222">_xlfn.TAKE(TRIM(_xlfn.TEXTSPLIT(F222,{",",";"})),,5)</f>
        <v>air pollution</v>
      </c>
      <c r="L222" s="2" t="str">
        <v>nitrogen dioxide</v>
      </c>
      <c r="M222" s="2" t="str">
        <v>aerosol</v>
      </c>
      <c r="N222" s="2" t="str">
        <v>remote sensing</v>
      </c>
      <c r="O222" s="2" t="str">
        <v>transportation investment</v>
      </c>
      <c r="P222" s="2" t="s">
        <v>9</v>
      </c>
      <c r="Q222" s="2" t="s">
        <v>10</v>
      </c>
    </row>
    <row r="223" spans="1:17" x14ac:dyDescent="0.35">
      <c r="A223" s="2" t="s">
        <v>5884</v>
      </c>
      <c r="B223" s="2" t="s">
        <v>1111</v>
      </c>
      <c r="C223" s="2" t="s">
        <v>1112</v>
      </c>
      <c r="D223" s="2">
        <v>2021</v>
      </c>
      <c r="E223" s="2" t="s">
        <v>1113</v>
      </c>
      <c r="F223" s="2" t="s">
        <v>1114</v>
      </c>
      <c r="G223" s="2" t="s">
        <v>1115</v>
      </c>
      <c r="H223" s="2" t="s">
        <v>1105</v>
      </c>
      <c r="I223" s="2" t="str" cm="1">
        <f t="array" ref="I223">H223 &amp; _xlfn.REGEXEXTRACT(G223,"^[^_]+_\d{4}") &amp; ".pdf"</f>
        <v>https://www.ocf.berkeley.edu/~pkmendez/envsci/projects/2021final/CalabrettaS_2021.pdf</v>
      </c>
      <c r="J223" s="1" t="str">
        <f t="shared" si="3"/>
        <v>https://www.ocf.berkeley.edu/~pkmendez/envsci/projects/2021final/CalabrettaS_2021.pdf</v>
      </c>
      <c r="K223" s="2" t="str" cm="1">
        <f t="array" ref="K223:N223">_xlfn.TAKE(TRIM(_xlfn.TEXTSPLIT(F223,{",",";"})),,5)</f>
        <v>well water quality</v>
      </c>
      <c r="L223" s="2" t="str">
        <v>nitrate and arsenic contamination</v>
      </c>
      <c r="M223" s="2" t="str">
        <v>GIS modeling</v>
      </c>
      <c r="N223" s="2" t="str">
        <v>environmental justice</v>
      </c>
      <c r="P223" s="2" t="s">
        <v>9</v>
      </c>
      <c r="Q223" s="2" t="s">
        <v>10</v>
      </c>
    </row>
    <row r="224" spans="1:17" x14ac:dyDescent="0.35">
      <c r="A224" s="2" t="s">
        <v>5884</v>
      </c>
      <c r="B224" s="2" t="s">
        <v>1116</v>
      </c>
      <c r="C224" s="2" t="s">
        <v>1117</v>
      </c>
      <c r="D224" s="2">
        <v>2021</v>
      </c>
      <c r="E224" s="2" t="s">
        <v>1118</v>
      </c>
      <c r="F224" s="2" t="s">
        <v>1119</v>
      </c>
      <c r="G224" s="2" t="s">
        <v>1120</v>
      </c>
      <c r="H224" s="2" t="s">
        <v>1105</v>
      </c>
      <c r="I224" s="2" t="str" cm="1">
        <f t="array" ref="I224">H224 &amp; _xlfn.REGEXEXTRACT(G224,"^[^_]+_\d{4}") &amp; ".pdf"</f>
        <v>https://www.ocf.berkeley.edu/~pkmendez/envsci/projects/2021final/CaseyJ_2021.pdf</v>
      </c>
      <c r="J224" s="1" t="str">
        <f t="shared" si="3"/>
        <v>https://www.ocf.berkeley.edu/~pkmendez/envsci/projects/2021final/CaseyJ_2021.pdf</v>
      </c>
      <c r="K224" s="2" t="str" cm="1">
        <f t="array" ref="K224:O224">_xlfn.TAKE(TRIM(_xlfn.TEXTSPLIT(F224,{",",";"})),,5)</f>
        <v>GIS</v>
      </c>
      <c r="L224" s="2" t="str">
        <v>spatial analysis</v>
      </c>
      <c r="M224" s="2" t="str">
        <v>zoning</v>
      </c>
      <c r="N224" s="2" t="str">
        <v>environmental planning</v>
      </c>
      <c r="O224" s="2" t="str">
        <v>wetlands</v>
      </c>
      <c r="P224" s="2" t="s">
        <v>9</v>
      </c>
      <c r="Q224" s="2" t="s">
        <v>10</v>
      </c>
    </row>
    <row r="225" spans="1:17" x14ac:dyDescent="0.35">
      <c r="A225" s="2" t="s">
        <v>5884</v>
      </c>
      <c r="B225" s="2" t="s">
        <v>1121</v>
      </c>
      <c r="C225" s="2" t="s">
        <v>1122</v>
      </c>
      <c r="D225" s="2">
        <v>2021</v>
      </c>
      <c r="E225" s="2" t="s">
        <v>1123</v>
      </c>
      <c r="F225" s="2" t="s">
        <v>1124</v>
      </c>
      <c r="G225" s="2" t="s">
        <v>1125</v>
      </c>
      <c r="H225" s="2" t="s">
        <v>1105</v>
      </c>
      <c r="I225" s="2" t="str" cm="1">
        <f t="array" ref="I225">H225 &amp; _xlfn.REGEXEXTRACT(G225,"^[^_]+_\d{4}") &amp; ".pdf"</f>
        <v>https://www.ocf.berkeley.edu/~pkmendez/envsci/projects/2021final/CoyN_2021.pdf</v>
      </c>
      <c r="J225" s="1" t="str">
        <f t="shared" si="3"/>
        <v>https://www.ocf.berkeley.edu/~pkmendez/envsci/projects/2021final/CoyN_2021.pdf</v>
      </c>
      <c r="K225" s="2" t="str" cm="1">
        <f t="array" ref="K225:O225">_xlfn.TAKE(TRIM(_xlfn.TEXTSPLIT(F225,{",",";"})),,5)</f>
        <v>Fire</v>
      </c>
      <c r="L225" s="2" t="str">
        <v>forest management</v>
      </c>
      <c r="M225" s="2" t="str">
        <v>Sierra Nevada</v>
      </c>
      <c r="N225" s="2" t="str">
        <v>fuel loads</v>
      </c>
      <c r="O225" s="2" t="str">
        <v>prescribed fires</v>
      </c>
      <c r="P225" s="2" t="s">
        <v>9</v>
      </c>
      <c r="Q225" s="2" t="s">
        <v>10</v>
      </c>
    </row>
    <row r="226" spans="1:17" x14ac:dyDescent="0.35">
      <c r="A226" s="2" t="s">
        <v>5884</v>
      </c>
      <c r="B226" s="2" t="s">
        <v>1126</v>
      </c>
      <c r="C226" s="2" t="s">
        <v>1127</v>
      </c>
      <c r="D226" s="2">
        <v>2021</v>
      </c>
      <c r="E226" s="2" t="s">
        <v>1128</v>
      </c>
      <c r="F226" s="2" t="s">
        <v>1129</v>
      </c>
      <c r="G226" s="2" t="s">
        <v>1130</v>
      </c>
      <c r="H226" s="2" t="s">
        <v>1105</v>
      </c>
      <c r="I226" s="2" t="str" cm="1">
        <f t="array" ref="I226">H226 &amp; _xlfn.REGEXEXTRACT(G226,"^[^_]+_\d{4}") &amp; ".pdf"</f>
        <v>https://www.ocf.berkeley.edu/~pkmendez/envsci/projects/2021final/CruzM_2021.pdf</v>
      </c>
      <c r="J226" s="1" t="str">
        <f t="shared" si="3"/>
        <v>https://www.ocf.berkeley.edu/~pkmendez/envsci/projects/2021final/CruzM_2021.pdf</v>
      </c>
      <c r="K226" s="2" t="str" cm="1">
        <f t="array" ref="K226:O226">_xlfn.TAKE(TRIM(_xlfn.TEXTSPLIT(F226,{",",";"})),,5)</f>
        <v>environmental justice</v>
      </c>
      <c r="L226" s="2" t="str">
        <v>accessibility</v>
      </c>
      <c r="M226" s="2" t="str">
        <v>geographic information systems</v>
      </c>
      <c r="N226" s="2" t="str">
        <v>public health</v>
      </c>
      <c r="O226" s="2" t="str">
        <v>income</v>
      </c>
      <c r="P226" s="2" t="s">
        <v>9</v>
      </c>
      <c r="Q226" s="2" t="s">
        <v>10</v>
      </c>
    </row>
    <row r="227" spans="1:17" x14ac:dyDescent="0.35">
      <c r="A227" s="2" t="s">
        <v>5884</v>
      </c>
      <c r="B227" s="2" t="s">
        <v>1131</v>
      </c>
      <c r="C227" s="2" t="s">
        <v>1132</v>
      </c>
      <c r="D227" s="2">
        <v>2021</v>
      </c>
      <c r="E227" s="2" t="s">
        <v>1133</v>
      </c>
      <c r="F227" s="2" t="s">
        <v>1134</v>
      </c>
      <c r="G227" s="2" t="s">
        <v>1135</v>
      </c>
      <c r="H227" s="2" t="s">
        <v>1105</v>
      </c>
      <c r="I227" s="2" t="str" cm="1">
        <f t="array" ref="I227">H227 &amp; _xlfn.REGEXEXTRACT(G227,"^[^_]+_\d{4}") &amp; ".pdf"</f>
        <v>https://www.ocf.berkeley.edu/~pkmendez/envsci/projects/2021final/DavisJ_2021.pdf</v>
      </c>
      <c r="J227" s="1" t="str">
        <f t="shared" si="3"/>
        <v>https://www.ocf.berkeley.edu/~pkmendez/envsci/projects/2021final/DavisJ_2021.pdf</v>
      </c>
      <c r="K227" s="2" t="str" cm="1">
        <f t="array" ref="K227:O227">_xlfn.TAKE(TRIM(_xlfn.TEXTSPLIT(F227,{",",";"})),,5)</f>
        <v>brand avoidance</v>
      </c>
      <c r="L227" s="2" t="str">
        <v>business model</v>
      </c>
      <c r="M227" s="2" t="str">
        <v>anti-consumption</v>
      </c>
      <c r="N227" s="2" t="str">
        <v>brand equity</v>
      </c>
      <c r="O227" s="2" t="str">
        <v>consumer behavior</v>
      </c>
      <c r="P227" s="2" t="s">
        <v>9</v>
      </c>
      <c r="Q227" s="2" t="s">
        <v>10</v>
      </c>
    </row>
    <row r="228" spans="1:17" x14ac:dyDescent="0.35">
      <c r="A228" s="2" t="s">
        <v>5884</v>
      </c>
      <c r="B228" s="2" t="s">
        <v>1136</v>
      </c>
      <c r="C228" s="2" t="s">
        <v>1137</v>
      </c>
      <c r="D228" s="2">
        <v>2021</v>
      </c>
      <c r="E228" s="2" t="s">
        <v>1138</v>
      </c>
      <c r="F228" s="2" t="s">
        <v>1139</v>
      </c>
      <c r="G228" s="2" t="s">
        <v>1140</v>
      </c>
      <c r="H228" s="2" t="s">
        <v>1105</v>
      </c>
      <c r="I228" s="2" t="str" cm="1">
        <f t="array" ref="I228">H228 &amp; _xlfn.REGEXEXTRACT(G228,"^[^_]+_\d{4}") &amp; ".pdf"</f>
        <v>https://www.ocf.berkeley.edu/~pkmendez/envsci/projects/2021final/DeLaCerdaGisel_2021.pdf</v>
      </c>
      <c r="J228" s="1" t="str">
        <f t="shared" si="3"/>
        <v>https://www.ocf.berkeley.edu/~pkmendez/envsci/projects/2021final/DeLaCerdaGisel_2021.pdf</v>
      </c>
      <c r="K228" s="2" t="str" cm="1">
        <f t="array" ref="K228:O228">_xlfn.TAKE(TRIM(_xlfn.TEXTSPLIT(F228,{",",";"})),,5)</f>
        <v>urbanization</v>
      </c>
      <c r="L228" s="2" t="str">
        <v>agricultural intensification</v>
      </c>
      <c r="M228" s="2" t="str">
        <v>squash bees</v>
      </c>
      <c r="N228" s="2" t="str">
        <v>green space</v>
      </c>
      <c r="O228" s="2" t="str">
        <v>floral resources</v>
      </c>
      <c r="P228" s="2" t="s">
        <v>9</v>
      </c>
      <c r="Q228" s="2" t="s">
        <v>10</v>
      </c>
    </row>
    <row r="229" spans="1:17" x14ac:dyDescent="0.35">
      <c r="A229" s="2" t="s">
        <v>5884</v>
      </c>
      <c r="B229" s="2" t="s">
        <v>1141</v>
      </c>
      <c r="C229" s="2" t="s">
        <v>1142</v>
      </c>
      <c r="D229" s="2">
        <v>2021</v>
      </c>
      <c r="E229" s="2" t="s">
        <v>1143</v>
      </c>
      <c r="F229" s="2" t="s">
        <v>1144</v>
      </c>
      <c r="G229" s="2" t="s">
        <v>1145</v>
      </c>
      <c r="H229" s="2" t="s">
        <v>1105</v>
      </c>
      <c r="I229" s="2" t="str" cm="1">
        <f t="array" ref="I229">H229 &amp; _xlfn.REGEXEXTRACT(G229,"^[^_]+_\d{4}") &amp; ".pdf"</f>
        <v>https://www.ocf.berkeley.edu/~pkmendez/envsci/projects/2021final/ElgersmaN_2021.pdf</v>
      </c>
      <c r="J229" s="1" t="str">
        <f t="shared" si="3"/>
        <v>https://www.ocf.berkeley.edu/~pkmendez/envsci/projects/2021final/ElgersmaN_2021.pdf</v>
      </c>
      <c r="K229" s="2" t="str" cm="1">
        <f t="array" ref="K229:O229">_xlfn.TAKE(TRIM(_xlfn.TEXTSPLIT(F229,{",",";"})),,5)</f>
        <v>climate change</v>
      </c>
      <c r="L229" s="2" t="str">
        <v>bedrock</v>
      </c>
      <c r="M229" s="2" t="str">
        <v>nonnative species</v>
      </c>
      <c r="N229" s="2" t="str">
        <v>biodiversity</v>
      </c>
      <c r="O229" s="2" t="str">
        <v>rangeland ecology</v>
      </c>
      <c r="P229" s="2" t="s">
        <v>9</v>
      </c>
      <c r="Q229" s="2" t="s">
        <v>10</v>
      </c>
    </row>
    <row r="230" spans="1:17" x14ac:dyDescent="0.35">
      <c r="A230" s="2" t="s">
        <v>5884</v>
      </c>
      <c r="B230" s="2" t="s">
        <v>1146</v>
      </c>
      <c r="C230" s="2" t="s">
        <v>1147</v>
      </c>
      <c r="D230" s="2">
        <v>2021</v>
      </c>
      <c r="E230" s="2" t="s">
        <v>1148</v>
      </c>
      <c r="F230" s="2" t="s">
        <v>1149</v>
      </c>
      <c r="G230" s="2" t="s">
        <v>1150</v>
      </c>
      <c r="H230" s="2" t="s">
        <v>1105</v>
      </c>
      <c r="I230" s="2" t="str" cm="1">
        <f t="array" ref="I230">H230 &amp; _xlfn.REGEXEXTRACT(G230,"^[^_]+_\d{4}") &amp; ".pdf"</f>
        <v>https://www.ocf.berkeley.edu/~pkmendez/envsci/projects/2021final/FrenchM_2021.pdf</v>
      </c>
      <c r="J230" s="1" t="str">
        <f t="shared" si="3"/>
        <v>https://www.ocf.berkeley.edu/~pkmendez/envsci/projects/2021final/FrenchM_2021.pdf</v>
      </c>
      <c r="K230" s="2" t="str" cm="1">
        <f t="array" ref="K230:O230">_xlfn.TAKE(TRIM(_xlfn.TEXTSPLIT(F230,{",",";"})),,5)</f>
        <v>antibiotic resistance</v>
      </c>
      <c r="L230" s="2" t="str">
        <v>animal agriculture</v>
      </c>
      <c r="M230" s="2" t="str">
        <v>environmental toxicity</v>
      </c>
      <c r="N230" s="2" t="str">
        <v>tetracycline</v>
      </c>
      <c r="O230" s="2" t="str">
        <v>penicillin</v>
      </c>
      <c r="P230" s="2" t="s">
        <v>9</v>
      </c>
      <c r="Q230" s="2" t="s">
        <v>10</v>
      </c>
    </row>
    <row r="231" spans="1:17" x14ac:dyDescent="0.35">
      <c r="A231" s="2" t="s">
        <v>5884</v>
      </c>
      <c r="B231" s="2" t="s">
        <v>1151</v>
      </c>
      <c r="C231" s="2" t="s">
        <v>1152</v>
      </c>
      <c r="D231" s="2">
        <v>2021</v>
      </c>
      <c r="E231" s="2" t="s">
        <v>1153</v>
      </c>
      <c r="F231" s="2" t="s">
        <v>1154</v>
      </c>
      <c r="G231" s="2" t="s">
        <v>1155</v>
      </c>
      <c r="H231" s="2" t="s">
        <v>1105</v>
      </c>
      <c r="I231" s="2" t="str" cm="1">
        <f t="array" ref="I231">H231 &amp; _xlfn.REGEXEXTRACT(G231,"^[^_]+_\d{4}") &amp; ".pdf"</f>
        <v>https://www.ocf.berkeley.edu/~pkmendez/envsci/projects/2021final/FudinG_2021.pdf</v>
      </c>
      <c r="J231" s="1" t="str">
        <f t="shared" si="3"/>
        <v>https://www.ocf.berkeley.edu/~pkmendez/envsci/projects/2021final/FudinG_2021.pdf</v>
      </c>
      <c r="K231" s="2" t="str" cm="1">
        <f t="array" ref="K231:O231">_xlfn.TAKE(TRIM(_xlfn.TEXTSPLIT(F231,{",",";"})),,5)</f>
        <v>Food systems</v>
      </c>
      <c r="L231" s="2" t="str">
        <v>organic waste management</v>
      </c>
      <c r="M231" s="2" t="str">
        <v>decentralized composting</v>
      </c>
      <c r="N231" s="2" t="str">
        <v>urban agroecology</v>
      </c>
      <c r="O231" s="2" t="str">
        <v>collective ownership</v>
      </c>
      <c r="P231" s="2" t="s">
        <v>9</v>
      </c>
      <c r="Q231" s="2" t="s">
        <v>10</v>
      </c>
    </row>
    <row r="232" spans="1:17" x14ac:dyDescent="0.35">
      <c r="A232" s="2" t="s">
        <v>5884</v>
      </c>
      <c r="B232" s="2" t="s">
        <v>1156</v>
      </c>
      <c r="C232" s="2" t="s">
        <v>1157</v>
      </c>
      <c r="D232" s="2">
        <v>2021</v>
      </c>
      <c r="E232" s="2" t="s">
        <v>1158</v>
      </c>
      <c r="F232" s="2" t="s">
        <v>1159</v>
      </c>
      <c r="G232" s="2" t="s">
        <v>1160</v>
      </c>
      <c r="H232" s="2" t="s">
        <v>1105</v>
      </c>
      <c r="I232" s="2" t="str" cm="1">
        <f t="array" ref="I232">H232 &amp; _xlfn.REGEXEXTRACT(G232,"^[^_]+_\d{4}") &amp; ".pdf"</f>
        <v>https://www.ocf.berkeley.edu/~pkmendez/envsci/projects/2021final/GillespieJ_2021.pdf</v>
      </c>
      <c r="J232" s="1" t="str">
        <f t="shared" si="3"/>
        <v>https://www.ocf.berkeley.edu/~pkmendez/envsci/projects/2021final/GillespieJ_2021.pdf</v>
      </c>
      <c r="K232" s="2" t="str" cm="1">
        <f t="array" ref="K232:O232">_xlfn.TAKE(TRIM(_xlfn.TEXTSPLIT(F232,{",",";"})),,5)</f>
        <v>Nitrate contamination</v>
      </c>
      <c r="L232" s="2" t="str">
        <v>land cover change</v>
      </c>
      <c r="M232" s="2" t="str">
        <v>drought severity</v>
      </c>
      <c r="N232" s="2" t="str">
        <v>water pollution</v>
      </c>
      <c r="O232" s="2" t="str">
        <v>community involvement</v>
      </c>
      <c r="P232" s="2" t="s">
        <v>9</v>
      </c>
      <c r="Q232" s="2" t="s">
        <v>10</v>
      </c>
    </row>
    <row r="233" spans="1:17" x14ac:dyDescent="0.35">
      <c r="A233" s="2" t="s">
        <v>5884</v>
      </c>
      <c r="B233" s="2" t="s">
        <v>1161</v>
      </c>
      <c r="C233" s="2" t="s">
        <v>1162</v>
      </c>
      <c r="D233" s="2">
        <v>2021</v>
      </c>
      <c r="E233" s="2" t="s">
        <v>1163</v>
      </c>
      <c r="F233" s="2" t="s">
        <v>1164</v>
      </c>
      <c r="G233" s="2" t="s">
        <v>1165</v>
      </c>
      <c r="H233" s="2" t="s">
        <v>1105</v>
      </c>
      <c r="I233" s="2" t="str" cm="1">
        <f t="array" ref="I233">H233 &amp; _xlfn.REGEXEXTRACT(G233,"^[^_]+_\d{4}") &amp; ".pdf"</f>
        <v>https://www.ocf.berkeley.edu/~pkmendez/envsci/projects/2021final/GouldenP_2021.pdf</v>
      </c>
      <c r="J233" s="1" t="str">
        <f t="shared" si="3"/>
        <v>https://www.ocf.berkeley.edu/~pkmendez/envsci/projects/2021final/GouldenP_2021.pdf</v>
      </c>
      <c r="K233" s="2" t="str" cm="1">
        <f t="array" ref="K233:O233">_xlfn.TAKE(TRIM(_xlfn.TEXTSPLIT(F233,{",",";"})),,5)</f>
        <v>social movements</v>
      </c>
      <c r="L233" s="2" t="str">
        <v>environmental activism</v>
      </c>
      <c r="M233" s="2" t="str">
        <v>New Ecological Paradigm Scale</v>
      </c>
      <c r="N233" s="2" t="str">
        <v>constitutional rewrite</v>
      </c>
      <c r="O233" s="2" t="str">
        <v>social outburst</v>
      </c>
      <c r="P233" s="2" t="s">
        <v>9</v>
      </c>
      <c r="Q233" s="2" t="s">
        <v>10</v>
      </c>
    </row>
    <row r="234" spans="1:17" x14ac:dyDescent="0.35">
      <c r="A234" s="2" t="s">
        <v>5884</v>
      </c>
      <c r="B234" s="2" t="s">
        <v>1166</v>
      </c>
      <c r="C234" s="2" t="s">
        <v>1167</v>
      </c>
      <c r="D234" s="2">
        <v>2021</v>
      </c>
      <c r="E234" s="2" t="s">
        <v>1168</v>
      </c>
      <c r="F234" s="2" t="s">
        <v>1169</v>
      </c>
      <c r="G234" s="2" t="s">
        <v>1170</v>
      </c>
      <c r="H234" s="2" t="s">
        <v>1105</v>
      </c>
      <c r="I234" s="2" t="str" cm="1">
        <f t="array" ref="I234">H234 &amp; _xlfn.REGEXEXTRACT(G234,"^[^_]+_\d{4}") &amp; ".pdf"</f>
        <v>https://www.ocf.berkeley.edu/~pkmendez/envsci/projects/2021final/GueorguievaA_2021.pdf</v>
      </c>
      <c r="J234" s="1" t="str">
        <f t="shared" si="3"/>
        <v>https://www.ocf.berkeley.edu/~pkmendez/envsci/projects/2021final/GueorguievaA_2021.pdf</v>
      </c>
      <c r="K234" s="2" t="str" cm="1">
        <f t="array" ref="K234:O234">_xlfn.TAKE(TRIM(_xlfn.TEXTSPLIT(F234,{",",";"})),,5)</f>
        <v>CRISPR-Cas9</v>
      </c>
      <c r="L234" s="2" t="str">
        <v>Gene-Editing</v>
      </c>
      <c r="M234" s="2" t="str">
        <v>Food Security</v>
      </c>
      <c r="N234" s="2" t="str">
        <v>Climate Change</v>
      </c>
      <c r="O234" s="2" t="str">
        <v>Konzo Disease</v>
      </c>
      <c r="P234" s="2" t="s">
        <v>9</v>
      </c>
      <c r="Q234" s="2" t="s">
        <v>10</v>
      </c>
    </row>
    <row r="235" spans="1:17" x14ac:dyDescent="0.35">
      <c r="A235" s="2" t="s">
        <v>5884</v>
      </c>
      <c r="B235" s="2" t="s">
        <v>1171</v>
      </c>
      <c r="C235" s="2" t="s">
        <v>1172</v>
      </c>
      <c r="D235" s="2">
        <v>2021</v>
      </c>
      <c r="E235" s="2" t="s">
        <v>1173</v>
      </c>
      <c r="F235" s="2" t="s">
        <v>1174</v>
      </c>
      <c r="G235" s="2" t="s">
        <v>1175</v>
      </c>
      <c r="H235" s="2" t="s">
        <v>1105</v>
      </c>
      <c r="I235" s="2" t="str" cm="1">
        <f t="array" ref="I235">H235 &amp; _xlfn.REGEXEXTRACT(G235,"^[^_]+_\d{4}") &amp; ".pdf"</f>
        <v>https://www.ocf.berkeley.edu/~pkmendez/envsci/projects/2021final/Guoz_2021.pdf</v>
      </c>
      <c r="J235" s="1" t="str">
        <f t="shared" si="3"/>
        <v>https://www.ocf.berkeley.edu/~pkmendez/envsci/projects/2021final/Guoz_2021.pdf</v>
      </c>
      <c r="K235" s="2" t="str" cm="1">
        <f t="array" ref="K235:O235">_xlfn.TAKE(TRIM(_xlfn.TEXTSPLIT(F235,{",",";"})),,5)</f>
        <v>Invasive species</v>
      </c>
      <c r="L235" s="2" t="str">
        <v>Asian Carp</v>
      </c>
      <c r="M235" s="2" t="str">
        <v>novel foods</v>
      </c>
      <c r="N235" s="2" t="str">
        <v>population control</v>
      </c>
      <c r="O235" s="2" t="str">
        <v>food fish</v>
      </c>
      <c r="P235" s="2" t="s">
        <v>9</v>
      </c>
      <c r="Q235" s="2" t="s">
        <v>10</v>
      </c>
    </row>
    <row r="236" spans="1:17" x14ac:dyDescent="0.35">
      <c r="A236" s="2" t="s">
        <v>5884</v>
      </c>
      <c r="B236" s="2" t="s">
        <v>1176</v>
      </c>
      <c r="C236" s="2" t="s">
        <v>1177</v>
      </c>
      <c r="D236" s="2">
        <v>2021</v>
      </c>
      <c r="E236" s="2" t="s">
        <v>1178</v>
      </c>
      <c r="F236" s="2" t="s">
        <v>1179</v>
      </c>
      <c r="G236" s="2" t="s">
        <v>1180</v>
      </c>
      <c r="H236" s="2" t="s">
        <v>1105</v>
      </c>
      <c r="I236" s="2" t="str" cm="1">
        <f t="array" ref="I236">H236 &amp; _xlfn.REGEXEXTRACT(G236,"^[^_]+_\d{4}") &amp; ".pdf"</f>
        <v>https://www.ocf.berkeley.edu/~pkmendez/envsci/projects/2021final/HettemaS_2021.pdf</v>
      </c>
      <c r="J236" s="1" t="str">
        <f t="shared" si="3"/>
        <v>https://www.ocf.berkeley.edu/~pkmendez/envsci/projects/2021final/HettemaS_2021.pdf</v>
      </c>
      <c r="K236" s="2" t="str" cm="1">
        <f t="array" ref="K236:O236">_xlfn.TAKE(TRIM(_xlfn.TEXTSPLIT(F236,{",",";"})),,5)</f>
        <v>California Air Resources Board (CARB)</v>
      </c>
      <c r="L236" s="2" t="str">
        <v>Monitoring Trends in Burn Severity (MTBS)</v>
      </c>
      <c r="M236" s="2" t="str">
        <v>timelag fuel classes</v>
      </c>
      <c r="N236" s="2" t="str">
        <v>spatial distribution of fuels</v>
      </c>
      <c r="O236" s="2" t="str">
        <v>fire size</v>
      </c>
      <c r="P236" s="2" t="s">
        <v>9</v>
      </c>
      <c r="Q236" s="2" t="s">
        <v>10</v>
      </c>
    </row>
    <row r="237" spans="1:17" x14ac:dyDescent="0.35">
      <c r="A237" s="2" t="s">
        <v>5884</v>
      </c>
      <c r="B237" s="2" t="s">
        <v>1181</v>
      </c>
      <c r="C237" s="2" t="s">
        <v>1182</v>
      </c>
      <c r="D237" s="2">
        <v>2021</v>
      </c>
      <c r="E237" s="2" t="s">
        <v>1183</v>
      </c>
      <c r="F237" s="2" t="s">
        <v>1184</v>
      </c>
      <c r="G237" s="2" t="s">
        <v>1185</v>
      </c>
      <c r="H237" s="2" t="s">
        <v>1105</v>
      </c>
      <c r="I237" s="2" t="str" cm="1">
        <f t="array" ref="I237">H237 &amp; _xlfn.REGEXEXTRACT(G237,"^[^_]+_\d{4}") &amp; ".pdf"</f>
        <v>https://www.ocf.berkeley.edu/~pkmendez/envsci/projects/2021final/HinsonG_2021.pdf</v>
      </c>
      <c r="J237" s="1" t="str">
        <f t="shared" si="3"/>
        <v>https://www.ocf.berkeley.edu/~pkmendez/envsci/projects/2021final/HinsonG_2021.pdf</v>
      </c>
      <c r="K237" s="2" t="str" cm="1">
        <f t="array" ref="K237:O237">_xlfn.TAKE(TRIM(_xlfn.TEXTSPLIT(F237,{",",";"})),,5)</f>
        <v>8-year change</v>
      </c>
      <c r="L237" s="2" t="str">
        <v>6-year change</v>
      </c>
      <c r="M237" s="2" t="str">
        <v>Abbott’s Lagoon</v>
      </c>
      <c r="N237" s="2" t="str">
        <v>Mechanical Treatment</v>
      </c>
      <c r="O237" s="2" t="str">
        <v>Herbicidal Treatment</v>
      </c>
      <c r="P237" s="2" t="s">
        <v>9</v>
      </c>
      <c r="Q237" s="2" t="s">
        <v>10</v>
      </c>
    </row>
    <row r="238" spans="1:17" x14ac:dyDescent="0.35">
      <c r="A238" s="2" t="s">
        <v>5884</v>
      </c>
      <c r="B238" s="2" t="s">
        <v>1186</v>
      </c>
      <c r="C238" s="2" t="s">
        <v>1187</v>
      </c>
      <c r="D238" s="2">
        <v>2021</v>
      </c>
      <c r="E238" s="2" t="s">
        <v>1188</v>
      </c>
      <c r="F238" s="2" t="s">
        <v>1189</v>
      </c>
      <c r="G238" s="2" t="s">
        <v>1190</v>
      </c>
      <c r="H238" s="2" t="s">
        <v>1105</v>
      </c>
      <c r="I238" s="2" t="str" cm="1">
        <f t="array" ref="I238">H238 &amp; _xlfn.REGEXEXTRACT(G238,"^[^_]+_\d{4}") &amp; ".pdf"</f>
        <v>https://www.ocf.berkeley.edu/~pkmendez/envsci/projects/2021final/HuangC_2021.pdf</v>
      </c>
      <c r="J238" s="1" t="str">
        <f t="shared" si="3"/>
        <v>https://www.ocf.berkeley.edu/~pkmendez/envsci/projects/2021final/HuangC_2021.pdf</v>
      </c>
      <c r="K238" s="2" t="str" cm="1">
        <f t="array" ref="K238:O238">_xlfn.TAKE(TRIM(_xlfn.TEXTSPLIT(F238,{",",";"})),,5)</f>
        <v>neighborhood litter source</v>
      </c>
      <c r="L238" s="2" t="str">
        <v>stream litter</v>
      </c>
      <c r="M238" s="2" t="str">
        <v>volunteer clean-ups</v>
      </c>
      <c r="N238" s="2" t="str">
        <v>regulations</v>
      </c>
      <c r="O238" s="2" t="str">
        <v>sorting methodology</v>
      </c>
      <c r="P238" s="2" t="s">
        <v>9</v>
      </c>
      <c r="Q238" s="2" t="s">
        <v>10</v>
      </c>
    </row>
    <row r="239" spans="1:17" x14ac:dyDescent="0.35">
      <c r="A239" s="2" t="s">
        <v>5884</v>
      </c>
      <c r="B239" s="2" t="s">
        <v>1191</v>
      </c>
      <c r="C239" s="2" t="s">
        <v>1192</v>
      </c>
      <c r="D239" s="2">
        <v>2021</v>
      </c>
      <c r="E239" s="2" t="s">
        <v>1193</v>
      </c>
      <c r="F239" s="2" t="s">
        <v>1194</v>
      </c>
      <c r="G239" s="2" t="s">
        <v>1195</v>
      </c>
      <c r="H239" s="2" t="s">
        <v>1105</v>
      </c>
      <c r="I239" s="2" t="str" cm="1">
        <f t="array" ref="I239">H239 &amp; _xlfn.REGEXEXTRACT(G239,"^[^_]+_\d{4}") &amp; ".pdf"</f>
        <v>https://www.ocf.berkeley.edu/~pkmendez/envsci/projects/2021final/KnoblochD_2021.pdf</v>
      </c>
      <c r="J239" s="1" t="str">
        <f t="shared" si="3"/>
        <v>https://www.ocf.berkeley.edu/~pkmendez/envsci/projects/2021final/KnoblochD_2021.pdf</v>
      </c>
      <c r="K239" s="2" t="str" cm="1">
        <f t="array" ref="K239:O239">_xlfn.TAKE(TRIM(_xlfn.TEXTSPLIT(F239,{",",";"})),,5)</f>
        <v>Public health</v>
      </c>
      <c r="L239" s="2" t="str">
        <v>environmental justice</v>
      </c>
      <c r="M239" s="2" t="str">
        <v>urban planning</v>
      </c>
      <c r="N239" s="2" t="str">
        <v>landscape architecture</v>
      </c>
      <c r="O239" s="2" t="str">
        <v>parks and recreation</v>
      </c>
      <c r="P239" s="2" t="s">
        <v>9</v>
      </c>
      <c r="Q239" s="2" t="s">
        <v>10</v>
      </c>
    </row>
    <row r="240" spans="1:17" x14ac:dyDescent="0.35">
      <c r="A240" s="2" t="s">
        <v>5884</v>
      </c>
      <c r="B240" s="2" t="s">
        <v>1196</v>
      </c>
      <c r="C240" s="2" t="s">
        <v>1197</v>
      </c>
      <c r="D240" s="2">
        <v>2021</v>
      </c>
      <c r="E240" s="2" t="s">
        <v>1198</v>
      </c>
      <c r="F240" s="2" t="s">
        <v>1199</v>
      </c>
      <c r="G240" s="2" t="s">
        <v>1200</v>
      </c>
      <c r="H240" s="2" t="s">
        <v>1105</v>
      </c>
      <c r="I240" s="2" t="str" cm="1">
        <f t="array" ref="I240">H240 &amp; _xlfn.REGEXEXTRACT(G240,"^[^_]+_\d{4}") &amp; ".pdf"</f>
        <v>https://www.ocf.berkeley.edu/~pkmendez/envsci/projects/2021final/LavelleA_2021.pdf</v>
      </c>
      <c r="J240" s="1" t="str">
        <f t="shared" si="3"/>
        <v>https://www.ocf.berkeley.edu/~pkmendez/envsci/projects/2021final/LavelleA_2021.pdf</v>
      </c>
      <c r="K240" s="2" t="str" cm="1">
        <f t="array" ref="K240:O240">_xlfn.TAKE(TRIM(_xlfn.TEXTSPLIT(F240,{",",";"})),,5)</f>
        <v>Caretta caretta</v>
      </c>
      <c r="L240" s="2" t="str">
        <v>Spatial Analysis</v>
      </c>
      <c r="M240" s="2" t="str">
        <v>Predation mitigation</v>
      </c>
      <c r="N240" s="2" t="str">
        <v>Nesting Behavior</v>
      </c>
      <c r="O240" s="2" t="str">
        <v>and Florida</v>
      </c>
      <c r="P240" s="2" t="s">
        <v>9</v>
      </c>
      <c r="Q240" s="2" t="s">
        <v>10</v>
      </c>
    </row>
    <row r="241" spans="1:17" x14ac:dyDescent="0.35">
      <c r="A241" s="2" t="s">
        <v>5884</v>
      </c>
      <c r="B241" s="2" t="s">
        <v>1201</v>
      </c>
      <c r="C241" s="2" t="s">
        <v>1202</v>
      </c>
      <c r="D241" s="2">
        <v>2021</v>
      </c>
      <c r="E241" s="2" t="s">
        <v>1203</v>
      </c>
      <c r="F241" s="2" t="s">
        <v>1204</v>
      </c>
      <c r="G241" s="2" t="s">
        <v>1205</v>
      </c>
      <c r="H241" s="2" t="s">
        <v>1105</v>
      </c>
      <c r="I241" s="2" t="str" cm="1">
        <f t="array" ref="I241">H241 &amp; _xlfn.REGEXEXTRACT(G241,"^[^_]+_\d{4}") &amp; ".pdf"</f>
        <v>https://www.ocf.berkeley.edu/~pkmendez/envsci/projects/2021final/LeeN_2021.pdf</v>
      </c>
      <c r="J241" s="1" t="str">
        <f t="shared" si="3"/>
        <v>https://www.ocf.berkeley.edu/~pkmendez/envsci/projects/2021final/LeeN_2021.pdf</v>
      </c>
      <c r="K241" s="2" t="str" cm="1">
        <f t="array" ref="K241:O241">_xlfn.TAKE(TRIM(_xlfn.TEXTSPLIT(F241,{",",";"})),,5)</f>
        <v>transport mode choice</v>
      </c>
      <c r="L241" s="2" t="str">
        <v>housing preferences</v>
      </c>
      <c r="M241" s="2" t="str">
        <v>Likert scale</v>
      </c>
      <c r="N241" s="2" t="str">
        <v>carbon emissions</v>
      </c>
      <c r="O241" s="2" t="str">
        <v>studentification</v>
      </c>
      <c r="P241" s="2" t="s">
        <v>9</v>
      </c>
      <c r="Q241" s="2" t="s">
        <v>10</v>
      </c>
    </row>
    <row r="242" spans="1:17" x14ac:dyDescent="0.35">
      <c r="A242" s="2" t="s">
        <v>5884</v>
      </c>
      <c r="B242" s="2" t="s">
        <v>1206</v>
      </c>
      <c r="C242" s="2" t="s">
        <v>1207</v>
      </c>
      <c r="D242" s="2">
        <v>2021</v>
      </c>
      <c r="E242" s="2" t="s">
        <v>1208</v>
      </c>
      <c r="F242" s="2" t="s">
        <v>1209</v>
      </c>
      <c r="G242" s="2" t="s">
        <v>1210</v>
      </c>
      <c r="H242" s="2" t="s">
        <v>1105</v>
      </c>
      <c r="I242" s="2" t="str" cm="1">
        <f t="array" ref="I242">H242 &amp; _xlfn.REGEXEXTRACT(G242,"^[^_]+_\d{4}") &amp; ".pdf"</f>
        <v>https://www.ocf.berkeley.edu/~pkmendez/envsci/projects/2021final/LevaggiA_2021.pdf</v>
      </c>
      <c r="J242" s="1" t="str">
        <f t="shared" si="3"/>
        <v>https://www.ocf.berkeley.edu/~pkmendez/envsci/projects/2021final/LevaggiA_2021.pdf</v>
      </c>
      <c r="K242" s="2" t="str" cm="1">
        <f t="array" ref="K242:O242">_xlfn.TAKE(TRIM(_xlfn.TEXTSPLIT(F242,{",",";"})),,5)</f>
        <v>Agroecology</v>
      </c>
      <c r="L242" s="2" t="str">
        <v>Food Sovereignty</v>
      </c>
      <c r="M242" s="2" t="str">
        <v>Liberation</v>
      </c>
      <c r="N242" s="2" t="str">
        <v>Pedagogy</v>
      </c>
      <c r="O242" s="2" t="str">
        <v>Community-based participatory research</v>
      </c>
      <c r="P242" s="2" t="s">
        <v>9</v>
      </c>
      <c r="Q242" s="2" t="s">
        <v>10</v>
      </c>
    </row>
    <row r="243" spans="1:17" x14ac:dyDescent="0.35">
      <c r="A243" s="2" t="s">
        <v>5884</v>
      </c>
      <c r="B243" s="2" t="s">
        <v>1211</v>
      </c>
      <c r="C243" s="2" t="s">
        <v>1212</v>
      </c>
      <c r="D243" s="2">
        <v>2021</v>
      </c>
      <c r="E243" s="2" t="s">
        <v>1213</v>
      </c>
      <c r="F243" s="2" t="s">
        <v>1214</v>
      </c>
      <c r="G243" s="2" t="s">
        <v>1215</v>
      </c>
      <c r="H243" s="2" t="s">
        <v>1105</v>
      </c>
      <c r="I243" s="2" t="str" cm="1">
        <f t="array" ref="I243">H243 &amp; _xlfn.REGEXEXTRACT(G243,"^[^_]+_\d{4}") &amp; ".pdf"</f>
        <v>https://www.ocf.berkeley.edu/~pkmendez/envsci/projects/2021final/LiQ_2021.pdf</v>
      </c>
      <c r="J243" s="1" t="str">
        <f t="shared" si="3"/>
        <v>https://www.ocf.berkeley.edu/~pkmendez/envsci/projects/2021final/LiQ_2021.pdf</v>
      </c>
      <c r="K243" s="2" t="str" cm="1">
        <f t="array" ref="K243:O243">_xlfn.TAKE(TRIM(_xlfn.TEXTSPLIT(F243,{",",";"})),,5)</f>
        <v>invasive species</v>
      </c>
      <c r="L243" s="2" t="str">
        <v>urban stream syndrome</v>
      </c>
      <c r="M243" s="2" t="str">
        <v>mosquito control</v>
      </c>
      <c r="N243" s="2" t="str">
        <v>benthic macroinvertebrates</v>
      </c>
      <c r="O243" s="2" t="str">
        <v>terrestrial insects</v>
      </c>
      <c r="P243" s="2" t="s">
        <v>9</v>
      </c>
      <c r="Q243" s="2" t="s">
        <v>10</v>
      </c>
    </row>
    <row r="244" spans="1:17" x14ac:dyDescent="0.35">
      <c r="A244" s="2" t="s">
        <v>5884</v>
      </c>
      <c r="B244" s="2" t="s">
        <v>1216</v>
      </c>
      <c r="C244" s="2" t="s">
        <v>1217</v>
      </c>
      <c r="D244" s="2">
        <v>2021</v>
      </c>
      <c r="E244" s="2" t="s">
        <v>1218</v>
      </c>
      <c r="F244" s="2" t="s">
        <v>1219</v>
      </c>
      <c r="G244" s="2" t="s">
        <v>1220</v>
      </c>
      <c r="H244" s="2" t="s">
        <v>1105</v>
      </c>
      <c r="I244" s="2" t="str" cm="1">
        <f t="array" ref="I244">H244 &amp; _xlfn.REGEXEXTRACT(G244,"^[^_]+_\d{4}") &amp; ".pdf"</f>
        <v>https://www.ocf.berkeley.edu/~pkmendez/envsci/projects/2021final/MackenzieL_2021.pdf</v>
      </c>
      <c r="J244" s="1" t="str">
        <f t="shared" si="3"/>
        <v>https://www.ocf.berkeley.edu/~pkmendez/envsci/projects/2021final/MackenzieL_2021.pdf</v>
      </c>
      <c r="K244" s="2" t="str" cm="1">
        <f t="array" ref="K244:O244">_xlfn.TAKE(TRIM(_xlfn.TEXTSPLIT(F244,{",",";"})),,5)</f>
        <v>Undergraduate students</v>
      </c>
      <c r="L244" s="2" t="str">
        <v>greenspace</v>
      </c>
      <c r="M244" s="2" t="str">
        <v>trends in use and benefit</v>
      </c>
      <c r="N244" s="2" t="str">
        <v>factor of influence</v>
      </c>
      <c r="O244" s="2" t="str">
        <v>barrier factors</v>
      </c>
      <c r="P244" s="2" t="s">
        <v>9</v>
      </c>
      <c r="Q244" s="2" t="s">
        <v>10</v>
      </c>
    </row>
    <row r="245" spans="1:17" x14ac:dyDescent="0.35">
      <c r="A245" s="2" t="s">
        <v>5884</v>
      </c>
      <c r="B245" s="2" t="s">
        <v>1221</v>
      </c>
      <c r="C245" s="2" t="s">
        <v>1222</v>
      </c>
      <c r="D245" s="2">
        <v>2021</v>
      </c>
      <c r="E245" s="2" t="s">
        <v>1223</v>
      </c>
      <c r="F245" s="2" t="s">
        <v>1224</v>
      </c>
      <c r="G245" s="2" t="s">
        <v>1225</v>
      </c>
      <c r="H245" s="2" t="s">
        <v>1105</v>
      </c>
      <c r="I245" s="2" t="str" cm="1">
        <f t="array" ref="I245">H245 &amp; _xlfn.REGEXEXTRACT(G245,"^[^_]+_\d{4}") &amp; ".pdf"</f>
        <v>https://www.ocf.berkeley.edu/~pkmendez/envsci/projects/2021final/ManansalaJ_2021.pdf</v>
      </c>
      <c r="J245" s="1" t="str">
        <f t="shared" si="3"/>
        <v>https://www.ocf.berkeley.edu/~pkmendez/envsci/projects/2021final/ManansalaJ_2021.pdf</v>
      </c>
      <c r="K245" s="2" t="str" cm="1">
        <f t="array" ref="K245:O245">_xlfn.TAKE(TRIM(_xlfn.TEXTSPLIT(F245,{",",";"})),,5)</f>
        <v>Wildfires</v>
      </c>
      <c r="L245" s="2" t="str">
        <v>smoke pollution</v>
      </c>
      <c r="M245" s="2" t="str">
        <v>air quality index</v>
      </c>
      <c r="N245" s="2" t="str">
        <v>particulate matter 2.5</v>
      </c>
      <c r="O245" s="2" t="str">
        <v>respiratory health</v>
      </c>
      <c r="P245" s="2" t="s">
        <v>9</v>
      </c>
      <c r="Q245" s="2" t="s">
        <v>10</v>
      </c>
    </row>
    <row r="246" spans="1:17" x14ac:dyDescent="0.35">
      <c r="A246" s="2" t="s">
        <v>5884</v>
      </c>
      <c r="B246" s="2" t="s">
        <v>1226</v>
      </c>
      <c r="C246" s="2" t="s">
        <v>1227</v>
      </c>
      <c r="D246" s="2">
        <v>2021</v>
      </c>
      <c r="E246" s="2" t="s">
        <v>1228</v>
      </c>
      <c r="F246" s="2" t="s">
        <v>1229</v>
      </c>
      <c r="G246" s="2" t="s">
        <v>1230</v>
      </c>
      <c r="H246" s="2" t="s">
        <v>1105</v>
      </c>
      <c r="I246" s="2" t="str" cm="1">
        <f t="array" ref="I246">H246 &amp; _xlfn.REGEXEXTRACT(G246,"^[^_]+_\d{4}") &amp; ".pdf"</f>
        <v>https://www.ocf.berkeley.edu/~pkmendez/envsci/projects/2021final/McDonaldN_2021.pdf</v>
      </c>
      <c r="J246" s="1" t="str">
        <f t="shared" si="3"/>
        <v>https://www.ocf.berkeley.edu/~pkmendez/envsci/projects/2021final/McDonaldN_2021.pdf</v>
      </c>
      <c r="K246" s="2" t="str" cm="1">
        <f t="array" ref="K246:O246">_xlfn.TAKE(TRIM(_xlfn.TEXTSPLIT(F246,{",",";"})),,5)</f>
        <v>Battery Electric Vehicles</v>
      </c>
      <c r="L246" s="2" t="str">
        <v>California Vehicle Market</v>
      </c>
      <c r="M246" s="2" t="str">
        <v>Well-to-Wheels Life Cycle Assessment</v>
      </c>
      <c r="N246" s="2" t="str">
        <v>Carbon Dioxide Emissions</v>
      </c>
      <c r="O246" s="2" t="str">
        <v>Sustainable Transportation</v>
      </c>
      <c r="P246" s="2" t="s">
        <v>9</v>
      </c>
      <c r="Q246" s="2" t="s">
        <v>10</v>
      </c>
    </row>
    <row r="247" spans="1:17" x14ac:dyDescent="0.35">
      <c r="A247" s="2" t="s">
        <v>5884</v>
      </c>
      <c r="B247" s="2" t="s">
        <v>1231</v>
      </c>
      <c r="C247" s="2" t="s">
        <v>1232</v>
      </c>
      <c r="D247" s="2">
        <v>2021</v>
      </c>
      <c r="E247" s="2" t="s">
        <v>1233</v>
      </c>
      <c r="F247" s="2" t="s">
        <v>1234</v>
      </c>
      <c r="G247" s="2" t="s">
        <v>1235</v>
      </c>
      <c r="H247" s="2" t="s">
        <v>1105</v>
      </c>
      <c r="I247" s="2" t="str" cm="1">
        <f t="array" ref="I247">H247 &amp; _xlfn.REGEXEXTRACT(G247,"^[^_]+_\d{4}") &amp; ".pdf"</f>
        <v>https://www.ocf.berkeley.edu/~pkmendez/envsci/projects/2021final/MizeninS_2021.pdf</v>
      </c>
      <c r="J247" s="1" t="str">
        <f t="shared" si="3"/>
        <v>https://www.ocf.berkeley.edu/~pkmendez/envsci/projects/2021final/MizeninS_2021.pdf</v>
      </c>
      <c r="K247" s="2" t="str" cm="1">
        <f t="array" ref="K247:O247">_xlfn.TAKE(TRIM(_xlfn.TEXTSPLIT(F247,{",",";"})),,5)</f>
        <v>Contact zones</v>
      </c>
      <c r="L247" s="2" t="str">
        <v>state politics</v>
      </c>
      <c r="M247" s="2" t="str">
        <v>reciprocity</v>
      </c>
      <c r="N247" s="2" t="str">
        <v>archival analysis</v>
      </c>
      <c r="O247" s="2" t="str">
        <v>participatory research</v>
      </c>
      <c r="P247" s="2" t="s">
        <v>9</v>
      </c>
      <c r="Q247" s="2" t="s">
        <v>10</v>
      </c>
    </row>
    <row r="248" spans="1:17" x14ac:dyDescent="0.35">
      <c r="A248" s="2" t="s">
        <v>5884</v>
      </c>
      <c r="B248" s="2" t="s">
        <v>1236</v>
      </c>
      <c r="C248" s="2" t="s">
        <v>1237</v>
      </c>
      <c r="D248" s="2">
        <v>2021</v>
      </c>
      <c r="E248" s="2" t="s">
        <v>1238</v>
      </c>
      <c r="F248" s="2" t="s">
        <v>1239</v>
      </c>
      <c r="G248" s="2" t="s">
        <v>1240</v>
      </c>
      <c r="H248" s="2" t="s">
        <v>1105</v>
      </c>
      <c r="I248" s="2" t="str" cm="1">
        <f t="array" ref="I248">H248 &amp; _xlfn.REGEXEXTRACT(G248,"^[^_]+_\d{4}") &amp; ".pdf"</f>
        <v>https://www.ocf.berkeley.edu/~pkmendez/envsci/projects/2021final/NaylorG_2021.pdf</v>
      </c>
      <c r="J248" s="1" t="str">
        <f t="shared" si="3"/>
        <v>https://www.ocf.berkeley.edu/~pkmendez/envsci/projects/2021final/NaylorG_2021.pdf</v>
      </c>
      <c r="K248" s="2" t="str" cm="1">
        <f t="array" ref="K248:O248">_xlfn.TAKE(TRIM(_xlfn.TEXTSPLIT(F248,{",",";"})),,5)</f>
        <v>Air quality</v>
      </c>
      <c r="L248" s="2" t="str">
        <v>Pm2.5</v>
      </c>
      <c r="M248" s="2" t="str">
        <v>COVID-19</v>
      </c>
      <c r="N248" s="2" t="str">
        <v>pandemic</v>
      </c>
      <c r="O248" s="2" t="str">
        <v>EPA</v>
      </c>
      <c r="P248" s="2" t="s">
        <v>9</v>
      </c>
      <c r="Q248" s="2" t="s">
        <v>10</v>
      </c>
    </row>
    <row r="249" spans="1:17" x14ac:dyDescent="0.35">
      <c r="A249" s="2" t="s">
        <v>5884</v>
      </c>
      <c r="B249" s="2" t="s">
        <v>1241</v>
      </c>
      <c r="C249" s="2" t="s">
        <v>1242</v>
      </c>
      <c r="D249" s="2">
        <v>2021</v>
      </c>
      <c r="E249" s="2" t="s">
        <v>1243</v>
      </c>
      <c r="F249" s="2" t="s">
        <v>1244</v>
      </c>
      <c r="G249" s="2" t="s">
        <v>1245</v>
      </c>
      <c r="H249" s="2" t="s">
        <v>1105</v>
      </c>
      <c r="I249" s="2" t="str" cm="1">
        <f t="array" ref="I249">H249 &amp; _xlfn.REGEXEXTRACT(G249,"^[^_]+_\d{4}") &amp; ".pdf"</f>
        <v>https://www.ocf.berkeley.edu/~pkmendez/envsci/projects/2021final/NguyenG_2021.pdf</v>
      </c>
      <c r="J249" s="1" t="str">
        <f t="shared" si="3"/>
        <v>https://www.ocf.berkeley.edu/~pkmendez/envsci/projects/2021final/NguyenG_2021.pdf</v>
      </c>
      <c r="K249" s="2" t="str" cm="1">
        <f t="array" ref="K249:O249">_xlfn.TAKE(TRIM(_xlfn.TEXTSPLIT(F249,{",",";"})),,5)</f>
        <v>plant biota</v>
      </c>
      <c r="L249" s="2" t="str">
        <v>inorganic</v>
      </c>
      <c r="M249" s="2" t="str">
        <v>climate change</v>
      </c>
      <c r="N249" s="2" t="str">
        <v>Easy Bay</v>
      </c>
      <c r="O249" s="2" t="str">
        <v>observational</v>
      </c>
      <c r="P249" s="2" t="s">
        <v>9</v>
      </c>
      <c r="Q249" s="2" t="s">
        <v>10</v>
      </c>
    </row>
    <row r="250" spans="1:17" x14ac:dyDescent="0.35">
      <c r="A250" s="2" t="s">
        <v>5884</v>
      </c>
      <c r="B250" s="2" t="s">
        <v>1246</v>
      </c>
      <c r="C250" s="2" t="s">
        <v>1247</v>
      </c>
      <c r="D250" s="2">
        <v>2021</v>
      </c>
      <c r="E250" s="2" t="s">
        <v>1248</v>
      </c>
      <c r="F250" s="2" t="s">
        <v>1249</v>
      </c>
      <c r="G250" s="2" t="s">
        <v>1250</v>
      </c>
      <c r="H250" s="2" t="s">
        <v>1105</v>
      </c>
      <c r="I250" s="2" t="str" cm="1">
        <f t="array" ref="I250">H250 &amp; _xlfn.REGEXEXTRACT(G250,"^[^_]+_\d{4}") &amp; ".pdf"</f>
        <v>https://www.ocf.berkeley.edu/~pkmendez/envsci/projects/2021final/OM_2021.pdf</v>
      </c>
      <c r="J250" s="1" t="str">
        <f t="shared" si="3"/>
        <v>https://www.ocf.berkeley.edu/~pkmendez/envsci/projects/2021final/OM_2021.pdf</v>
      </c>
      <c r="K250" s="2" t="str" cm="1">
        <f t="array" ref="K250:O250">_xlfn.TAKE(TRIM(_xlfn.TEXTSPLIT(F250,{",",";"})),,5)</f>
        <v>runoff</v>
      </c>
      <c r="L250" s="2" t="str">
        <v>eutrophication</v>
      </c>
      <c r="M250" s="2" t="str">
        <v>GIS</v>
      </c>
      <c r="N250" s="2" t="str">
        <v>nitrogen</v>
      </c>
      <c r="O250" s="2" t="str">
        <v>phosphorus</v>
      </c>
      <c r="P250" s="2" t="s">
        <v>9</v>
      </c>
      <c r="Q250" s="2" t="s">
        <v>10</v>
      </c>
    </row>
    <row r="251" spans="1:17" x14ac:dyDescent="0.35">
      <c r="A251" s="2" t="s">
        <v>5884</v>
      </c>
      <c r="B251" s="2" t="s">
        <v>1251</v>
      </c>
      <c r="C251" s="2" t="s">
        <v>1252</v>
      </c>
      <c r="D251" s="2">
        <v>2021</v>
      </c>
      <c r="E251" s="2" t="s">
        <v>1253</v>
      </c>
      <c r="F251" s="2" t="s">
        <v>1254</v>
      </c>
      <c r="G251" s="2" t="s">
        <v>1255</v>
      </c>
      <c r="H251" s="2" t="s">
        <v>1105</v>
      </c>
      <c r="I251" s="2" t="str" cm="1">
        <f t="array" ref="I251">H251 &amp; _xlfn.REGEXEXTRACT(G251,"^[^_]+_\d{4}") &amp; ".pdf"</f>
        <v>https://www.ocf.berkeley.edu/~pkmendez/envsci/projects/2021final/OylerH_2021.pdf</v>
      </c>
      <c r="J251" s="1" t="str">
        <f t="shared" si="3"/>
        <v>https://www.ocf.berkeley.edu/~pkmendez/envsci/projects/2021final/OylerH_2021.pdf</v>
      </c>
      <c r="K251" s="2" t="str" cm="1">
        <f t="array" ref="K251:O251">_xlfn.TAKE(TRIM(_xlfn.TEXTSPLIT(F251,{",",";"})),,5)</f>
        <v>eBird</v>
      </c>
      <c r="L251" s="2" t="str">
        <v>auk</v>
      </c>
      <c r="M251" s="2" t="str">
        <v>pandemic response</v>
      </c>
      <c r="N251" s="2" t="str">
        <v>human-wildlife interaction</v>
      </c>
      <c r="O251" s="2" t="str">
        <v>conservation biology</v>
      </c>
      <c r="P251" s="2" t="s">
        <v>9</v>
      </c>
      <c r="Q251" s="2" t="s">
        <v>10</v>
      </c>
    </row>
    <row r="252" spans="1:17" x14ac:dyDescent="0.35">
      <c r="A252" s="2" t="s">
        <v>5884</v>
      </c>
      <c r="B252" s="2" t="s">
        <v>1256</v>
      </c>
      <c r="C252" s="2" t="s">
        <v>1257</v>
      </c>
      <c r="D252" s="2">
        <v>2021</v>
      </c>
      <c r="E252" s="2" t="s">
        <v>1258</v>
      </c>
      <c r="F252" s="2" t="s">
        <v>1259</v>
      </c>
      <c r="G252" s="2" t="s">
        <v>1260</v>
      </c>
      <c r="H252" s="2" t="s">
        <v>1105</v>
      </c>
      <c r="I252" s="2" t="str" cm="1">
        <f t="array" ref="I252">H252 &amp; _xlfn.REGEXEXTRACT(G252,"^[^_]+_\d{4}") &amp; ".pdf"</f>
        <v>https://www.ocf.berkeley.edu/~pkmendez/envsci/projects/2021final/PayneH_2021.pdf</v>
      </c>
      <c r="J252" s="1" t="str">
        <f t="shared" si="3"/>
        <v>https://www.ocf.berkeley.edu/~pkmendez/envsci/projects/2021final/PayneH_2021.pdf</v>
      </c>
      <c r="K252" s="2" t="str" cm="1">
        <f t="array" ref="K252:O252">_xlfn.TAKE(TRIM(_xlfn.TEXTSPLIT(F252,{",",";"})),,5)</f>
        <v>Gap dynamics</v>
      </c>
      <c r="L252" s="2" t="str">
        <v>Edge effects</v>
      </c>
      <c r="M252" s="2" t="str">
        <v>Shrub competition</v>
      </c>
      <c r="N252" s="2" t="str">
        <v>Silviculture</v>
      </c>
      <c r="O252" s="2" t="str">
        <v>Forest disturbance patches</v>
      </c>
      <c r="P252" s="2" t="s">
        <v>9</v>
      </c>
      <c r="Q252" s="2" t="s">
        <v>10</v>
      </c>
    </row>
    <row r="253" spans="1:17" x14ac:dyDescent="0.35">
      <c r="A253" s="2" t="s">
        <v>5884</v>
      </c>
      <c r="B253" s="2" t="s">
        <v>1261</v>
      </c>
      <c r="C253" s="2" t="s">
        <v>1262</v>
      </c>
      <c r="D253" s="2">
        <v>2021</v>
      </c>
      <c r="E253" s="2" t="s">
        <v>1263</v>
      </c>
      <c r="F253" s="2" t="s">
        <v>1264</v>
      </c>
      <c r="G253" s="2" t="s">
        <v>1265</v>
      </c>
      <c r="H253" s="2" t="s">
        <v>1105</v>
      </c>
      <c r="I253" s="2" t="str" cm="1">
        <f t="array" ref="I253">H253 &amp; _xlfn.REGEXEXTRACT(G253,"^[^_]+_\d{4}") &amp; ".pdf"</f>
        <v>https://www.ocf.berkeley.edu/~pkmendez/envsci/projects/2021final/PlascenciaA_2021.pdf</v>
      </c>
      <c r="J253" s="1" t="str">
        <f t="shared" si="3"/>
        <v>https://www.ocf.berkeley.edu/~pkmendez/envsci/projects/2021final/PlascenciaA_2021.pdf</v>
      </c>
      <c r="K253" s="2" t="str" cm="1">
        <f t="array" ref="K253:O253">_xlfn.TAKE(TRIM(_xlfn.TEXTSPLIT(F253,{",",";"})),,5)</f>
        <v>urban education</v>
      </c>
      <c r="L253" s="2" t="str">
        <v>K-12 education</v>
      </c>
      <c r="M253" s="2" t="str">
        <v>environmental curriculum</v>
      </c>
      <c r="N253" s="2" t="str">
        <v>equity of access</v>
      </c>
      <c r="O253" s="2" t="str">
        <v>low-income school</v>
      </c>
      <c r="P253" s="2" t="s">
        <v>9</v>
      </c>
      <c r="Q253" s="2" t="s">
        <v>10</v>
      </c>
    </row>
    <row r="254" spans="1:17" x14ac:dyDescent="0.35">
      <c r="A254" s="2" t="s">
        <v>5884</v>
      </c>
      <c r="B254" s="2" t="s">
        <v>1266</v>
      </c>
      <c r="C254" s="2" t="s">
        <v>1267</v>
      </c>
      <c r="D254" s="2">
        <v>2021</v>
      </c>
      <c r="E254" s="2" t="s">
        <v>1350</v>
      </c>
      <c r="F254" s="2" t="s">
        <v>1268</v>
      </c>
      <c r="G254" s="2" t="s">
        <v>1269</v>
      </c>
      <c r="H254" s="2" t="s">
        <v>1105</v>
      </c>
      <c r="I254" s="2" t="str" cm="1">
        <f t="array" ref="I254">H254 &amp; _xlfn.REGEXEXTRACT(G254,"^[^_]+_\d{4}") &amp; ".pdf"</f>
        <v>https://www.ocf.berkeley.edu/~pkmendez/envsci/projects/2021final/PriceB_2021.pdf</v>
      </c>
      <c r="J254" s="1" t="str">
        <f t="shared" si="3"/>
        <v>https://www.ocf.berkeley.edu/~pkmendez/envsci/projects/2021final/PriceB_2021.pdf</v>
      </c>
      <c r="K254" s="2" t="str" cm="1">
        <f t="array" ref="K254:O254">_xlfn.TAKE(TRIM(_xlfn.TEXTSPLIT(F254,{",",";"})),,5)</f>
        <v>best management practices</v>
      </c>
      <c r="L254" s="2" t="str">
        <v>green infrastructure</v>
      </c>
      <c r="M254" s="2" t="str">
        <v>runoff abatement</v>
      </c>
      <c r="N254" s="2" t="str">
        <v>cost-effectiveness</v>
      </c>
      <c r="O254" s="2" t="str">
        <v>site selection</v>
      </c>
      <c r="P254" s="2" t="s">
        <v>9</v>
      </c>
      <c r="Q254" s="2" t="s">
        <v>10</v>
      </c>
    </row>
    <row r="255" spans="1:17" x14ac:dyDescent="0.35">
      <c r="A255" s="2" t="s">
        <v>5884</v>
      </c>
      <c r="B255" s="2" t="s">
        <v>1270</v>
      </c>
      <c r="C255" s="2" t="s">
        <v>1271</v>
      </c>
      <c r="D255" s="2">
        <v>2021</v>
      </c>
      <c r="E255" s="2" t="s">
        <v>1272</v>
      </c>
      <c r="F255" s="2" t="s">
        <v>1273</v>
      </c>
      <c r="G255" s="2" t="s">
        <v>1274</v>
      </c>
      <c r="H255" s="2" t="s">
        <v>1105</v>
      </c>
      <c r="I255" s="2" t="str" cm="1">
        <f t="array" ref="I255">H255 &amp; _xlfn.REGEXEXTRACT(G255,"^[^_]+_\d{4}") &amp; ".pdf"</f>
        <v>https://www.ocf.berkeley.edu/~pkmendez/envsci/projects/2021final/PumpkinE_2021.pdf</v>
      </c>
      <c r="J255" s="1" t="str">
        <f t="shared" si="3"/>
        <v>https://www.ocf.berkeley.edu/~pkmendez/envsci/projects/2021final/PumpkinE_2021.pdf</v>
      </c>
      <c r="K255" s="2" t="str" cm="1">
        <f t="array" ref="K255:O255">_xlfn.TAKE(TRIM(_xlfn.TEXTSPLIT(F255,{",",";"})),,5)</f>
        <v>restoration ecology</v>
      </c>
      <c r="L255" s="2" t="str">
        <v>habitat heterogeneity</v>
      </c>
      <c r="M255" s="2" t="str">
        <v>biodiversity</v>
      </c>
      <c r="N255" s="2" t="str">
        <v>in-stream restoration</v>
      </c>
      <c r="O255" s="2" t="str">
        <v>off-channel habitat</v>
      </c>
      <c r="P255" s="2" t="s">
        <v>9</v>
      </c>
      <c r="Q255" s="2" t="s">
        <v>10</v>
      </c>
    </row>
    <row r="256" spans="1:17" x14ac:dyDescent="0.35">
      <c r="A256" s="2" t="s">
        <v>5884</v>
      </c>
      <c r="B256" s="2" t="s">
        <v>1275</v>
      </c>
      <c r="C256" s="2" t="s">
        <v>1276</v>
      </c>
      <c r="D256" s="2">
        <v>2021</v>
      </c>
      <c r="E256" s="2" t="s">
        <v>1277</v>
      </c>
      <c r="F256" s="2" t="s">
        <v>1278</v>
      </c>
      <c r="G256" s="2" t="s">
        <v>1279</v>
      </c>
      <c r="H256" s="2" t="s">
        <v>1105</v>
      </c>
      <c r="I256" s="2" t="str" cm="1">
        <f t="array" ref="I256">H256 &amp; _xlfn.REGEXEXTRACT(G256,"^[^_]+_\d{4}") &amp; ".pdf"</f>
        <v>https://www.ocf.berkeley.edu/~pkmendez/envsci/projects/2021final/PyleE_2021.pdf</v>
      </c>
      <c r="J256" s="1" t="str">
        <f t="shared" si="3"/>
        <v>https://www.ocf.berkeley.edu/~pkmendez/envsci/projects/2021final/PyleE_2021.pdf</v>
      </c>
      <c r="K256" s="2" t="str" cm="1">
        <f t="array" ref="K256:O256">_xlfn.TAKE(TRIM(_xlfn.TEXTSPLIT(F256,{",",";"})),,5)</f>
        <v>Amphibians</v>
      </c>
      <c r="L256" s="2" t="str">
        <v>chytrid fungi</v>
      </c>
      <c r="M256" s="2" t="str">
        <v>chytridiomycosis</v>
      </c>
      <c r="N256" s="2" t="str">
        <v>Batrachochytrium dendrobatidis (Bd)</v>
      </c>
      <c r="O256" s="2" t="str">
        <v>Batrachochytrium salamandrivorans (Bsal)</v>
      </c>
      <c r="P256" s="2" t="s">
        <v>9</v>
      </c>
      <c r="Q256" s="2" t="s">
        <v>10</v>
      </c>
    </row>
    <row r="257" spans="1:17" x14ac:dyDescent="0.35">
      <c r="A257" s="2" t="s">
        <v>5884</v>
      </c>
      <c r="B257" s="2" t="s">
        <v>1280</v>
      </c>
      <c r="C257" s="2" t="s">
        <v>1281</v>
      </c>
      <c r="D257" s="2">
        <v>2021</v>
      </c>
      <c r="E257" s="2" t="s">
        <v>1282</v>
      </c>
      <c r="F257" s="2" t="s">
        <v>1283</v>
      </c>
      <c r="G257" s="2" t="s">
        <v>1284</v>
      </c>
      <c r="H257" s="2" t="s">
        <v>1105</v>
      </c>
      <c r="I257" s="2" t="str" cm="1">
        <f t="array" ref="I257">H257 &amp; _xlfn.REGEXEXTRACT(G257,"^[^_]+_\d{4}") &amp; ".pdf"</f>
        <v>https://www.ocf.berkeley.edu/~pkmendez/envsci/projects/2021final/QiangH_2021.pdf</v>
      </c>
      <c r="J257" s="1" t="str">
        <f t="shared" si="3"/>
        <v>https://www.ocf.berkeley.edu/~pkmendez/envsci/projects/2021final/QiangH_2021.pdf</v>
      </c>
      <c r="K257" s="2" t="str" cm="1">
        <f t="array" ref="K257:O257">_xlfn.TAKE(TRIM(_xlfn.TEXTSPLIT(F257,{",",";"})),,5)</f>
        <v>life cycle assessment</v>
      </c>
      <c r="L257" s="2" t="str">
        <v>urban agriculture</v>
      </c>
      <c r="M257" s="2" t="str">
        <v>conventional outdoor agriculture</v>
      </c>
      <c r="N257" s="2" t="str">
        <v>geographic information systems</v>
      </c>
      <c r="O257" s="2" t="str">
        <v>global warming potential</v>
      </c>
      <c r="P257" s="2" t="s">
        <v>9</v>
      </c>
      <c r="Q257" s="2" t="s">
        <v>10</v>
      </c>
    </row>
    <row r="258" spans="1:17" x14ac:dyDescent="0.35">
      <c r="A258" s="2" t="s">
        <v>5884</v>
      </c>
      <c r="B258" s="2" t="s">
        <v>1285</v>
      </c>
      <c r="C258" s="2" t="s">
        <v>1286</v>
      </c>
      <c r="D258" s="2">
        <v>2021</v>
      </c>
      <c r="E258" s="2" t="s">
        <v>1287</v>
      </c>
      <c r="F258" s="2" t="s">
        <v>1288</v>
      </c>
      <c r="G258" s="2" t="s">
        <v>1289</v>
      </c>
      <c r="H258" s="2" t="s">
        <v>1105</v>
      </c>
      <c r="I258" s="2" t="str" cm="1">
        <f t="array" ref="I258">H258 &amp; _xlfn.REGEXEXTRACT(G258,"[^_]+_\d{4}") &amp; ".pdf"</f>
        <v>https://www.ocf.berkeley.edu/~pkmendez/envsci/projects/2021final/RamjiA_2021.pdf</v>
      </c>
      <c r="J258" s="1" t="str">
        <f t="shared" si="3"/>
        <v>https://www.ocf.berkeley.edu/~pkmendez/envsci/projects/2021final/RamjiA_2021.pdf</v>
      </c>
      <c r="K258" s="2" t="str" cm="1">
        <f t="array" ref="K258:O258">_xlfn.TAKE(TRIM(_xlfn.TEXTSPLIT(F258,{",",";"})),,5)</f>
        <v>animal behavior</v>
      </c>
      <c r="L258" s="2" t="str">
        <v>animal husbandry</v>
      </c>
      <c r="M258" s="2" t="str">
        <v>camouflage</v>
      </c>
      <c r="N258" s="2" t="str">
        <v>cephalopod behavior</v>
      </c>
      <c r="O258" s="2" t="str">
        <v>cephalopod intelligence</v>
      </c>
      <c r="P258" s="2" t="s">
        <v>9</v>
      </c>
      <c r="Q258" s="2" t="s">
        <v>10</v>
      </c>
    </row>
    <row r="259" spans="1:17" x14ac:dyDescent="0.35">
      <c r="A259" s="2" t="s">
        <v>5884</v>
      </c>
      <c r="B259" s="2" t="s">
        <v>1290</v>
      </c>
      <c r="C259" s="2" t="s">
        <v>1291</v>
      </c>
      <c r="D259" s="2">
        <v>2021</v>
      </c>
      <c r="E259" s="2" t="s">
        <v>1292</v>
      </c>
      <c r="F259" s="2" t="s">
        <v>1293</v>
      </c>
      <c r="G259" s="2" t="s">
        <v>1294</v>
      </c>
      <c r="H259" s="2" t="s">
        <v>1105</v>
      </c>
      <c r="I259" s="2" t="str" cm="1">
        <f t="array" ref="I259">H259 &amp; _xlfn.REGEXEXTRACT(G259,"^[^_]+_\d{4}") &amp; ".pdf"</f>
        <v>https://www.ocf.berkeley.edu/~pkmendez/envsci/projects/2021final/RoblesE_2021.pdf</v>
      </c>
      <c r="J259" s="1" t="str">
        <f t="shared" ref="J259:J322" si="4">HYPERLINK(I259, I259)</f>
        <v>https://www.ocf.berkeley.edu/~pkmendez/envsci/projects/2021final/RoblesE_2021.pdf</v>
      </c>
      <c r="K259" s="2" t="str" cm="1">
        <f t="array" ref="K259:O259">_xlfn.TAKE(TRIM(_xlfn.TEXTSPLIT(F259,{",",";"})),,5)</f>
        <v>data longevity</v>
      </c>
      <c r="L259" s="2" t="str">
        <v>data stewardship</v>
      </c>
      <c r="M259" s="2" t="str">
        <v>FAIR principles</v>
      </c>
      <c r="N259" s="2" t="str">
        <v>open data</v>
      </c>
      <c r="O259" s="2" t="str">
        <v>standards</v>
      </c>
      <c r="P259" s="2" t="s">
        <v>9</v>
      </c>
      <c r="Q259" s="2" t="s">
        <v>10</v>
      </c>
    </row>
    <row r="260" spans="1:17" x14ac:dyDescent="0.35">
      <c r="A260" s="2" t="s">
        <v>5884</v>
      </c>
      <c r="B260" s="2" t="s">
        <v>1295</v>
      </c>
      <c r="C260" s="2" t="s">
        <v>1296</v>
      </c>
      <c r="D260" s="2">
        <v>2021</v>
      </c>
      <c r="E260" s="2" t="s">
        <v>1297</v>
      </c>
      <c r="F260" s="2" t="s">
        <v>1298</v>
      </c>
      <c r="G260" s="2" t="s">
        <v>1299</v>
      </c>
      <c r="H260" s="2" t="s">
        <v>1105</v>
      </c>
      <c r="I260" s="2" t="str" cm="1">
        <f t="array" ref="I260">H260 &amp; _xlfn.REGEXEXTRACT(G260,"^[^_]+_\d{4}") &amp; ".pdf"</f>
        <v>https://www.ocf.berkeley.edu/~pkmendez/envsci/projects/2021final/RocheleauL_2021.pdf</v>
      </c>
      <c r="J260" s="1" t="str">
        <f t="shared" si="4"/>
        <v>https://www.ocf.berkeley.edu/~pkmendez/envsci/projects/2021final/RocheleauL_2021.pdf</v>
      </c>
      <c r="K260" s="2" t="str" cm="1">
        <f t="array" ref="K260:N260">_xlfn.TAKE(TRIM(_xlfn.TEXTSPLIT(F260,{",",";"})),,5)</f>
        <v>beach litter</v>
      </c>
      <c r="L260" s="2" t="str">
        <v>personal protective gear</v>
      </c>
      <c r="M260" s="2" t="str">
        <v>beach cleanup</v>
      </c>
      <c r="N260" s="2" t="str">
        <v>marine pollution</v>
      </c>
      <c r="P260" s="2" t="s">
        <v>9</v>
      </c>
      <c r="Q260" s="2" t="s">
        <v>10</v>
      </c>
    </row>
    <row r="261" spans="1:17" x14ac:dyDescent="0.35">
      <c r="A261" s="2" t="s">
        <v>5884</v>
      </c>
      <c r="B261" s="2" t="s">
        <v>1300</v>
      </c>
      <c r="C261" s="2" t="s">
        <v>1301</v>
      </c>
      <c r="D261" s="2">
        <v>2021</v>
      </c>
      <c r="E261" s="2" t="s">
        <v>1302</v>
      </c>
      <c r="F261" s="2" t="s">
        <v>1303</v>
      </c>
      <c r="G261" s="2" t="s">
        <v>1304</v>
      </c>
      <c r="H261" s="2" t="s">
        <v>1105</v>
      </c>
      <c r="I261" s="2" t="str" cm="1">
        <f t="array" ref="I261">H261 &amp; _xlfn.REGEXEXTRACT(G261,"^[^_]+_\d{4}") &amp; ".pdf"</f>
        <v>https://www.ocf.berkeley.edu/~pkmendez/envsci/projects/2021final/StephensonA_2021.pdf</v>
      </c>
      <c r="J261" s="1" t="str">
        <f t="shared" si="4"/>
        <v>https://www.ocf.berkeley.edu/~pkmendez/envsci/projects/2021final/StephensonA_2021.pdf</v>
      </c>
      <c r="K261" s="2" t="str" cm="1">
        <f t="array" ref="K261:O261">_xlfn.TAKE(TRIM(_xlfn.TEXTSPLIT(F261,{",",";"})),,5)</f>
        <v>neophobia</v>
      </c>
      <c r="L261" s="2" t="str">
        <v>entomophagous</v>
      </c>
      <c r="M261" s="2" t="str">
        <v>consumer willingness to buy</v>
      </c>
      <c r="N261" s="2" t="str">
        <v>demographic</v>
      </c>
      <c r="O261" s="2" t="str">
        <v>accessibility</v>
      </c>
      <c r="P261" s="2" t="s">
        <v>9</v>
      </c>
      <c r="Q261" s="2" t="s">
        <v>10</v>
      </c>
    </row>
    <row r="262" spans="1:17" x14ac:dyDescent="0.35">
      <c r="A262" s="2" t="s">
        <v>5884</v>
      </c>
      <c r="B262" s="2" t="s">
        <v>1305</v>
      </c>
      <c r="C262" s="2" t="s">
        <v>1306</v>
      </c>
      <c r="D262" s="2">
        <v>2021</v>
      </c>
      <c r="E262" s="2" t="s">
        <v>1307</v>
      </c>
      <c r="F262" s="2" t="s">
        <v>1308</v>
      </c>
      <c r="G262" s="2" t="s">
        <v>1309</v>
      </c>
      <c r="H262" s="2" t="s">
        <v>1105</v>
      </c>
      <c r="I262" s="2" t="str" cm="1">
        <f t="array" ref="I262">H262 &amp; _xlfn.REGEXEXTRACT(G262,"^[^_]+_\d{4}") &amp; ".pdf"</f>
        <v>https://www.ocf.berkeley.edu/~pkmendez/envsci/projects/2021final/StreetH_2021.pdf</v>
      </c>
      <c r="J262" s="1" t="str">
        <f t="shared" si="4"/>
        <v>https://www.ocf.berkeley.edu/~pkmendez/envsci/projects/2021final/StreetH_2021.pdf</v>
      </c>
      <c r="K262" s="2" t="str" cm="1">
        <f t="array" ref="K262:O262">_xlfn.TAKE(TRIM(_xlfn.TEXTSPLIT(F262,{",",";"})),,5)</f>
        <v>Climate change</v>
      </c>
      <c r="L262" s="2" t="str">
        <v>silviculture</v>
      </c>
      <c r="M262" s="2" t="str">
        <v>snow hydrology</v>
      </c>
      <c r="N262" s="2" t="str">
        <v>Eastern Sierra Nevada</v>
      </c>
      <c r="O262" s="2" t="str">
        <v>water resource management</v>
      </c>
      <c r="P262" s="2" t="s">
        <v>9</v>
      </c>
      <c r="Q262" s="2" t="s">
        <v>10</v>
      </c>
    </row>
    <row r="263" spans="1:17" x14ac:dyDescent="0.35">
      <c r="A263" s="2" t="s">
        <v>5884</v>
      </c>
      <c r="B263" s="2" t="s">
        <v>1310</v>
      </c>
      <c r="C263" s="2" t="s">
        <v>1311</v>
      </c>
      <c r="D263" s="2">
        <v>2021</v>
      </c>
      <c r="E263" s="2" t="s">
        <v>1312</v>
      </c>
      <c r="F263" s="2" t="s">
        <v>1313</v>
      </c>
      <c r="G263" s="2" t="s">
        <v>1314</v>
      </c>
      <c r="H263" s="2" t="s">
        <v>1105</v>
      </c>
      <c r="I263" s="2" t="str" cm="1">
        <f t="array" ref="I263">H263 &amp; _xlfn.REGEXEXTRACT(G263,"^[^_]+_\d{4}") &amp; ".pdf"</f>
        <v>https://www.ocf.berkeley.edu/~pkmendez/envsci/projects/2021final/SturlaS_2021.pdf</v>
      </c>
      <c r="J263" s="1" t="str">
        <f t="shared" si="4"/>
        <v>https://www.ocf.berkeley.edu/~pkmendez/envsci/projects/2021final/SturlaS_2021.pdf</v>
      </c>
      <c r="K263" s="2" t="str" cm="1">
        <f t="array" ref="K263:O263">_xlfn.TAKE(TRIM(_xlfn.TEXTSPLIT(F263,{",",";"})),,5)</f>
        <v>environmental justice</v>
      </c>
      <c r="L263" s="2" t="str">
        <v>particulate matter</v>
      </c>
      <c r="M263" s="2" t="str">
        <v>public health</v>
      </c>
      <c r="N263" s="2" t="str">
        <v>health disparities</v>
      </c>
      <c r="O263" s="2" t="str">
        <v>mixed methods</v>
      </c>
      <c r="P263" s="2" t="s">
        <v>9</v>
      </c>
      <c r="Q263" s="2" t="s">
        <v>10</v>
      </c>
    </row>
    <row r="264" spans="1:17" x14ac:dyDescent="0.35">
      <c r="A264" s="2" t="s">
        <v>5884</v>
      </c>
      <c r="B264" s="2" t="s">
        <v>1315</v>
      </c>
      <c r="C264" s="2" t="s">
        <v>1316</v>
      </c>
      <c r="D264" s="2">
        <v>2021</v>
      </c>
      <c r="E264" s="2" t="s">
        <v>1317</v>
      </c>
      <c r="F264" s="2" t="s">
        <v>1318</v>
      </c>
      <c r="G264" s="2" t="s">
        <v>1319</v>
      </c>
      <c r="H264" s="2" t="s">
        <v>1105</v>
      </c>
      <c r="I264" s="2" t="str" cm="1">
        <f t="array" ref="I264">H264 &amp; _xlfn.REGEXEXTRACT(G264,"^[^_]+_\d{4}") &amp; ".pdf"</f>
        <v>https://www.ocf.berkeley.edu/~pkmendez/envsci/projects/2021final/SymondsJ_2021.pdf</v>
      </c>
      <c r="J264" s="1" t="str">
        <f t="shared" si="4"/>
        <v>https://www.ocf.berkeley.edu/~pkmendez/envsci/projects/2021final/SymondsJ_2021.pdf</v>
      </c>
      <c r="K264" s="2" t="str" cm="1">
        <f t="array" ref="K264:O264">_xlfn.TAKE(TRIM(_xlfn.TEXTSPLIT(F264,{",",";"})),,5)</f>
        <v>Google Earth Engine</v>
      </c>
      <c r="L264" s="2" t="str">
        <v>Random Forest</v>
      </c>
      <c r="M264" s="2" t="str">
        <v>Agriculture</v>
      </c>
      <c r="N264" s="2" t="str">
        <v>Agroecology</v>
      </c>
      <c r="O264" s="2" t="str">
        <v>Sentinel-2</v>
      </c>
      <c r="P264" s="2" t="s">
        <v>9</v>
      </c>
      <c r="Q264" s="2" t="s">
        <v>10</v>
      </c>
    </row>
    <row r="265" spans="1:17" x14ac:dyDescent="0.35">
      <c r="A265" s="2" t="s">
        <v>5884</v>
      </c>
      <c r="B265" s="2" t="s">
        <v>1320</v>
      </c>
      <c r="C265" s="2" t="s">
        <v>1321</v>
      </c>
      <c r="D265" s="2">
        <v>2021</v>
      </c>
      <c r="E265" s="2" t="s">
        <v>1322</v>
      </c>
      <c r="F265" s="2" t="s">
        <v>1323</v>
      </c>
      <c r="G265" s="2" t="s">
        <v>1324</v>
      </c>
      <c r="H265" s="2" t="s">
        <v>1105</v>
      </c>
      <c r="I265" s="2" t="str" cm="1">
        <f t="array" ref="I265">H265 &amp; _xlfn.REGEXEXTRACT(G265,"^[^_]+_\d{4}") &amp; ".pdf"</f>
        <v>https://www.ocf.berkeley.edu/~pkmendez/envsci/projects/2021final/TaeY_2021.pdf</v>
      </c>
      <c r="J265" s="1" t="str">
        <f t="shared" si="4"/>
        <v>https://www.ocf.berkeley.edu/~pkmendez/envsci/projects/2021final/TaeY_2021.pdf</v>
      </c>
      <c r="K265" s="2" t="str" cm="1">
        <f t="array" ref="K265:N265">_xlfn.TAKE(TRIM(_xlfn.TEXTSPLIT(F265,{",",";"})),,5)</f>
        <v>minerals supply chain</v>
      </c>
      <c r="L265" s="2" t="str">
        <v>responsible minerals sourcing</v>
      </c>
      <c r="M265" s="2" t="str">
        <v>supply chain traceability</v>
      </c>
      <c r="N265" s="2" t="str">
        <v>social compliance</v>
      </c>
      <c r="P265" s="2" t="s">
        <v>9</v>
      </c>
      <c r="Q265" s="2" t="s">
        <v>10</v>
      </c>
    </row>
    <row r="266" spans="1:17" x14ac:dyDescent="0.35">
      <c r="A266" s="2" t="s">
        <v>5884</v>
      </c>
      <c r="B266" s="2" t="s">
        <v>1325</v>
      </c>
      <c r="C266" s="2" t="s">
        <v>1326</v>
      </c>
      <c r="D266" s="2">
        <v>2021</v>
      </c>
      <c r="E266" s="2" t="s">
        <v>1327</v>
      </c>
      <c r="F266" s="2" t="s">
        <v>1328</v>
      </c>
      <c r="G266" s="2" t="s">
        <v>1329</v>
      </c>
      <c r="H266" s="2" t="s">
        <v>1105</v>
      </c>
      <c r="I266" s="2" t="str" cm="1">
        <f t="array" ref="I266">H266 &amp; _xlfn.REGEXEXTRACT(G266,"^[^_]+_\d{4}") &amp; ".pdf"</f>
        <v>https://www.ocf.berkeley.edu/~pkmendez/envsci/projects/2021final/VillanuevaM_2021.pdf</v>
      </c>
      <c r="J266" s="1" t="str">
        <f t="shared" si="4"/>
        <v>https://www.ocf.berkeley.edu/~pkmendez/envsci/projects/2021final/VillanuevaM_2021.pdf</v>
      </c>
      <c r="K266" s="2" t="str" cm="1">
        <f t="array" ref="K266:O266">_xlfn.TAKE(TRIM(_xlfn.TEXTSPLIT(F266,{",",";"})),,5)</f>
        <v>personal safety</v>
      </c>
      <c r="L266" s="2" t="str">
        <v>visitation frequency</v>
      </c>
      <c r="M266" s="2" t="str">
        <v>face covering</v>
      </c>
      <c r="N266" s="2" t="str">
        <v>social distancing</v>
      </c>
      <c r="O266" s="2" t="str">
        <v>mandates</v>
      </c>
      <c r="P266" s="2" t="s">
        <v>9</v>
      </c>
      <c r="Q266" s="2" t="s">
        <v>10</v>
      </c>
    </row>
    <row r="267" spans="1:17" x14ac:dyDescent="0.35">
      <c r="A267" s="2" t="s">
        <v>5884</v>
      </c>
      <c r="B267" s="2" t="s">
        <v>1330</v>
      </c>
      <c r="C267" s="2" t="s">
        <v>1331</v>
      </c>
      <c r="D267" s="2">
        <v>2021</v>
      </c>
      <c r="E267" s="2" t="s">
        <v>1332</v>
      </c>
      <c r="F267" s="2" t="s">
        <v>1333</v>
      </c>
      <c r="G267" s="2" t="s">
        <v>1334</v>
      </c>
      <c r="H267" s="2" t="s">
        <v>1105</v>
      </c>
      <c r="I267" s="2" t="str" cm="1">
        <f t="array" ref="I267">H267 &amp; _xlfn.REGEXEXTRACT(G267,"^[^_]+_\d{4}") &amp; ".pdf"</f>
        <v>https://www.ocf.berkeley.edu/~pkmendez/envsci/projects/2021final/WestwoodC_2021.pdf</v>
      </c>
      <c r="J267" s="1" t="str">
        <f t="shared" si="4"/>
        <v>https://www.ocf.berkeley.edu/~pkmendez/envsci/projects/2021final/WestwoodC_2021.pdf</v>
      </c>
      <c r="K267" s="2" t="str" cm="1">
        <f t="array" ref="K267:O267">_xlfn.TAKE(TRIM(_xlfn.TEXTSPLIT(F267,{",",";"})),,5)</f>
        <v>Nanoplanktonic diatom</v>
      </c>
      <c r="L267" s="2" t="str">
        <v>climate</v>
      </c>
      <c r="M267" s="2" t="str">
        <v>carbon cycle</v>
      </c>
      <c r="N267" s="2" t="str">
        <v>temperature</v>
      </c>
      <c r="O267" s="2" t="str">
        <v>pH</v>
      </c>
      <c r="P267" s="2" t="s">
        <v>9</v>
      </c>
      <c r="Q267" s="2" t="s">
        <v>10</v>
      </c>
    </row>
    <row r="268" spans="1:17" x14ac:dyDescent="0.35">
      <c r="A268" s="2" t="s">
        <v>5884</v>
      </c>
      <c r="B268" s="2" t="s">
        <v>1335</v>
      </c>
      <c r="C268" s="2" t="s">
        <v>1336</v>
      </c>
      <c r="D268" s="2">
        <v>2021</v>
      </c>
      <c r="E268" s="2" t="s">
        <v>1337</v>
      </c>
      <c r="F268" s="2" t="s">
        <v>1338</v>
      </c>
      <c r="G268" s="2" t="s">
        <v>1339</v>
      </c>
      <c r="H268" s="2" t="s">
        <v>1105</v>
      </c>
      <c r="I268" s="2" t="str" cm="1">
        <f t="array" ref="I268">H268 &amp; _xlfn.REGEXEXTRACT(G268,"^[^_]+_\d{4}") &amp; ".pdf"</f>
        <v>https://www.ocf.berkeley.edu/~pkmendez/envsci/projects/2021final/WimsattK_2021.pdf</v>
      </c>
      <c r="J268" s="1" t="str">
        <f t="shared" si="4"/>
        <v>https://www.ocf.berkeley.edu/~pkmendez/envsci/projects/2021final/WimsattK_2021.pdf</v>
      </c>
      <c r="K268" s="2" t="str" cm="1">
        <f t="array" ref="K268:N268">_xlfn.TAKE(TRIM(_xlfn.TEXTSPLIT(F268,{",",";"})),,5)</f>
        <v>Department of Defense</v>
      </c>
      <c r="L268" s="2" t="str">
        <v>climate change</v>
      </c>
      <c r="M268" s="2" t="str">
        <v>energy resilience</v>
      </c>
      <c r="N268" s="2" t="str">
        <v>renewable energy</v>
      </c>
      <c r="P268" s="2" t="s">
        <v>9</v>
      </c>
      <c r="Q268" s="2" t="s">
        <v>10</v>
      </c>
    </row>
    <row r="269" spans="1:17" x14ac:dyDescent="0.35">
      <c r="A269" s="2" t="s">
        <v>5884</v>
      </c>
      <c r="B269" s="2" t="s">
        <v>1340</v>
      </c>
      <c r="C269" s="2" t="s">
        <v>1341</v>
      </c>
      <c r="D269" s="2">
        <v>2021</v>
      </c>
      <c r="E269" s="2" t="s">
        <v>1342</v>
      </c>
      <c r="F269" s="2" t="s">
        <v>1343</v>
      </c>
      <c r="G269" s="2" t="s">
        <v>1344</v>
      </c>
      <c r="H269" s="2" t="s">
        <v>1105</v>
      </c>
      <c r="I269" s="2" t="str" cm="1">
        <f t="array" ref="I269">H269 &amp; _xlfn.REGEXEXTRACT(G269,"^[^_]+_\d{4}") &amp; ".pdf"</f>
        <v>https://www.ocf.berkeley.edu/~pkmendez/envsci/projects/2021final/WuR_2021.pdf</v>
      </c>
      <c r="J269" s="1" t="str">
        <f t="shared" si="4"/>
        <v>https://www.ocf.berkeley.edu/~pkmendez/envsci/projects/2021final/WuR_2021.pdf</v>
      </c>
      <c r="K269" s="2" t="str" cm="1">
        <f t="array" ref="K269:O269">_xlfn.TAKE(TRIM(_xlfn.TEXTSPLIT(F269,{",",";"})),,5)</f>
        <v>global environmental governance</v>
      </c>
      <c r="L269" s="2" t="str">
        <v>climate change</v>
      </c>
      <c r="M269" s="2" t="str">
        <v>treaty withdrawal</v>
      </c>
      <c r="N269" s="2" t="str">
        <v>United States</v>
      </c>
      <c r="O269" s="2" t="str">
        <v>environmental policy</v>
      </c>
      <c r="P269" s="2" t="s">
        <v>9</v>
      </c>
      <c r="Q269" s="2" t="s">
        <v>10</v>
      </c>
    </row>
    <row r="270" spans="1:17" x14ac:dyDescent="0.35">
      <c r="A270" s="2" t="s">
        <v>5884</v>
      </c>
      <c r="B270" s="2" t="s">
        <v>1345</v>
      </c>
      <c r="C270" s="2" t="s">
        <v>1346</v>
      </c>
      <c r="D270" s="2">
        <v>2021</v>
      </c>
      <c r="E270" s="2" t="s">
        <v>1347</v>
      </c>
      <c r="F270" s="2" t="s">
        <v>1348</v>
      </c>
      <c r="G270" s="2" t="s">
        <v>1349</v>
      </c>
      <c r="H270" s="2" t="s">
        <v>1105</v>
      </c>
      <c r="I270" s="2" t="str" cm="1">
        <f t="array" ref="I270">H270 &amp; _xlfn.REGEXEXTRACT(G270,"^[^_]+_\d{4}") &amp; ".pdf"</f>
        <v>https://www.ocf.berkeley.edu/~pkmendez/envsci/projects/2021final/YenE_2021.pdf</v>
      </c>
      <c r="J270" s="1" t="str">
        <f t="shared" si="4"/>
        <v>https://www.ocf.berkeley.edu/~pkmendez/envsci/projects/2021final/YenE_2021.pdf</v>
      </c>
      <c r="K270" s="2" t="str" cm="1">
        <f t="array" ref="K270:O270">_xlfn.TAKE(TRIM(_xlfn.TEXTSPLIT(F270,{",",";"})),,5)</f>
        <v>carbon neutrality</v>
      </c>
      <c r="L270" s="2" t="str">
        <v>daily carbon dioxide emission</v>
      </c>
      <c r="M270" s="2" t="str">
        <v>econometric modeling</v>
      </c>
      <c r="N270" s="2" t="str">
        <v>cumulative greenhouse gas emission</v>
      </c>
      <c r="O270" s="2" t="str">
        <v>Low Carbon Fuel Standard</v>
      </c>
      <c r="P270" s="2" t="s">
        <v>9</v>
      </c>
      <c r="Q270" s="2" t="s">
        <v>10</v>
      </c>
    </row>
    <row r="271" spans="1:17" x14ac:dyDescent="0.35">
      <c r="A271" s="2" t="s">
        <v>5884</v>
      </c>
      <c r="B271" s="2" t="s">
        <v>1352</v>
      </c>
      <c r="C271" s="2" t="s">
        <v>1353</v>
      </c>
      <c r="D271" s="2">
        <v>2020</v>
      </c>
      <c r="E271" s="2" t="s">
        <v>1354</v>
      </c>
      <c r="F271" s="2" t="s">
        <v>1355</v>
      </c>
      <c r="G271" s="2" t="s">
        <v>1356</v>
      </c>
      <c r="H271" s="2" t="s">
        <v>1357</v>
      </c>
      <c r="I271" s="2" t="str" cm="1">
        <f t="array" ref="I271">H271 &amp; _xlfn.REGEXEXTRACT(G271,"^[^_]+_\d{4}") &amp; ".pdf"</f>
        <v>https://www.ocf.berkeley.edu/~pkmendez/envsci/projects/2020final/AhmedT_2020.pdf</v>
      </c>
      <c r="J271" s="1" t="str">
        <f t="shared" si="4"/>
        <v>https://www.ocf.berkeley.edu/~pkmendez/envsci/projects/2020final/AhmedT_2020.pdf</v>
      </c>
      <c r="K271" s="2" t="str" cm="1">
        <f t="array" ref="K271:O271">_xlfn.TAKE(TRIM(_xlfn.TEXTSPLIT(F271,{",",";"})),,5)</f>
        <v>Biomass</v>
      </c>
      <c r="L271" s="2" t="str">
        <v>Inoculate</v>
      </c>
      <c r="M271" s="2" t="str">
        <v>Colonization</v>
      </c>
      <c r="N271" s="2" t="str">
        <v>Mycorrhizae</v>
      </c>
      <c r="O271" s="2" t="str">
        <v>Symbiotic Relationships</v>
      </c>
      <c r="P271" s="2" t="s">
        <v>9</v>
      </c>
      <c r="Q271" s="2" t="s">
        <v>10</v>
      </c>
    </row>
    <row r="272" spans="1:17" x14ac:dyDescent="0.35">
      <c r="A272" s="2" t="s">
        <v>5884</v>
      </c>
      <c r="B272" s="2" t="s">
        <v>1358</v>
      </c>
      <c r="C272" s="2" t="s">
        <v>1359</v>
      </c>
      <c r="D272" s="2">
        <v>2020</v>
      </c>
      <c r="E272" s="2" t="s">
        <v>1360</v>
      </c>
      <c r="F272" s="2" t="s">
        <v>1361</v>
      </c>
      <c r="G272" s="2" t="s">
        <v>1362</v>
      </c>
      <c r="H272" s="2" t="s">
        <v>1357</v>
      </c>
      <c r="I272" s="2" t="str" cm="1">
        <f t="array" ref="I272">H272 &amp; _xlfn.REGEXEXTRACT(G272,"^[^_]+_\d{4}") &amp; ".pdf"</f>
        <v>https://www.ocf.berkeley.edu/~pkmendez/envsci/projects/2020final/BennettL_2020.pdf</v>
      </c>
      <c r="J272" s="1" t="str">
        <f t="shared" si="4"/>
        <v>https://www.ocf.berkeley.edu/~pkmendez/envsci/projects/2020final/BennettL_2020.pdf</v>
      </c>
      <c r="K272" s="2" t="str" cm="1">
        <f t="array" ref="K272:O272">_xlfn.TAKE(TRIM(_xlfn.TEXTSPLIT(F272,{",",";"})),,5)</f>
        <v>Arbuscular mycorrhizal fungi</v>
      </c>
      <c r="L272" s="2" t="str">
        <v>climate change</v>
      </c>
      <c r="M272" s="2" t="str">
        <v>cover cropping</v>
      </c>
      <c r="N272" s="2" t="str">
        <v>continuous production</v>
      </c>
      <c r="O272" s="2" t="str">
        <v>ecological intensification</v>
      </c>
      <c r="P272" s="2" t="s">
        <v>9</v>
      </c>
      <c r="Q272" s="2" t="s">
        <v>10</v>
      </c>
    </row>
    <row r="273" spans="1:17" x14ac:dyDescent="0.35">
      <c r="A273" s="2" t="s">
        <v>5884</v>
      </c>
      <c r="B273" s="2" t="s">
        <v>1363</v>
      </c>
      <c r="C273" s="2" t="s">
        <v>1364</v>
      </c>
      <c r="D273" s="2">
        <v>2020</v>
      </c>
      <c r="E273" s="2" t="s">
        <v>1365</v>
      </c>
      <c r="F273" s="2" t="s">
        <v>1366</v>
      </c>
      <c r="G273" s="2" t="s">
        <v>1367</v>
      </c>
      <c r="H273" s="2" t="s">
        <v>1357</v>
      </c>
      <c r="I273" s="2" t="str" cm="1">
        <f t="array" ref="I273">H273 &amp; _xlfn.REGEXEXTRACT(G273,"^[^_]+_\d{4}") &amp; ".pdf"</f>
        <v>https://www.ocf.berkeley.edu/~pkmendez/envsci/projects/2020final/BervenC_2020.pdf</v>
      </c>
      <c r="J273" s="1" t="str">
        <f t="shared" si="4"/>
        <v>https://www.ocf.berkeley.edu/~pkmendez/envsci/projects/2020final/BervenC_2020.pdf</v>
      </c>
      <c r="K273" s="2" t="str" cm="1">
        <f t="array" ref="K273:O273">_xlfn.TAKE(TRIM(_xlfn.TEXTSPLIT(F273,{",",";"})),,5)</f>
        <v>difference-in-differences regression</v>
      </c>
      <c r="L273" s="2" t="str">
        <v>hydroeconomic modelling</v>
      </c>
      <c r="M273" s="2" t="str">
        <v>Central Valley</v>
      </c>
      <c r="N273" s="2" t="str">
        <v>climate change</v>
      </c>
      <c r="O273" s="2" t="str">
        <v>California</v>
      </c>
      <c r="P273" s="2" t="s">
        <v>9</v>
      </c>
      <c r="Q273" s="2" t="s">
        <v>10</v>
      </c>
    </row>
    <row r="274" spans="1:17" x14ac:dyDescent="0.35">
      <c r="A274" s="2" t="s">
        <v>5884</v>
      </c>
      <c r="B274" s="2" t="s">
        <v>1368</v>
      </c>
      <c r="C274" s="2" t="s">
        <v>1369</v>
      </c>
      <c r="D274" s="2">
        <v>2020</v>
      </c>
      <c r="E274" s="2" t="s">
        <v>1370</v>
      </c>
      <c r="F274" s="2" t="s">
        <v>1371</v>
      </c>
      <c r="G274" s="2" t="s">
        <v>1372</v>
      </c>
      <c r="H274" s="2" t="s">
        <v>1357</v>
      </c>
      <c r="I274" s="2" t="str" cm="1">
        <f t="array" ref="I274">H274 &amp; _xlfn.REGEXEXTRACT(G274,"^[^_]+_\d{4}") &amp; ".pdf"</f>
        <v>https://www.ocf.berkeley.edu/~pkmendez/envsci/projects/2020final/CainE_2020.pdf</v>
      </c>
      <c r="J274" s="1" t="str">
        <f t="shared" si="4"/>
        <v>https://www.ocf.berkeley.edu/~pkmendez/envsci/projects/2020final/CainE_2020.pdf</v>
      </c>
      <c r="K274" s="2" t="str" cm="1">
        <f t="array" ref="K274:O274">_xlfn.TAKE(TRIM(_xlfn.TEXTSPLIT(F274,{",",";"})),,5)</f>
        <v>Toxic Units</v>
      </c>
      <c r="L274" s="2" t="str">
        <v>Biological Index</v>
      </c>
      <c r="M274" s="2" t="str">
        <v>EC50</v>
      </c>
      <c r="N274" s="2" t="str">
        <v>Environmental Pollutants</v>
      </c>
      <c r="O274" s="2" t="str">
        <v>Interactive Visualization</v>
      </c>
      <c r="P274" s="2" t="s">
        <v>9</v>
      </c>
      <c r="Q274" s="2" t="s">
        <v>10</v>
      </c>
    </row>
    <row r="275" spans="1:17" x14ac:dyDescent="0.35">
      <c r="A275" s="2" t="s">
        <v>5884</v>
      </c>
      <c r="B275" s="2" t="s">
        <v>1373</v>
      </c>
      <c r="C275" s="2" t="s">
        <v>1374</v>
      </c>
      <c r="D275" s="2">
        <v>2020</v>
      </c>
      <c r="E275" s="2" t="s">
        <v>1375</v>
      </c>
      <c r="F275" s="2" t="s">
        <v>1376</v>
      </c>
      <c r="G275" s="2" t="s">
        <v>1377</v>
      </c>
      <c r="H275" s="2" t="s">
        <v>1357</v>
      </c>
      <c r="I275" s="2" t="str" cm="1">
        <f t="array" ref="I275">H275 &amp; _xlfn.REGEXEXTRACT(G275,"^[^_]+_\d{4}") &amp; ".pdf"</f>
        <v>https://www.ocf.berkeley.edu/~pkmendez/envsci/projects/2020final/CareyA_2020.pdf</v>
      </c>
      <c r="J275" s="1" t="str">
        <f t="shared" si="4"/>
        <v>https://www.ocf.berkeley.edu/~pkmendez/envsci/projects/2020final/CareyA_2020.pdf</v>
      </c>
      <c r="K275" s="2" t="str" cm="1">
        <f t="array" ref="K275:O275">_xlfn.TAKE(TRIM(_xlfn.TEXTSPLIT(F275,{",",";"})),,5)</f>
        <v>Resource tracking</v>
      </c>
      <c r="L275" s="2" t="str">
        <v>cross-habitat subsidies</v>
      </c>
      <c r="M275" s="2" t="str">
        <v>food webs</v>
      </c>
      <c r="N275" s="2" t="str">
        <v>aquatic insect emergence</v>
      </c>
      <c r="O275" s="2" t="str">
        <v>odonates</v>
      </c>
      <c r="P275" s="2" t="s">
        <v>9</v>
      </c>
      <c r="Q275" s="2" t="s">
        <v>10</v>
      </c>
    </row>
    <row r="276" spans="1:17" x14ac:dyDescent="0.35">
      <c r="A276" s="2" t="s">
        <v>5884</v>
      </c>
      <c r="B276" s="2" t="s">
        <v>1378</v>
      </c>
      <c r="C276" s="2" t="s">
        <v>1379</v>
      </c>
      <c r="D276" s="2">
        <v>2020</v>
      </c>
      <c r="E276" s="2" t="s">
        <v>1380</v>
      </c>
      <c r="F276" s="2" t="s">
        <v>1381</v>
      </c>
      <c r="G276" s="2" t="s">
        <v>1382</v>
      </c>
      <c r="H276" s="2" t="s">
        <v>1357</v>
      </c>
      <c r="I276" s="2" t="str" cm="1">
        <f t="array" ref="I276">H276 &amp; _xlfn.REGEXEXTRACT(G276,"^[^_]+_\d{4}") &amp; ".pdf"</f>
        <v>https://www.ocf.berkeley.edu/~pkmendez/envsci/projects/2020final/ChamberlinL_2020.pdf</v>
      </c>
      <c r="J276" s="1" t="str">
        <f t="shared" si="4"/>
        <v>https://www.ocf.berkeley.edu/~pkmendez/envsci/projects/2020final/ChamberlinL_2020.pdf</v>
      </c>
      <c r="K276" s="2" t="str" cm="1">
        <f t="array" ref="K276:O276">_xlfn.TAKE(TRIM(_xlfn.TEXTSPLIT(F276,{",",";"})),,5)</f>
        <v>environmental knowledge</v>
      </c>
      <c r="L276" s="2" t="str">
        <v>environmental attitude</v>
      </c>
      <c r="M276" s="2" t="str">
        <v>informed behavior</v>
      </c>
      <c r="N276" s="2" t="str">
        <v>environmental psychology</v>
      </c>
      <c r="O276" s="2" t="str">
        <v>ideology</v>
      </c>
      <c r="P276" s="2" t="s">
        <v>9</v>
      </c>
      <c r="Q276" s="2" t="s">
        <v>10</v>
      </c>
    </row>
    <row r="277" spans="1:17" x14ac:dyDescent="0.35">
      <c r="A277" s="2" t="s">
        <v>5884</v>
      </c>
      <c r="B277" s="2" t="s">
        <v>1383</v>
      </c>
      <c r="C277" s="2" t="s">
        <v>1384</v>
      </c>
      <c r="D277" s="2">
        <v>2020</v>
      </c>
      <c r="E277" s="2" t="s">
        <v>1385</v>
      </c>
      <c r="F277" s="2" t="s">
        <v>1386</v>
      </c>
      <c r="G277" s="2" t="s">
        <v>1387</v>
      </c>
      <c r="H277" s="2" t="s">
        <v>1357</v>
      </c>
      <c r="I277" s="2" t="str" cm="1">
        <f t="array" ref="I277">H277 &amp; _xlfn.REGEXEXTRACT(G277,"^[^_]+_\d{4}") &amp; ".pdf"</f>
        <v>https://www.ocf.berkeley.edu/~pkmendez/envsci/projects/2020final/ChiuJ_2020.pdf</v>
      </c>
      <c r="J277" s="1" t="str">
        <f t="shared" si="4"/>
        <v>https://www.ocf.berkeley.edu/~pkmendez/envsci/projects/2020final/ChiuJ_2020.pdf</v>
      </c>
      <c r="K277" s="2" t="str" cm="1">
        <f t="array" ref="K277:O277">_xlfn.TAKE(TRIM(_xlfn.TEXTSPLIT(F277,{",",";"})),,5)</f>
        <v>polylactic acid (PLA)</v>
      </c>
      <c r="L277" s="2" t="str">
        <v>sugarcane fiber (bagasse)</v>
      </c>
      <c r="M277" s="2" t="str">
        <v>cradle-to-grave</v>
      </c>
      <c r="N277" s="2" t="str">
        <v>greenhouse gas emissions</v>
      </c>
      <c r="O277" s="2" t="str">
        <v>energy consumption</v>
      </c>
      <c r="P277" s="2" t="s">
        <v>9</v>
      </c>
      <c r="Q277" s="2" t="s">
        <v>10</v>
      </c>
    </row>
    <row r="278" spans="1:17" x14ac:dyDescent="0.35">
      <c r="A278" s="2" t="s">
        <v>5884</v>
      </c>
      <c r="B278" s="2" t="s">
        <v>1388</v>
      </c>
      <c r="C278" s="2" t="s">
        <v>1389</v>
      </c>
      <c r="D278" s="2">
        <v>2020</v>
      </c>
      <c r="E278" s="2" t="s">
        <v>1390</v>
      </c>
      <c r="F278" s="2" t="s">
        <v>1391</v>
      </c>
      <c r="G278" s="2" t="s">
        <v>1392</v>
      </c>
      <c r="H278" s="2" t="s">
        <v>1357</v>
      </c>
      <c r="I278" s="2" t="str" cm="1">
        <f t="array" ref="I278">H278 &amp; _xlfn.REGEXEXTRACT(G278,"^[^_]+_\d{4}") &amp; ".pdf"</f>
        <v>https://www.ocf.berkeley.edu/~pkmendez/envsci/projects/2020final/ClementsA_2020.pdf</v>
      </c>
      <c r="J278" s="1" t="str">
        <f t="shared" si="4"/>
        <v>https://www.ocf.berkeley.edu/~pkmendez/envsci/projects/2020final/ClementsA_2020.pdf</v>
      </c>
      <c r="K278" s="2" t="str" cm="1">
        <f t="array" ref="K278:O278">_xlfn.TAKE(TRIM(_xlfn.TEXTSPLIT(F278,{",",";"})),,5)</f>
        <v>Land Use</v>
      </c>
      <c r="L278" s="2" t="str">
        <v>Vineyards</v>
      </c>
      <c r="M278" s="2" t="str">
        <v>Erosion</v>
      </c>
      <c r="N278" s="2" t="str">
        <v>Geospatial</v>
      </c>
      <c r="O278" s="2" t="str">
        <v>GIS</v>
      </c>
      <c r="P278" s="2" t="s">
        <v>9</v>
      </c>
      <c r="Q278" s="2" t="s">
        <v>10</v>
      </c>
    </row>
    <row r="279" spans="1:17" x14ac:dyDescent="0.35">
      <c r="A279" s="2" t="s">
        <v>5884</v>
      </c>
      <c r="B279" s="2" t="s">
        <v>1393</v>
      </c>
      <c r="C279" s="2" t="s">
        <v>1394</v>
      </c>
      <c r="D279" s="2">
        <v>2020</v>
      </c>
      <c r="E279" s="2" t="s">
        <v>1395</v>
      </c>
      <c r="F279" s="2" t="s">
        <v>1396</v>
      </c>
      <c r="G279" s="2" t="s">
        <v>1397</v>
      </c>
      <c r="H279" s="2" t="s">
        <v>1357</v>
      </c>
      <c r="I279" s="2" t="str" cm="1">
        <f t="array" ref="I279">H279 &amp; _xlfn.REGEXEXTRACT(G279,"^[^_]+_\d{4}") &amp; ".pdf"</f>
        <v>https://www.ocf.berkeley.edu/~pkmendez/envsci/projects/2020final/CongdonC_2020.pdf</v>
      </c>
      <c r="J279" s="1" t="str">
        <f t="shared" si="4"/>
        <v>https://www.ocf.berkeley.edu/~pkmendez/envsci/projects/2020final/CongdonC_2020.pdf</v>
      </c>
      <c r="K279" s="2" t="str" cm="1">
        <f t="array" ref="K279:O279">_xlfn.TAKE(TRIM(_xlfn.TEXTSPLIT(F279,{",",";"})),,5)</f>
        <v>Marine Mammal</v>
      </c>
      <c r="L279" s="2" t="str">
        <v>Skin Surface Temperature</v>
      </c>
      <c r="M279" s="2" t="str">
        <v>Climate Change</v>
      </c>
      <c r="N279" s="2" t="str">
        <v>Habitat Degradation</v>
      </c>
      <c r="O279" s="2" t="str">
        <v>Conservation Physiology</v>
      </c>
      <c r="P279" s="2" t="s">
        <v>9</v>
      </c>
      <c r="Q279" s="2" t="s">
        <v>10</v>
      </c>
    </row>
    <row r="280" spans="1:17" x14ac:dyDescent="0.35">
      <c r="A280" s="2" t="s">
        <v>5884</v>
      </c>
      <c r="B280" s="2" t="s">
        <v>1398</v>
      </c>
      <c r="C280" s="2" t="s">
        <v>1399</v>
      </c>
      <c r="D280" s="2">
        <v>2020</v>
      </c>
      <c r="E280" s="2" t="s">
        <v>1400</v>
      </c>
      <c r="F280" s="2" t="s">
        <v>1401</v>
      </c>
      <c r="G280" s="2" t="s">
        <v>1402</v>
      </c>
      <c r="H280" s="2" t="s">
        <v>1357</v>
      </c>
      <c r="I280" s="2" t="str" cm="1">
        <f t="array" ref="I280">H280 &amp; _xlfn.REGEXEXTRACT(G280,"^[^_]+_\d{4}") &amp; ".pdf"</f>
        <v>https://www.ocf.berkeley.edu/~pkmendez/envsci/projects/2020final/DengA_2020.pdf</v>
      </c>
      <c r="J280" s="1" t="str">
        <f t="shared" si="4"/>
        <v>https://www.ocf.berkeley.edu/~pkmendez/envsci/projects/2020final/DengA_2020.pdf</v>
      </c>
      <c r="K280" s="2" t="str" cm="1">
        <f t="array" ref="K280:O280">_xlfn.TAKE(TRIM(_xlfn.TEXTSPLIT(F280,{",",";"})),,5)</f>
        <v>firm-side attitudes</v>
      </c>
      <c r="L280" s="2" t="str">
        <v>social cost of marine plastic</v>
      </c>
      <c r="M280" s="2" t="str">
        <v>Single Use Disposable Foodware and Litter Reduction Ordinance (SUDFLRO)</v>
      </c>
      <c r="N280" s="2" t="str">
        <v>single-use plastic foodware</v>
      </c>
      <c r="O280" s="2" t="str">
        <v>correlation tests and statistics</v>
      </c>
      <c r="P280" s="2" t="s">
        <v>9</v>
      </c>
      <c r="Q280" s="2" t="s">
        <v>10</v>
      </c>
    </row>
    <row r="281" spans="1:17" x14ac:dyDescent="0.35">
      <c r="A281" s="2" t="s">
        <v>5884</v>
      </c>
      <c r="B281" s="2" t="s">
        <v>1403</v>
      </c>
      <c r="C281" s="2" t="s">
        <v>1404</v>
      </c>
      <c r="D281" s="2">
        <v>2020</v>
      </c>
      <c r="E281" s="2" t="s">
        <v>1405</v>
      </c>
      <c r="F281" s="2" t="s">
        <v>1406</v>
      </c>
      <c r="G281" s="2" t="s">
        <v>1407</v>
      </c>
      <c r="H281" s="2" t="s">
        <v>1357</v>
      </c>
      <c r="I281" s="2" t="str" cm="1">
        <f t="array" ref="I281">H281 &amp; _xlfn.REGEXEXTRACT(G281,"^[^_]+_\d{4}") &amp; ".pdf"</f>
        <v>https://www.ocf.berkeley.edu/~pkmendez/envsci/projects/2020final/DoerschlagG_2020.pdf</v>
      </c>
      <c r="J281" s="1" t="str">
        <f t="shared" si="4"/>
        <v>https://www.ocf.berkeley.edu/~pkmendez/envsci/projects/2020final/DoerschlagG_2020.pdf</v>
      </c>
      <c r="K281" s="2" t="str" cm="1">
        <f t="array" ref="K281:O281">_xlfn.TAKE(TRIM(_xlfn.TEXTSPLIT(F281,{",",";"})),,5)</f>
        <v>Climate change</v>
      </c>
      <c r="L281" s="2" t="str">
        <v>benthic invertebrates</v>
      </c>
      <c r="M281" s="2" t="str">
        <v>freshwater stream ecology</v>
      </c>
      <c r="N281" s="2" t="str">
        <v>life history</v>
      </c>
      <c r="O281" s="2" t="str">
        <v>aquatic-terrestrial interactions</v>
      </c>
      <c r="P281" s="2" t="s">
        <v>9</v>
      </c>
      <c r="Q281" s="2" t="s">
        <v>10</v>
      </c>
    </row>
    <row r="282" spans="1:17" x14ac:dyDescent="0.35">
      <c r="A282" s="2" t="s">
        <v>5884</v>
      </c>
      <c r="B282" s="2" t="s">
        <v>1408</v>
      </c>
      <c r="C282" s="2" t="s">
        <v>1409</v>
      </c>
      <c r="D282" s="2">
        <v>2020</v>
      </c>
      <c r="E282" s="2" t="s">
        <v>1410</v>
      </c>
      <c r="F282" s="2" t="s">
        <v>1411</v>
      </c>
      <c r="G282" s="2" t="s">
        <v>1412</v>
      </c>
      <c r="H282" s="2" t="s">
        <v>1357</v>
      </c>
      <c r="I282" s="2" t="str" cm="1">
        <f t="array" ref="I282">H282 &amp; _xlfn.REGEXEXTRACT(G282,"^[^_]+_\d{4}") &amp; ".pdf"</f>
        <v>https://www.ocf.berkeley.edu/~pkmendez/envsci/projects/2020final/ElliottS_2020.pdf</v>
      </c>
      <c r="J282" s="1" t="str">
        <f t="shared" si="4"/>
        <v>https://www.ocf.berkeley.edu/~pkmendez/envsci/projects/2020final/ElliottS_2020.pdf</v>
      </c>
      <c r="K282" s="2" t="str" cm="1">
        <f t="array" ref="K282:O282">_xlfn.TAKE(TRIM(_xlfn.TEXTSPLIT(F282,{",",";"})),,5)</f>
        <v>California</v>
      </c>
      <c r="L282" s="2" t="str">
        <v>vegetation</v>
      </c>
      <c r="M282" s="2" t="str">
        <v>NDVI</v>
      </c>
      <c r="N282" s="2" t="str">
        <v>Carabidae</v>
      </c>
      <c r="O282" s="2" t="str">
        <v>Tenebrionidae</v>
      </c>
      <c r="P282" s="2" t="s">
        <v>9</v>
      </c>
      <c r="Q282" s="2" t="s">
        <v>10</v>
      </c>
    </row>
    <row r="283" spans="1:17" x14ac:dyDescent="0.35">
      <c r="A283" s="2" t="s">
        <v>5884</v>
      </c>
      <c r="B283" s="2" t="s">
        <v>1413</v>
      </c>
      <c r="C283" s="2" t="s">
        <v>1414</v>
      </c>
      <c r="D283" s="2">
        <v>2020</v>
      </c>
      <c r="E283" s="2" t="s">
        <v>1415</v>
      </c>
      <c r="F283" s="2" t="s">
        <v>1416</v>
      </c>
      <c r="G283" s="2" t="s">
        <v>1417</v>
      </c>
      <c r="H283" s="2" t="s">
        <v>1357</v>
      </c>
      <c r="I283" s="2" t="str" cm="1">
        <f t="array" ref="I283">H283 &amp; _xlfn.REGEXEXTRACT(G283,"^[^_]+_\d{4}") &amp; ".pdf"</f>
        <v>https://www.ocf.berkeley.edu/~pkmendez/envsci/projects/2020final/FavreC_2020.pdf</v>
      </c>
      <c r="J283" s="1" t="str">
        <f t="shared" si="4"/>
        <v>https://www.ocf.berkeley.edu/~pkmendez/envsci/projects/2020final/FavreC_2020.pdf</v>
      </c>
      <c r="K283" s="2" t="str" cm="1">
        <f t="array" ref="K283:N283">_xlfn.TAKE(TRIM(_xlfn.TEXTSPLIT(F283,{",",";"})),,5)</f>
        <v>citizen science</v>
      </c>
      <c r="L283" s="2" t="str">
        <v>road ecology</v>
      </c>
      <c r="M283" s="2" t="str">
        <v>landscape connectivity</v>
      </c>
      <c r="N283" s="2" t="str">
        <v>wildlife movement</v>
      </c>
      <c r="P283" s="2" t="s">
        <v>9</v>
      </c>
      <c r="Q283" s="2" t="s">
        <v>10</v>
      </c>
    </row>
    <row r="284" spans="1:17" x14ac:dyDescent="0.35">
      <c r="A284" s="2" t="s">
        <v>5884</v>
      </c>
      <c r="B284" s="2" t="s">
        <v>1418</v>
      </c>
      <c r="C284" s="2" t="s">
        <v>1419</v>
      </c>
      <c r="D284" s="2">
        <v>2020</v>
      </c>
      <c r="E284" s="2" t="s">
        <v>1420</v>
      </c>
      <c r="F284" s="2" t="s">
        <v>1421</v>
      </c>
      <c r="G284" s="2" t="s">
        <v>1422</v>
      </c>
      <c r="H284" s="2" t="s">
        <v>1357</v>
      </c>
      <c r="I284" s="2" t="str" cm="1">
        <f t="array" ref="I284">H284 &amp; _xlfn.REGEXEXTRACT(G284,"^[^_]+_\d{4}") &amp; ".pdf"</f>
        <v>https://www.ocf.berkeley.edu/~pkmendez/envsci/projects/2020final/GarciaV_2020.pdf</v>
      </c>
      <c r="J284" s="1" t="str">
        <f t="shared" si="4"/>
        <v>https://www.ocf.berkeley.edu/~pkmendez/envsci/projects/2020final/GarciaV_2020.pdf</v>
      </c>
      <c r="K284" s="2" t="str" cm="1">
        <f t="array" ref="K284:O284">_xlfn.TAKE(TRIM(_xlfn.TEXTSPLIT(F284,{",",";"})),,5)</f>
        <v>Membrane Bioreactor</v>
      </c>
      <c r="L284" s="2" t="str">
        <v>Constructed Wetlands</v>
      </c>
      <c r="M284" s="2" t="str">
        <v>Cost-Benefit Analysis</v>
      </c>
      <c r="N284" s="2" t="str">
        <v>Payback Period</v>
      </c>
      <c r="O284" s="2" t="str">
        <v>Net Present Value</v>
      </c>
      <c r="P284" s="2" t="s">
        <v>9</v>
      </c>
      <c r="Q284" s="2" t="s">
        <v>10</v>
      </c>
    </row>
    <row r="285" spans="1:17" x14ac:dyDescent="0.35">
      <c r="A285" s="2" t="s">
        <v>5884</v>
      </c>
      <c r="B285" s="2" t="s">
        <v>1423</v>
      </c>
      <c r="C285" s="2" t="s">
        <v>1424</v>
      </c>
      <c r="D285" s="2">
        <v>2020</v>
      </c>
      <c r="E285" s="2" t="s">
        <v>1425</v>
      </c>
      <c r="F285" s="2" t="s">
        <v>1426</v>
      </c>
      <c r="G285" s="2" t="s">
        <v>1427</v>
      </c>
      <c r="H285" s="2" t="s">
        <v>1357</v>
      </c>
      <c r="I285" s="2" t="str" cm="1">
        <f t="array" ref="I285">H285 &amp; _xlfn.REGEXEXTRACT(G285,"^[^_]+_\d{4}") &amp; ".pdf"</f>
        <v>https://www.ocf.berkeley.edu/~pkmendez/envsci/projects/2020final/GoniB_2020.pdf</v>
      </c>
      <c r="J285" s="1" t="str">
        <f t="shared" si="4"/>
        <v>https://www.ocf.berkeley.edu/~pkmendez/envsci/projects/2020final/GoniB_2020.pdf</v>
      </c>
      <c r="K285" s="2" t="str" cm="1">
        <f t="array" ref="K285:O285">_xlfn.TAKE(TRIM(_xlfn.TEXTSPLIT(F285,{",",";"})),,5)</f>
        <v>adaptive land management</v>
      </c>
      <c r="L285" s="2" t="str">
        <v>rancher interviews</v>
      </c>
      <c r="M285" s="2" t="str">
        <v>conservation programs</v>
      </c>
      <c r="N285" s="2" t="str">
        <v>beef production</v>
      </c>
      <c r="O285" s="2" t="str">
        <v>agroecological scalability</v>
      </c>
      <c r="P285" s="2" t="s">
        <v>9</v>
      </c>
      <c r="Q285" s="2" t="s">
        <v>10</v>
      </c>
    </row>
    <row r="286" spans="1:17" x14ac:dyDescent="0.35">
      <c r="A286" s="2" t="s">
        <v>5884</v>
      </c>
      <c r="B286" s="2" t="s">
        <v>1428</v>
      </c>
      <c r="C286" s="2" t="s">
        <v>1429</v>
      </c>
      <c r="D286" s="2">
        <v>2020</v>
      </c>
      <c r="E286" s="2" t="s">
        <v>1430</v>
      </c>
      <c r="F286" s="2" t="s">
        <v>1431</v>
      </c>
      <c r="G286" s="2" t="s">
        <v>1432</v>
      </c>
      <c r="H286" s="2" t="s">
        <v>1357</v>
      </c>
      <c r="I286" s="2" t="str" cm="1">
        <f t="array" ref="I286">H286 &amp; _xlfn.REGEXEXTRACT(G286,"^[^_]+_\d{4}") &amp; ".pdf"</f>
        <v>https://www.ocf.berkeley.edu/~pkmendez/envsci/projects/2020final/GonzalezK_2020.pdf</v>
      </c>
      <c r="J286" s="1" t="str">
        <f t="shared" si="4"/>
        <v>https://www.ocf.berkeley.edu/~pkmendez/envsci/projects/2020final/GonzalezK_2020.pdf</v>
      </c>
      <c r="K286" s="2" t="str" cm="1">
        <f t="array" ref="K286:O286">_xlfn.TAKE(TRIM(_xlfn.TEXTSPLIT(F286,{",",";"})),,5)</f>
        <v>soil acidification</v>
      </c>
      <c r="L286" s="2" t="str">
        <v>invasive species</v>
      </c>
      <c r="M286" s="2" t="str">
        <v>soil leaching</v>
      </c>
      <c r="N286" s="2" t="str">
        <v>soil litter</v>
      </c>
      <c r="O286" s="2" t="str">
        <v>allelochemicals</v>
      </c>
      <c r="P286" s="2" t="s">
        <v>9</v>
      </c>
      <c r="Q286" s="2" t="s">
        <v>10</v>
      </c>
    </row>
    <row r="287" spans="1:17" x14ac:dyDescent="0.35">
      <c r="A287" s="2" t="s">
        <v>5884</v>
      </c>
      <c r="B287" s="2" t="s">
        <v>1433</v>
      </c>
      <c r="C287" s="2" t="s">
        <v>1434</v>
      </c>
      <c r="D287" s="2">
        <v>2020</v>
      </c>
      <c r="E287" s="2" t="s">
        <v>1435</v>
      </c>
      <c r="F287" s="2" t="s">
        <v>1436</v>
      </c>
      <c r="G287" s="2" t="s">
        <v>1437</v>
      </c>
      <c r="H287" s="2" t="s">
        <v>1357</v>
      </c>
      <c r="I287" s="2" t="str" cm="1">
        <f t="array" ref="I287">H287 &amp; _xlfn.REGEXEXTRACT(G287,"^[^_]+_\d{4}") &amp; ".pdf"</f>
        <v>https://www.ocf.berkeley.edu/~pkmendez/envsci/projects/2020final/HarwoodU_2020.pdf</v>
      </c>
      <c r="J287" s="1" t="str">
        <f t="shared" si="4"/>
        <v>https://www.ocf.berkeley.edu/~pkmendez/envsci/projects/2020final/HarwoodU_2020.pdf</v>
      </c>
      <c r="K287" s="2" t="str" cm="1">
        <f t="array" ref="K287:O287">_xlfn.TAKE(TRIM(_xlfn.TEXTSPLIT(F287,{",",";"})),,5)</f>
        <v>mastication</v>
      </c>
      <c r="L287" s="2" t="str">
        <v>herbicide</v>
      </c>
      <c r="M287" s="2" t="str">
        <v>prescribed fire</v>
      </c>
      <c r="N287" s="2" t="str">
        <v>forest modeling</v>
      </c>
      <c r="O287" s="2" t="str">
        <v>FFE-FVS</v>
      </c>
      <c r="P287" s="2" t="s">
        <v>9</v>
      </c>
      <c r="Q287" s="2" t="s">
        <v>10</v>
      </c>
    </row>
    <row r="288" spans="1:17" x14ac:dyDescent="0.35">
      <c r="A288" s="2" t="s">
        <v>5884</v>
      </c>
      <c r="B288" s="2" t="s">
        <v>1438</v>
      </c>
      <c r="C288" s="2" t="s">
        <v>1439</v>
      </c>
      <c r="D288" s="2">
        <v>2020</v>
      </c>
      <c r="E288" s="2" t="s">
        <v>1440</v>
      </c>
      <c r="F288" s="2" t="s">
        <v>1441</v>
      </c>
      <c r="G288" s="2" t="s">
        <v>1442</v>
      </c>
      <c r="H288" s="2" t="s">
        <v>1357</v>
      </c>
      <c r="I288" s="2" t="str" cm="1">
        <f t="array" ref="I288">H288 &amp; _xlfn.REGEXEXTRACT(G288,"^[^_]+_\d{4}") &amp; ".pdf"</f>
        <v>https://www.ocf.berkeley.edu/~pkmendez/envsci/projects/2020final/HouE_2020.pdf</v>
      </c>
      <c r="J288" s="1" t="str">
        <f t="shared" si="4"/>
        <v>https://www.ocf.berkeley.edu/~pkmendez/envsci/projects/2020final/HouE_2020.pdf</v>
      </c>
      <c r="K288" s="2" t="str" cm="1">
        <f t="array" ref="K288:O288">_xlfn.TAKE(TRIM(_xlfn.TEXTSPLIT(F288,{",",";"})),,5)</f>
        <v>parasitoids</v>
      </c>
      <c r="L288" s="2" t="str">
        <v>biological control</v>
      </c>
      <c r="M288" s="2" t="str">
        <v>chalcidoidea</v>
      </c>
      <c r="N288" s="2" t="str">
        <v>cynipoidea</v>
      </c>
      <c r="O288" s="2" t="str">
        <v>braconidae</v>
      </c>
      <c r="P288" s="2" t="s">
        <v>9</v>
      </c>
      <c r="Q288" s="2" t="s">
        <v>10</v>
      </c>
    </row>
    <row r="289" spans="1:17" x14ac:dyDescent="0.35">
      <c r="A289" s="2" t="s">
        <v>5884</v>
      </c>
      <c r="B289" s="2" t="s">
        <v>1443</v>
      </c>
      <c r="C289" s="2" t="s">
        <v>1444</v>
      </c>
      <c r="D289" s="2">
        <v>2020</v>
      </c>
      <c r="E289" s="2" t="s">
        <v>1445</v>
      </c>
      <c r="F289" s="2" t="s">
        <v>1446</v>
      </c>
      <c r="G289" s="2" t="s">
        <v>1447</v>
      </c>
      <c r="H289" s="2" t="s">
        <v>1357</v>
      </c>
      <c r="I289" s="2" t="str" cm="1">
        <f t="array" ref="I289">H289 &amp; _xlfn.REGEXEXTRACT(G289,"^[^_]+_\d{4}") &amp; ".pdf"</f>
        <v>https://www.ocf.berkeley.edu/~pkmendez/envsci/projects/2020final/JaffeM_2020.pdf</v>
      </c>
      <c r="J289" s="1" t="str">
        <f t="shared" si="4"/>
        <v>https://www.ocf.berkeley.edu/~pkmendez/envsci/projects/2020final/JaffeM_2020.pdf</v>
      </c>
      <c r="K289" s="2" t="str" cm="1">
        <f t="array" ref="K289:N289">_xlfn.TAKE(TRIM(_xlfn.TEXTSPLIT(F289,{",",";"})),,5)</f>
        <v>Generalized additive model</v>
      </c>
      <c r="L289" s="2" t="str">
        <v>High resolution imagery</v>
      </c>
      <c r="M289" s="2" t="str">
        <v>Teakettle Experimental Forest</v>
      </c>
      <c r="N289" s="2" t="str">
        <v>Mixed conifer</v>
      </c>
      <c r="P289" s="2" t="s">
        <v>9</v>
      </c>
      <c r="Q289" s="2" t="s">
        <v>10</v>
      </c>
    </row>
    <row r="290" spans="1:17" x14ac:dyDescent="0.35">
      <c r="A290" s="2" t="s">
        <v>5884</v>
      </c>
      <c r="B290" s="2" t="s">
        <v>1448</v>
      </c>
      <c r="C290" s="2" t="s">
        <v>1449</v>
      </c>
      <c r="D290" s="2">
        <v>2020</v>
      </c>
      <c r="E290" s="2" t="s">
        <v>1450</v>
      </c>
      <c r="F290" s="2" t="s">
        <v>1451</v>
      </c>
      <c r="G290" s="2" t="s">
        <v>1452</v>
      </c>
      <c r="H290" s="2" t="s">
        <v>1357</v>
      </c>
      <c r="I290" s="2" t="str" cm="1">
        <f t="array" ref="I290">H290 &amp; _xlfn.REGEXEXTRACT(G290,"^[^_]+_\d{4}") &amp; ".pdf"</f>
        <v>https://www.ocf.berkeley.edu/~pkmendez/envsci/projects/2020final/KondrashovaL_2020.pdf</v>
      </c>
      <c r="J290" s="1" t="str">
        <f t="shared" si="4"/>
        <v>https://www.ocf.berkeley.edu/~pkmendez/envsci/projects/2020final/KondrashovaL_2020.pdf</v>
      </c>
      <c r="K290" s="2" t="str" cm="1">
        <f t="array" ref="K290:O290">_xlfn.TAKE(TRIM(_xlfn.TEXTSPLIT(F290,{",",";"})),,5)</f>
        <v>ecocultural revitalization</v>
      </c>
      <c r="L290" s="2" t="str">
        <v>Native American conservation</v>
      </c>
      <c r="M290" s="2" t="str">
        <v>environmental policy</v>
      </c>
      <c r="N290" s="2" t="str">
        <v>subsistence</v>
      </c>
      <c r="O290" s="2" t="str">
        <v>indigenous climate adaptation</v>
      </c>
      <c r="P290" s="2" t="s">
        <v>9</v>
      </c>
      <c r="Q290" s="2" t="s">
        <v>10</v>
      </c>
    </row>
    <row r="291" spans="1:17" x14ac:dyDescent="0.35">
      <c r="A291" s="2" t="s">
        <v>5884</v>
      </c>
      <c r="B291" s="2" t="s">
        <v>1453</v>
      </c>
      <c r="C291" s="2" t="s">
        <v>1454</v>
      </c>
      <c r="D291" s="2">
        <v>2020</v>
      </c>
      <c r="E291" s="2" t="s">
        <v>1455</v>
      </c>
      <c r="F291" s="2" t="s">
        <v>1456</v>
      </c>
      <c r="G291" s="2" t="s">
        <v>1457</v>
      </c>
      <c r="H291" s="2" t="s">
        <v>1357</v>
      </c>
      <c r="I291" s="2" t="str" cm="1">
        <f t="array" ref="I291">H291 &amp; _xlfn.REGEXEXTRACT(G291,"^[^_]+_\d{4}") &amp; ".pdf"</f>
        <v>https://www.ocf.berkeley.edu/~pkmendez/envsci/projects/2020final/KrummC_2020.pdf</v>
      </c>
      <c r="J291" s="1" t="str">
        <f t="shared" si="4"/>
        <v>https://www.ocf.berkeley.edu/~pkmendez/envsci/projects/2020final/KrummC_2020.pdf</v>
      </c>
      <c r="K291" s="2" t="str" cm="1">
        <f t="array" ref="K291:O291">_xlfn.TAKE(TRIM(_xlfn.TEXTSPLIT(F291,{",",";"})),,5)</f>
        <v>GeoTracker GAMA</v>
      </c>
      <c r="L291" s="2" t="str">
        <v>Maximum Contaminant Level (MCL)</v>
      </c>
      <c r="M291" s="2" t="str">
        <v>likely Domestic Well Area (DWA)</v>
      </c>
      <c r="N291" s="2" t="str">
        <v>time-weighted average</v>
      </c>
      <c r="O291" s="2" t="str">
        <v>at-risk population</v>
      </c>
      <c r="P291" s="2" t="s">
        <v>9</v>
      </c>
      <c r="Q291" s="2" t="s">
        <v>10</v>
      </c>
    </row>
    <row r="292" spans="1:17" x14ac:dyDescent="0.35">
      <c r="A292" s="2" t="s">
        <v>5884</v>
      </c>
      <c r="B292" s="2" t="s">
        <v>1458</v>
      </c>
      <c r="C292" s="2" t="s">
        <v>1459</v>
      </c>
      <c r="D292" s="2">
        <v>2020</v>
      </c>
      <c r="E292" s="2" t="s">
        <v>1460</v>
      </c>
      <c r="F292" s="2" t="s">
        <v>1461</v>
      </c>
      <c r="G292" s="2" t="s">
        <v>1462</v>
      </c>
      <c r="H292" s="2" t="s">
        <v>1357</v>
      </c>
      <c r="I292" s="2" t="str" cm="1">
        <f t="array" ref="I292">H292 &amp; _xlfn.REGEXEXTRACT(G292,"^[^_]+_\d{4}") &amp; ".pdf"</f>
        <v>https://www.ocf.berkeley.edu/~pkmendez/envsci/projects/2020final/LarawayJ_2020.pdf</v>
      </c>
      <c r="J292" s="1" t="str">
        <f t="shared" si="4"/>
        <v>https://www.ocf.berkeley.edu/~pkmendez/envsci/projects/2020final/LarawayJ_2020.pdf</v>
      </c>
      <c r="K292" s="2" t="str" cm="1">
        <f t="array" ref="K292:N292">_xlfn.TAKE(TRIM(_xlfn.TEXTSPLIT(F292,{",",";"})),,5)</f>
        <v>Water lead levels (WLL)</v>
      </c>
      <c r="L292" s="2" t="str">
        <v>disproportionate exposure</v>
      </c>
      <c r="M292" s="2" t="str">
        <v>model scalability</v>
      </c>
      <c r="N292" s="2" t="str">
        <v>Multivariable Linear Regression</v>
      </c>
      <c r="P292" s="2" t="s">
        <v>9</v>
      </c>
      <c r="Q292" s="2" t="s">
        <v>10</v>
      </c>
    </row>
    <row r="293" spans="1:17" x14ac:dyDescent="0.35">
      <c r="A293" s="2" t="s">
        <v>5884</v>
      </c>
      <c r="B293" s="2" t="s">
        <v>1463</v>
      </c>
      <c r="C293" s="2" t="s">
        <v>1464</v>
      </c>
      <c r="D293" s="2">
        <v>2020</v>
      </c>
      <c r="E293" s="2" t="s">
        <v>1465</v>
      </c>
      <c r="F293" s="2" t="s">
        <v>1466</v>
      </c>
      <c r="G293" s="2" t="s">
        <v>1467</v>
      </c>
      <c r="H293" s="2" t="s">
        <v>1357</v>
      </c>
      <c r="I293" s="2" t="str" cm="1">
        <f t="array" ref="I293">H293 &amp; _xlfn.REGEXEXTRACT(G293,"^[^_]+_\d{4}") &amp; ".pdf"</f>
        <v>https://www.ocf.berkeley.edu/~pkmendez/envsci/projects/2020final/LarkinS_2020.pdf</v>
      </c>
      <c r="J293" s="1" t="str">
        <f t="shared" si="4"/>
        <v>https://www.ocf.berkeley.edu/~pkmendez/envsci/projects/2020final/LarkinS_2020.pdf</v>
      </c>
      <c r="K293" s="2" t="str" cm="1">
        <f t="array" ref="K293:O293">_xlfn.TAKE(TRIM(_xlfn.TEXTSPLIT(F293,{",",";"})),,5)</f>
        <v>aquatic ecology</v>
      </c>
      <c r="L293" s="2" t="str">
        <v>fish conservation</v>
      </c>
      <c r="M293" s="2" t="str">
        <v>streamflow</v>
      </c>
      <c r="N293" s="2" t="str">
        <v>foraging behavior</v>
      </c>
      <c r="O293" s="2" t="str">
        <v>ecological modeling</v>
      </c>
      <c r="P293" s="2" t="s">
        <v>9</v>
      </c>
      <c r="Q293" s="2" t="s">
        <v>10</v>
      </c>
    </row>
    <row r="294" spans="1:17" x14ac:dyDescent="0.35">
      <c r="A294" s="2" t="s">
        <v>5884</v>
      </c>
      <c r="B294" s="2" t="s">
        <v>1468</v>
      </c>
      <c r="C294" s="2" t="s">
        <v>1469</v>
      </c>
      <c r="D294" s="2">
        <v>2020</v>
      </c>
      <c r="E294" s="2" t="s">
        <v>1470</v>
      </c>
      <c r="F294" s="2" t="s">
        <v>1471</v>
      </c>
      <c r="G294" s="2" t="s">
        <v>1472</v>
      </c>
      <c r="H294" s="2" t="s">
        <v>1357</v>
      </c>
      <c r="I294" s="2" t="str" cm="1">
        <f t="array" ref="I294">H294 &amp; _xlfn.REGEXEXTRACT(G294,"^[^_]+_\d{4}") &amp; ".pdf"</f>
        <v>https://www.ocf.berkeley.edu/~pkmendez/envsci/projects/2020final/LimR_2020.pdf</v>
      </c>
      <c r="J294" s="1" t="str">
        <f t="shared" si="4"/>
        <v>https://www.ocf.berkeley.edu/~pkmendez/envsci/projects/2020final/LimR_2020.pdf</v>
      </c>
      <c r="K294" s="2" t="str" cm="1">
        <f t="array" ref="K294:O294">_xlfn.TAKE(TRIM(_xlfn.TEXTSPLIT(F294,{",",";"})),,5)</f>
        <v>Sustainability</v>
      </c>
      <c r="L294" s="2" t="str">
        <v>LDA</v>
      </c>
      <c r="M294" s="2" t="str">
        <v>Topic</v>
      </c>
      <c r="N294" s="2" t="str">
        <v>Business Communication</v>
      </c>
      <c r="O294" s="2" t="str">
        <v>Twitter</v>
      </c>
      <c r="P294" s="2" t="s">
        <v>9</v>
      </c>
      <c r="Q294" s="2" t="s">
        <v>10</v>
      </c>
    </row>
    <row r="295" spans="1:17" x14ac:dyDescent="0.35">
      <c r="A295" s="2" t="s">
        <v>5884</v>
      </c>
      <c r="B295" s="2" t="s">
        <v>1473</v>
      </c>
      <c r="C295" s="2" t="s">
        <v>1474</v>
      </c>
      <c r="D295" s="2">
        <v>2020</v>
      </c>
      <c r="E295" s="2" t="s">
        <v>1475</v>
      </c>
      <c r="F295" s="2" t="s">
        <v>1476</v>
      </c>
      <c r="G295" s="2" t="s">
        <v>1477</v>
      </c>
      <c r="H295" s="2" t="s">
        <v>1357</v>
      </c>
      <c r="I295" s="2" t="str" cm="1">
        <f t="array" ref="I295">H295 &amp; _xlfn.REGEXEXTRACT(G295,"^[^_]+_\d{4}") &amp; ".pdf"</f>
        <v>https://www.ocf.berkeley.edu/~pkmendez/envsci/projects/2020final/LinJ_2020.pdf</v>
      </c>
      <c r="J295" s="1" t="str">
        <f t="shared" si="4"/>
        <v>https://www.ocf.berkeley.edu/~pkmendez/envsci/projects/2020final/LinJ_2020.pdf</v>
      </c>
      <c r="K295" s="2" t="str" cm="1">
        <f t="array" ref="K295:O295">_xlfn.TAKE(TRIM(_xlfn.TEXTSPLIT(F295,{",",";"})),,5)</f>
        <v>food systems studies</v>
      </c>
      <c r="L295" s="2" t="str">
        <v>food security</v>
      </c>
      <c r="M295" s="2" t="str">
        <v>Asian Americans</v>
      </c>
      <c r="N295" s="2" t="str">
        <v>model minority</v>
      </c>
      <c r="O295" s="2" t="str">
        <v>environmental justice</v>
      </c>
      <c r="P295" s="2" t="s">
        <v>9</v>
      </c>
      <c r="Q295" s="2" t="s">
        <v>10</v>
      </c>
    </row>
    <row r="296" spans="1:17" x14ac:dyDescent="0.35">
      <c r="A296" s="2" t="s">
        <v>5884</v>
      </c>
      <c r="B296" s="2" t="s">
        <v>1478</v>
      </c>
      <c r="C296" s="2" t="s">
        <v>1479</v>
      </c>
      <c r="D296" s="2">
        <v>2020</v>
      </c>
      <c r="E296" s="2" t="s">
        <v>1480</v>
      </c>
      <c r="F296" s="2" t="s">
        <v>1481</v>
      </c>
      <c r="G296" s="2" t="s">
        <v>1482</v>
      </c>
      <c r="H296" s="2" t="s">
        <v>1357</v>
      </c>
      <c r="I296" s="2" t="str" cm="1">
        <f t="array" ref="I296">H296 &amp; _xlfn.REGEXEXTRACT(G296,"^[^_]+_\d{4}") &amp; ".pdf"</f>
        <v>https://www.ocf.berkeley.edu/~pkmendez/envsci/projects/2020final/LiuY_2020.pdf</v>
      </c>
      <c r="J296" s="1" t="str">
        <f t="shared" si="4"/>
        <v>https://www.ocf.berkeley.edu/~pkmendez/envsci/projects/2020final/LiuY_2020.pdf</v>
      </c>
      <c r="K296" s="2" t="str" cm="1">
        <f t="array" ref="K296:O296">_xlfn.TAKE(TRIM(_xlfn.TEXTSPLIT(F296,{",",";"})),,5)</f>
        <v>On-farm solar</v>
      </c>
      <c r="L296" s="2" t="str">
        <v>photovoltaic</v>
      </c>
      <c r="M296" s="2" t="str">
        <v>sustainable farming</v>
      </c>
      <c r="N296" s="2" t="str">
        <v>geographic heterogeneities</v>
      </c>
      <c r="O296" s="2" t="str">
        <v>decision making</v>
      </c>
      <c r="P296" s="2" t="s">
        <v>9</v>
      </c>
      <c r="Q296" s="2" t="s">
        <v>10</v>
      </c>
    </row>
    <row r="297" spans="1:17" x14ac:dyDescent="0.35">
      <c r="A297" s="2" t="s">
        <v>5884</v>
      </c>
      <c r="B297" s="2" t="s">
        <v>1483</v>
      </c>
      <c r="C297" s="2" t="s">
        <v>1484</v>
      </c>
      <c r="D297" s="2">
        <v>2020</v>
      </c>
      <c r="E297" s="2" t="s">
        <v>1485</v>
      </c>
      <c r="F297" s="2" t="s">
        <v>1486</v>
      </c>
      <c r="G297" s="2" t="s">
        <v>1487</v>
      </c>
      <c r="H297" s="2" t="s">
        <v>1357</v>
      </c>
      <c r="I297" s="2" t="str" cm="1">
        <f t="array" ref="I297">H297 &amp; _xlfn.REGEXEXTRACT(G297,"^[^_]+_\d{4}") &amp; ".pdf"</f>
        <v>https://www.ocf.berkeley.edu/~pkmendez/envsci/projects/2020final/LouieS_2020.pdf</v>
      </c>
      <c r="J297" s="1" t="str">
        <f t="shared" si="4"/>
        <v>https://www.ocf.berkeley.edu/~pkmendez/envsci/projects/2020final/LouieS_2020.pdf</v>
      </c>
      <c r="K297" s="2" t="str" cm="1">
        <f t="array" ref="K297:O297">_xlfn.TAKE(TRIM(_xlfn.TEXTSPLIT(F297,{",",";"})),,5)</f>
        <v>Groundwater</v>
      </c>
      <c r="L297" s="2" t="str">
        <v>hydrogeomorphology</v>
      </c>
      <c r="M297" s="2" t="str">
        <v>LiDAR</v>
      </c>
      <c r="N297" s="2" t="str">
        <v>geographic information systems</v>
      </c>
      <c r="O297" s="2" t="str">
        <v>QGIS</v>
      </c>
      <c r="P297" s="2" t="s">
        <v>9</v>
      </c>
      <c r="Q297" s="2" t="s">
        <v>10</v>
      </c>
    </row>
    <row r="298" spans="1:17" x14ac:dyDescent="0.35">
      <c r="A298" s="2" t="s">
        <v>5884</v>
      </c>
      <c r="B298" s="2" t="s">
        <v>1488</v>
      </c>
      <c r="C298" s="2" t="s">
        <v>1489</v>
      </c>
      <c r="D298" s="2">
        <v>2020</v>
      </c>
      <c r="E298" s="2" t="s">
        <v>1490</v>
      </c>
      <c r="F298" s="2" t="s">
        <v>1491</v>
      </c>
      <c r="G298" s="2" t="s">
        <v>1492</v>
      </c>
      <c r="H298" s="2" t="s">
        <v>1357</v>
      </c>
      <c r="I298" s="2" t="str" cm="1">
        <f t="array" ref="I298">H298 &amp; _xlfn.REGEXEXTRACT(G298,"^[^_]+_\d{4}") &amp; ".pdf"</f>
        <v>https://www.ocf.berkeley.edu/~pkmendez/envsci/projects/2020final/LwinT_2020.pdf</v>
      </c>
      <c r="J298" s="1" t="str">
        <f t="shared" si="4"/>
        <v>https://www.ocf.berkeley.edu/~pkmendez/envsci/projects/2020final/LwinT_2020.pdf</v>
      </c>
      <c r="K298" s="2" t="str" cm="1">
        <f t="array" ref="K298:O298">_xlfn.TAKE(TRIM(_xlfn.TEXTSPLIT(F298,{",",";"})),,5)</f>
        <v>urban agriculture</v>
      </c>
      <c r="L298" s="2" t="str">
        <v>UC Gill Tract</v>
      </c>
      <c r="M298" s="2" t="str">
        <v>social justice</v>
      </c>
      <c r="N298" s="2" t="str">
        <v>food insecurity</v>
      </c>
      <c r="O298" s="2" t="str">
        <v>food sovereignty</v>
      </c>
      <c r="P298" s="2" t="s">
        <v>9</v>
      </c>
      <c r="Q298" s="2" t="s">
        <v>10</v>
      </c>
    </row>
    <row r="299" spans="1:17" x14ac:dyDescent="0.35">
      <c r="A299" s="2" t="s">
        <v>5884</v>
      </c>
      <c r="B299" s="2" t="s">
        <v>1493</v>
      </c>
      <c r="C299" s="2" t="s">
        <v>1494</v>
      </c>
      <c r="D299" s="2">
        <v>2020</v>
      </c>
      <c r="E299" s="2" t="s">
        <v>1495</v>
      </c>
      <c r="F299" s="2" t="s">
        <v>1496</v>
      </c>
      <c r="G299" s="2" t="s">
        <v>1497</v>
      </c>
      <c r="H299" s="2" t="s">
        <v>1357</v>
      </c>
      <c r="I299" s="2" t="str" cm="1">
        <f t="array" ref="I299">H299 &amp; _xlfn.REGEXEXTRACT(G299,"^[^_]+_\d{4}") &amp; ".pdf"</f>
        <v>https://www.ocf.berkeley.edu/~pkmendez/envsci/projects/2020final/MaS_2020.pdf</v>
      </c>
      <c r="J299" s="1" t="str">
        <f t="shared" si="4"/>
        <v>https://www.ocf.berkeley.edu/~pkmendez/envsci/projects/2020final/MaS_2020.pdf</v>
      </c>
      <c r="K299" s="2" t="str" cm="1">
        <f t="array" ref="K299:O299">_xlfn.TAKE(TRIM(_xlfn.TEXTSPLIT(F299,{",",";"})),,5)</f>
        <v>Epidemiology</v>
      </c>
      <c r="L299" s="2" t="str">
        <v>Air Pollution Events</v>
      </c>
      <c r="M299" s="2" t="str">
        <v>Health Effects</v>
      </c>
      <c r="N299" s="2" t="str">
        <v>Regression Analysis</v>
      </c>
      <c r="O299" s="2" t="str">
        <v>Policy Evaluation</v>
      </c>
      <c r="P299" s="2" t="s">
        <v>9</v>
      </c>
      <c r="Q299" s="2" t="s">
        <v>10</v>
      </c>
    </row>
    <row r="300" spans="1:17" x14ac:dyDescent="0.35">
      <c r="A300" s="2" t="s">
        <v>5884</v>
      </c>
      <c r="B300" s="2" t="s">
        <v>1498</v>
      </c>
      <c r="C300" s="2" t="s">
        <v>1499</v>
      </c>
      <c r="D300" s="2">
        <v>2020</v>
      </c>
      <c r="E300" s="2" t="s">
        <v>1500</v>
      </c>
      <c r="F300" s="2" t="s">
        <v>1501</v>
      </c>
      <c r="G300" s="2" t="s">
        <v>1502</v>
      </c>
      <c r="H300" s="2" t="s">
        <v>1357</v>
      </c>
      <c r="I300" s="2" t="str" cm="1">
        <f t="array" ref="I300">H300 &amp; _xlfn.REGEXEXTRACT(G300,"^[^_]+_\d{4}") &amp; ".pdf"</f>
        <v>https://www.ocf.berkeley.edu/~pkmendez/envsci/projects/2020final/MurdockK_2020.pdf</v>
      </c>
      <c r="J300" s="1" t="str">
        <f t="shared" si="4"/>
        <v>https://www.ocf.berkeley.edu/~pkmendez/envsci/projects/2020final/MurdockK_2020.pdf</v>
      </c>
      <c r="K300" s="2" t="str" cm="1">
        <f t="array" ref="K300:O300">_xlfn.TAKE(TRIM(_xlfn.TEXTSPLIT(F300,{",",";"})),,5)</f>
        <v>Climate Change Denial</v>
      </c>
      <c r="L300" s="2" t="str">
        <v>Gender</v>
      </c>
      <c r="M300" s="2" t="str">
        <v>Race</v>
      </c>
      <c r="N300" s="2" t="str">
        <v>Political Party</v>
      </c>
      <c r="O300" s="2" t="str">
        <v>Age</v>
      </c>
      <c r="P300" s="2" t="s">
        <v>9</v>
      </c>
      <c r="Q300" s="2" t="s">
        <v>10</v>
      </c>
    </row>
    <row r="301" spans="1:17" x14ac:dyDescent="0.35">
      <c r="A301" s="2" t="s">
        <v>5884</v>
      </c>
      <c r="B301" s="2" t="s">
        <v>1503</v>
      </c>
      <c r="C301" s="2" t="s">
        <v>1504</v>
      </c>
      <c r="D301" s="2">
        <v>2020</v>
      </c>
      <c r="E301" s="2" t="s">
        <v>1505</v>
      </c>
      <c r="F301" s="2" t="s">
        <v>1506</v>
      </c>
      <c r="G301" s="2" t="s">
        <v>1507</v>
      </c>
      <c r="H301" s="2" t="s">
        <v>1357</v>
      </c>
      <c r="I301" s="2" t="str" cm="1">
        <f t="array" ref="I301">H301 &amp; _xlfn.REGEXEXTRACT(G301,"^[^_]+_\d{4}") &amp; ".pdf"</f>
        <v>https://www.ocf.berkeley.edu/~pkmendez/envsci/projects/2020final/NguyenN_2020.pdf</v>
      </c>
      <c r="J301" s="1" t="str">
        <f t="shared" si="4"/>
        <v>https://www.ocf.berkeley.edu/~pkmendez/envsci/projects/2020final/NguyenN_2020.pdf</v>
      </c>
      <c r="K301" s="2" t="str" cm="1">
        <f t="array" ref="K301:O301">_xlfn.TAKE(TRIM(_xlfn.TEXTSPLIT(F301,{",",";"})),,5)</f>
        <v>Vietnamese American</v>
      </c>
      <c r="L301" s="2" t="str">
        <v>resettlement</v>
      </c>
      <c r="M301" s="2" t="str">
        <v>immigration legacy</v>
      </c>
      <c r="N301" s="2" t="str">
        <v>disaggregation</v>
      </c>
      <c r="O301" s="2" t="str">
        <v>environmental racism</v>
      </c>
      <c r="P301" s="2" t="s">
        <v>9</v>
      </c>
      <c r="Q301" s="2" t="s">
        <v>10</v>
      </c>
    </row>
    <row r="302" spans="1:17" x14ac:dyDescent="0.35">
      <c r="A302" s="2" t="s">
        <v>5884</v>
      </c>
      <c r="B302" s="2" t="s">
        <v>1508</v>
      </c>
      <c r="C302" s="2" t="s">
        <v>1509</v>
      </c>
      <c r="D302" s="2">
        <v>2020</v>
      </c>
      <c r="E302" s="2" t="s">
        <v>1510</v>
      </c>
      <c r="F302" s="2" t="s">
        <v>1511</v>
      </c>
      <c r="G302" s="2" t="s">
        <v>1512</v>
      </c>
      <c r="H302" s="2" t="s">
        <v>1357</v>
      </c>
      <c r="I302" s="2" t="str" cm="1">
        <f t="array" ref="I302">H302 &amp; _xlfn.REGEXEXTRACT(G302,"^[^_]+_\d{4}") &amp; ".pdf"</f>
        <v>https://www.ocf.berkeley.edu/~pkmendez/envsci/projects/2020final/OuS_2020.pdf</v>
      </c>
      <c r="J302" s="1" t="str">
        <f t="shared" si="4"/>
        <v>https://www.ocf.berkeley.edu/~pkmendez/envsci/projects/2020final/OuS_2020.pdf</v>
      </c>
      <c r="K302" s="2" t="str" cm="1">
        <f t="array" ref="K302:O302">_xlfn.TAKE(TRIM(_xlfn.TEXTSPLIT(F302,{",",";"})),,5)</f>
        <v>lighting</v>
      </c>
      <c r="L302" s="2" t="str">
        <v>energy efficiency</v>
      </c>
      <c r="M302" s="2" t="str">
        <v>carbon costs</v>
      </c>
      <c r="N302" s="2" t="str">
        <v>climate change</v>
      </c>
      <c r="O302" s="2" t="str">
        <v>savings</v>
      </c>
      <c r="P302" s="2" t="s">
        <v>9</v>
      </c>
      <c r="Q302" s="2" t="s">
        <v>10</v>
      </c>
    </row>
    <row r="303" spans="1:17" x14ac:dyDescent="0.35">
      <c r="A303" s="2" t="s">
        <v>5884</v>
      </c>
      <c r="B303" s="2" t="s">
        <v>1513</v>
      </c>
      <c r="C303" s="2" t="s">
        <v>1514</v>
      </c>
      <c r="D303" s="2">
        <v>2020</v>
      </c>
      <c r="E303" s="2" t="s">
        <v>1515</v>
      </c>
      <c r="F303" s="2" t="s">
        <v>1516</v>
      </c>
      <c r="G303" s="2" t="s">
        <v>1517</v>
      </c>
      <c r="H303" s="2" t="s">
        <v>1357</v>
      </c>
      <c r="I303" s="2" t="str" cm="1">
        <f t="array" ref="I303">H303 &amp; _xlfn.REGEXEXTRACT(G303,"^[^_]+_\d{4}") &amp; ".pdf"</f>
        <v>https://www.ocf.berkeley.edu/~pkmendez/envsci/projects/2020final/ParkY_2020.pdf</v>
      </c>
      <c r="J303" s="1" t="str">
        <f t="shared" si="4"/>
        <v>https://www.ocf.berkeley.edu/~pkmendez/envsci/projects/2020final/ParkY_2020.pdf</v>
      </c>
      <c r="K303" s="2" t="str" cm="1">
        <f t="array" ref="K303:O303">_xlfn.TAKE(TRIM(_xlfn.TEXTSPLIT(F303,{",",";"})),,5)</f>
        <v>Prison Industrial Complex</v>
      </c>
      <c r="L303" s="2" t="str">
        <v>Prison Reform</v>
      </c>
      <c r="M303" s="2" t="str">
        <v>Environmental Health</v>
      </c>
      <c r="N303" s="2" t="str">
        <v>Environmental Racism</v>
      </c>
      <c r="O303" s="2" t="str">
        <v>Cardiovascular Disease</v>
      </c>
      <c r="P303" s="2" t="s">
        <v>9</v>
      </c>
      <c r="Q303" s="2" t="s">
        <v>10</v>
      </c>
    </row>
    <row r="304" spans="1:17" x14ac:dyDescent="0.35">
      <c r="A304" s="2" t="s">
        <v>5884</v>
      </c>
      <c r="B304" s="2" t="s">
        <v>1518</v>
      </c>
      <c r="C304" s="2" t="s">
        <v>1519</v>
      </c>
      <c r="D304" s="2">
        <v>2020</v>
      </c>
      <c r="E304" s="2" t="s">
        <v>1520</v>
      </c>
      <c r="F304" s="2" t="s">
        <v>1521</v>
      </c>
      <c r="G304" s="2" t="s">
        <v>1522</v>
      </c>
      <c r="H304" s="2" t="s">
        <v>1357</v>
      </c>
      <c r="I304" s="2" t="str" cm="1">
        <f t="array" ref="I304">H304 &amp; _xlfn.REGEXEXTRACT(G304,"^[^_]+_\d{4}") &amp; ".pdf"</f>
        <v>https://www.ocf.berkeley.edu/~pkmendez/envsci/projects/2020final/PriceD_2020.pdf</v>
      </c>
      <c r="J304" s="1" t="str">
        <f t="shared" si="4"/>
        <v>https://www.ocf.berkeley.edu/~pkmendez/envsci/projects/2020final/PriceD_2020.pdf</v>
      </c>
      <c r="K304" s="2" t="str" cm="1">
        <f t="array" ref="K304:O304">_xlfn.TAKE(TRIM(_xlfn.TEXTSPLIT(F304,{",",";"})),,5)</f>
        <v>municipal compost</v>
      </c>
      <c r="L304" s="2" t="str">
        <v>municipal solid waste</v>
      </c>
      <c r="M304" s="2" t="str">
        <v>urban soil</v>
      </c>
      <c r="N304" s="2" t="str">
        <v>urban agriculture</v>
      </c>
      <c r="O304" s="2" t="str">
        <v>organic agriculture</v>
      </c>
      <c r="P304" s="2" t="s">
        <v>9</v>
      </c>
      <c r="Q304" s="2" t="s">
        <v>10</v>
      </c>
    </row>
    <row r="305" spans="1:17" x14ac:dyDescent="0.35">
      <c r="A305" s="2" t="s">
        <v>5884</v>
      </c>
      <c r="B305" s="2" t="s">
        <v>1523</v>
      </c>
      <c r="C305" s="2" t="s">
        <v>1524</v>
      </c>
      <c r="D305" s="2">
        <v>2020</v>
      </c>
      <c r="E305" s="2" t="s">
        <v>1525</v>
      </c>
      <c r="F305" s="2" t="s">
        <v>1526</v>
      </c>
      <c r="G305" s="2" t="s">
        <v>1527</v>
      </c>
      <c r="H305" s="2" t="s">
        <v>1357</v>
      </c>
      <c r="I305" s="2" t="str" cm="1">
        <f t="array" ref="I305">H305 &amp; _xlfn.REGEXEXTRACT(G305,"^[^_]+_\d{4}") &amp; ".pdf"</f>
        <v>https://www.ocf.berkeley.edu/~pkmendez/envsci/projects/2020final/RodriguezC_2020.pdf</v>
      </c>
      <c r="J305" s="1" t="str">
        <f t="shared" si="4"/>
        <v>https://www.ocf.berkeley.edu/~pkmendez/envsci/projects/2020final/RodriguezC_2020.pdf</v>
      </c>
      <c r="K305" s="2" t="str" cm="1">
        <f t="array" ref="K305:N305">_xlfn.TAKE(TRIM(_xlfn.TEXTSPLIT(F305,{",",";"})),,5)</f>
        <v>Long-term management</v>
      </c>
      <c r="L305" s="2" t="str">
        <v>invasive weeds</v>
      </c>
      <c r="M305" s="2" t="str">
        <v>public land</v>
      </c>
      <c r="N305" s="2" t="str">
        <v>rangelands</v>
      </c>
      <c r="P305" s="2" t="s">
        <v>9</v>
      </c>
      <c r="Q305" s="2" t="s">
        <v>10</v>
      </c>
    </row>
    <row r="306" spans="1:17" x14ac:dyDescent="0.35">
      <c r="A306" s="2" t="s">
        <v>5884</v>
      </c>
      <c r="B306" s="2" t="s">
        <v>1528</v>
      </c>
      <c r="C306" s="2" t="s">
        <v>1529</v>
      </c>
      <c r="D306" s="2">
        <v>2020</v>
      </c>
      <c r="E306" s="2" t="s">
        <v>1530</v>
      </c>
      <c r="F306" s="2" t="s">
        <v>1531</v>
      </c>
      <c r="G306" s="2" t="s">
        <v>1532</v>
      </c>
      <c r="H306" s="2" t="s">
        <v>1357</v>
      </c>
      <c r="I306" s="2" t="str" cm="1">
        <f t="array" ref="I306">H306 &amp; _xlfn.REGEXEXTRACT(G306,"^[^_]+_\d{4}") &amp; ".pdf"</f>
        <v>https://www.ocf.berkeley.edu/~pkmendez/envsci/projects/2020final/SaiR_2020.pdf</v>
      </c>
      <c r="J306" s="1" t="str">
        <f t="shared" si="4"/>
        <v>https://www.ocf.berkeley.edu/~pkmendez/envsci/projects/2020final/SaiR_2020.pdf</v>
      </c>
      <c r="K306" s="2" t="str" cm="1">
        <f t="array" ref="K306:O306">_xlfn.TAKE(TRIM(_xlfn.TEXTSPLIT(F306,{",",";"})),,5)</f>
        <v>single-use tableware</v>
      </c>
      <c r="L306" s="2" t="str">
        <v>storefront restaurants</v>
      </c>
      <c r="M306" s="2" t="str">
        <v>plastic policy</v>
      </c>
      <c r="N306" s="2" t="str">
        <v>government assistance</v>
      </c>
      <c r="O306" s="2" t="str">
        <v>sustainability</v>
      </c>
      <c r="P306" s="2" t="s">
        <v>9</v>
      </c>
      <c r="Q306" s="2" t="s">
        <v>10</v>
      </c>
    </row>
    <row r="307" spans="1:17" x14ac:dyDescent="0.35">
      <c r="A307" s="2" t="s">
        <v>5884</v>
      </c>
      <c r="B307" s="2" t="s">
        <v>1533</v>
      </c>
      <c r="C307" s="2" t="s">
        <v>1534</v>
      </c>
      <c r="D307" s="2">
        <v>2020</v>
      </c>
      <c r="E307" s="2" t="s">
        <v>1535</v>
      </c>
      <c r="F307" s="2" t="s">
        <v>1536</v>
      </c>
      <c r="G307" s="2" t="s">
        <v>1537</v>
      </c>
      <c r="H307" s="2" t="s">
        <v>1357</v>
      </c>
      <c r="I307" s="2" t="str" cm="1">
        <f t="array" ref="I307">H307 &amp; _xlfn.REGEXEXTRACT(G307,"^[^_]+_\d{4}") &amp; ".pdf"</f>
        <v>https://www.ocf.berkeley.edu/~pkmendez/envsci/projects/2020final/SantosA_2020.pdf</v>
      </c>
      <c r="J307" s="1" t="str">
        <f t="shared" si="4"/>
        <v>https://www.ocf.berkeley.edu/~pkmendez/envsci/projects/2020final/SantosA_2020.pdf</v>
      </c>
      <c r="K307" s="2" t="str" cm="1">
        <f t="array" ref="K307:O307">_xlfn.TAKE(TRIM(_xlfn.TEXTSPLIT(F307,{",",";"})),,5)</f>
        <v>Dispersal reduction</v>
      </c>
      <c r="L307" s="2" t="str">
        <v>ballooning</v>
      </c>
      <c r="M307" s="2" t="str">
        <v>evolution</v>
      </c>
      <c r="N307" s="2" t="str">
        <v>ecology</v>
      </c>
      <c r="O307" s="2" t="str">
        <v>biogeography</v>
      </c>
      <c r="P307" s="2" t="s">
        <v>9</v>
      </c>
      <c r="Q307" s="2" t="s">
        <v>10</v>
      </c>
    </row>
    <row r="308" spans="1:17" x14ac:dyDescent="0.35">
      <c r="A308" s="2" t="s">
        <v>5884</v>
      </c>
      <c r="B308" s="2" t="s">
        <v>1538</v>
      </c>
      <c r="C308" s="2" t="s">
        <v>1539</v>
      </c>
      <c r="D308" s="2">
        <v>2020</v>
      </c>
      <c r="E308" s="2" t="s">
        <v>1540</v>
      </c>
      <c r="F308" s="2" t="s">
        <v>1541</v>
      </c>
      <c r="G308" s="2" t="s">
        <v>1542</v>
      </c>
      <c r="H308" s="2" t="s">
        <v>1357</v>
      </c>
      <c r="I308" s="2" t="str" cm="1">
        <f t="array" ref="I308">H308 &amp; _xlfn.REGEXEXTRACT(G308,"^[^_]+_\d{4}") &amp; ".pdf"</f>
        <v>https://www.ocf.berkeley.edu/~pkmendez/envsci/projects/2020final/SengchanthavongD_2020.pdf</v>
      </c>
      <c r="J308" s="1" t="str">
        <f t="shared" si="4"/>
        <v>https://www.ocf.berkeley.edu/~pkmendez/envsci/projects/2020final/SengchanthavongD_2020.pdf</v>
      </c>
      <c r="K308" s="2" t="str" cm="1">
        <f t="array" ref="K308:O308">_xlfn.TAKE(TRIM(_xlfn.TEXTSPLIT(F308,{",",";"})),,5)</f>
        <v>environmental justice</v>
      </c>
      <c r="L308" s="2" t="str">
        <v>environmental health</v>
      </c>
      <c r="M308" s="2" t="str">
        <v>health disparities</v>
      </c>
      <c r="N308" s="2" t="str">
        <v>health inequities</v>
      </c>
      <c r="O308" s="2" t="str">
        <v>refugee resettlement</v>
      </c>
      <c r="P308" s="2" t="s">
        <v>9</v>
      </c>
      <c r="Q308" s="2" t="s">
        <v>10</v>
      </c>
    </row>
    <row r="309" spans="1:17" x14ac:dyDescent="0.35">
      <c r="A309" s="2" t="s">
        <v>5884</v>
      </c>
      <c r="B309" s="2" t="s">
        <v>1543</v>
      </c>
      <c r="C309" s="2" t="s">
        <v>1544</v>
      </c>
      <c r="D309" s="2">
        <v>2020</v>
      </c>
      <c r="E309" s="2" t="s">
        <v>1545</v>
      </c>
      <c r="F309" s="2" t="s">
        <v>1546</v>
      </c>
      <c r="G309" s="2" t="s">
        <v>1547</v>
      </c>
      <c r="H309" s="2" t="s">
        <v>1357</v>
      </c>
      <c r="I309" s="2" t="str" cm="1">
        <f t="array" ref="I309">H309 &amp; _xlfn.REGEXEXTRACT(G309,"^[^_]+_\d{4}") &amp; ".pdf"</f>
        <v>https://www.ocf.berkeley.edu/~pkmendez/envsci/projects/2020final/ThompsonN_2020.pdf</v>
      </c>
      <c r="J309" s="1" t="str">
        <f t="shared" si="4"/>
        <v>https://www.ocf.berkeley.edu/~pkmendez/envsci/projects/2020final/ThompsonN_2020.pdf</v>
      </c>
      <c r="K309" s="2" t="str" cm="1">
        <f t="array" ref="K309:O309">_xlfn.TAKE(TRIM(_xlfn.TEXTSPLIT(F309,{",",";"})),,5)</f>
        <v>Depredation</v>
      </c>
      <c r="L309" s="2" t="str">
        <v>depredation probability</v>
      </c>
      <c r="M309" s="2" t="str">
        <v>depredation risk</v>
      </c>
      <c r="N309" s="2" t="str">
        <v>Human Wildlife Conflict</v>
      </c>
      <c r="O309" s="2" t="str">
        <v>Maxent</v>
      </c>
      <c r="P309" s="2" t="s">
        <v>9</v>
      </c>
      <c r="Q309" s="2" t="s">
        <v>10</v>
      </c>
    </row>
    <row r="310" spans="1:17" x14ac:dyDescent="0.35">
      <c r="A310" s="2" t="s">
        <v>5884</v>
      </c>
      <c r="B310" s="2" t="s">
        <v>1548</v>
      </c>
      <c r="C310" s="2" t="s">
        <v>1549</v>
      </c>
      <c r="D310" s="2">
        <v>2019</v>
      </c>
      <c r="E310" s="2" t="s">
        <v>1550</v>
      </c>
      <c r="F310" s="2" t="s">
        <v>1551</v>
      </c>
      <c r="G310" s="2" t="s">
        <v>1552</v>
      </c>
      <c r="H310" s="2" t="s">
        <v>1357</v>
      </c>
      <c r="I310" s="2" t="str" cm="1">
        <f t="array" ref="I310">H310 &amp; _xlfn.REGEXEXTRACT(G310,"^[^_]+_\d{4}") &amp; ".pdf"</f>
        <v>https://www.ocf.berkeley.edu/~pkmendez/envsci/projects/2020final/TsaiC_2020.pdf</v>
      </c>
      <c r="J310" s="1" t="str">
        <f t="shared" si="4"/>
        <v>https://www.ocf.berkeley.edu/~pkmendez/envsci/projects/2020final/TsaiC_2020.pdf</v>
      </c>
      <c r="K310" s="2" t="str" cm="1">
        <f t="array" ref="K310:O310">_xlfn.TAKE(TRIM(_xlfn.TEXTSPLIT(F310,{",",";"})),,5)</f>
        <v>Agricultural watershed</v>
      </c>
      <c r="L310" s="2" t="str">
        <v>Salmon Creek</v>
      </c>
      <c r="M310" s="2" t="str">
        <v>Riverine Ecosystem Synthesis</v>
      </c>
      <c r="N310" s="2" t="str">
        <v>geomorphology</v>
      </c>
      <c r="O310" s="2" t="str">
        <v>ArcGIS</v>
      </c>
      <c r="P310" s="2" t="s">
        <v>9</v>
      </c>
      <c r="Q310" s="2" t="s">
        <v>10</v>
      </c>
    </row>
    <row r="311" spans="1:17" x14ac:dyDescent="0.35">
      <c r="A311" s="2" t="s">
        <v>5884</v>
      </c>
      <c r="B311" s="2" t="s">
        <v>1553</v>
      </c>
      <c r="C311" s="2" t="s">
        <v>1554</v>
      </c>
      <c r="D311" s="2">
        <v>2020</v>
      </c>
      <c r="E311" s="2" t="s">
        <v>1555</v>
      </c>
      <c r="F311" s="2" t="s">
        <v>1556</v>
      </c>
      <c r="G311" s="2" t="s">
        <v>1557</v>
      </c>
      <c r="H311" s="2" t="s">
        <v>1357</v>
      </c>
      <c r="I311" s="2" t="str" cm="1">
        <f t="array" ref="I311">H311 &amp; _xlfn.REGEXEXTRACT(G311,"^[^_]+_\d{4}") &amp; ".pdf"</f>
        <v>https://www.ocf.berkeley.edu/~pkmendez/envsci/projects/2020final/TurnbullC_2020.pdf</v>
      </c>
      <c r="J311" s="1" t="str">
        <f t="shared" si="4"/>
        <v>https://www.ocf.berkeley.edu/~pkmendez/envsci/projects/2020final/TurnbullC_2020.pdf</v>
      </c>
      <c r="K311" s="2" t="str" cm="1">
        <f t="array" ref="K311:O311">_xlfn.TAKE(TRIM(_xlfn.TEXTSPLIT(F311,{",",";"})),,5)</f>
        <v>acclimation to the photosynthetic environment</v>
      </c>
      <c r="L311" s="2" t="str">
        <v>P700 absorption</v>
      </c>
      <c r="M311" s="2" t="str">
        <v>chlorophyll fluorescence</v>
      </c>
      <c r="N311" s="2" t="str">
        <v>thylakoid composition</v>
      </c>
      <c r="O311" s="2" t="str">
        <v>photosystem</v>
      </c>
      <c r="P311" s="2" t="s">
        <v>9</v>
      </c>
      <c r="Q311" s="2" t="s">
        <v>10</v>
      </c>
    </row>
    <row r="312" spans="1:17" x14ac:dyDescent="0.35">
      <c r="A312" s="2" t="s">
        <v>5884</v>
      </c>
      <c r="B312" s="2" t="s">
        <v>1558</v>
      </c>
      <c r="C312" s="2" t="s">
        <v>1559</v>
      </c>
      <c r="D312" s="2">
        <v>2020</v>
      </c>
      <c r="E312" s="2" t="s">
        <v>1560</v>
      </c>
      <c r="F312" s="2" t="s">
        <v>1561</v>
      </c>
      <c r="G312" s="2" t="s">
        <v>1562</v>
      </c>
      <c r="H312" s="2" t="s">
        <v>1357</v>
      </c>
      <c r="I312" s="2" t="str" cm="1">
        <f t="array" ref="I312">H312 &amp; _xlfn.REGEXEXTRACT(G312,"^[^_]+_\d{4}") &amp; ".pdf"</f>
        <v>https://www.ocf.berkeley.edu/~pkmendez/envsci/projects/2020final/VengraiU_2020.pdf</v>
      </c>
      <c r="J312" s="1" t="str">
        <f t="shared" si="4"/>
        <v>https://www.ocf.berkeley.edu/~pkmendez/envsci/projects/2020final/VengraiU_2020.pdf</v>
      </c>
      <c r="K312" s="2" t="str" cm="1">
        <f t="array" ref="K312:O312">_xlfn.TAKE(TRIM(_xlfn.TEXTSPLIT(F312,{",",";"})),,5)</f>
        <v>microbial activity</v>
      </c>
      <c r="L312" s="2" t="str">
        <v>carbon sequestration</v>
      </c>
      <c r="M312" s="2" t="str">
        <v>aerobic respiration</v>
      </c>
      <c r="N312" s="2" t="str">
        <v>carbon</v>
      </c>
      <c r="O312" s="2" t="str">
        <v>greenhouse gas emissions</v>
      </c>
      <c r="P312" s="2" t="s">
        <v>9</v>
      </c>
      <c r="Q312" s="2" t="s">
        <v>10</v>
      </c>
    </row>
    <row r="313" spans="1:17" x14ac:dyDescent="0.35">
      <c r="A313" s="2" t="s">
        <v>5884</v>
      </c>
      <c r="B313" s="2" t="s">
        <v>1563</v>
      </c>
      <c r="C313" s="2" t="s">
        <v>1564</v>
      </c>
      <c r="D313" s="2">
        <v>2020</v>
      </c>
      <c r="E313" s="2" t="s">
        <v>1565</v>
      </c>
      <c r="F313" s="2" t="s">
        <v>1566</v>
      </c>
      <c r="G313" s="2" t="s">
        <v>1567</v>
      </c>
      <c r="H313" s="2" t="s">
        <v>1357</v>
      </c>
      <c r="I313" s="2" t="str" cm="1">
        <f t="array" ref="I313">H313 &amp; _xlfn.REGEXEXTRACT(G313,"^[^_]+_\d{4}") &amp; ".pdf"</f>
        <v>https://www.ocf.berkeley.edu/~pkmendez/envsci/projects/2020final/WilliamsE_2020.pdf</v>
      </c>
      <c r="J313" s="1" t="str">
        <f t="shared" si="4"/>
        <v>https://www.ocf.berkeley.edu/~pkmendez/envsci/projects/2020final/WilliamsE_2020.pdf</v>
      </c>
      <c r="K313" s="2" t="str" cm="1">
        <f t="array" ref="K313:O313">_xlfn.TAKE(TRIM(_xlfn.TEXTSPLIT(F313,{",",";"})),,5)</f>
        <v>employment post-incarceration</v>
      </c>
      <c r="L313" s="2" t="str">
        <v>professional firefighting</v>
      </c>
      <c r="M313" s="2" t="str">
        <v>conservation fire camps</v>
      </c>
      <c r="N313" s="2" t="str">
        <v>fire suppression</v>
      </c>
      <c r="O313" s="2" t="str">
        <v>incarcerated labor</v>
      </c>
      <c r="P313" s="2" t="s">
        <v>9</v>
      </c>
      <c r="Q313" s="2" t="s">
        <v>10</v>
      </c>
    </row>
    <row r="314" spans="1:17" x14ac:dyDescent="0.35">
      <c r="A314" s="2" t="s">
        <v>5884</v>
      </c>
      <c r="B314" s="2" t="s">
        <v>1568</v>
      </c>
      <c r="C314" s="2" t="s">
        <v>1569</v>
      </c>
      <c r="D314" s="2">
        <v>2020</v>
      </c>
      <c r="E314" s="2" t="s">
        <v>1570</v>
      </c>
      <c r="F314" s="2" t="s">
        <v>1571</v>
      </c>
      <c r="G314" s="2" t="s">
        <v>1572</v>
      </c>
      <c r="H314" s="2" t="s">
        <v>1357</v>
      </c>
      <c r="I314" s="2" t="str" cm="1">
        <f t="array" ref="I314">H314 &amp; _xlfn.REGEXEXTRACT(G314,"^[^_]+_\d{4}") &amp; ".pdf"</f>
        <v>https://www.ocf.berkeley.edu/~pkmendez/envsci/projects/2020final/YiM_2020.pdf</v>
      </c>
      <c r="J314" s="1" t="str">
        <f t="shared" si="4"/>
        <v>https://www.ocf.berkeley.edu/~pkmendez/envsci/projects/2020final/YiM_2020.pdf</v>
      </c>
      <c r="K314" s="2" t="str" cm="1">
        <f t="array" ref="K314:O314">_xlfn.TAKE(TRIM(_xlfn.TEXTSPLIT(F314,{",",";"})),,5)</f>
        <v>BenMAP</v>
      </c>
      <c r="L314" s="2" t="str">
        <v>particulate matter 2.5 (PM2.5)</v>
      </c>
      <c r="M314" s="2" t="str">
        <v>health impacts</v>
      </c>
      <c r="N314" s="2" t="str">
        <v>estimates</v>
      </c>
      <c r="O314" s="2" t="str">
        <v>hospital valuations</v>
      </c>
      <c r="P314" s="2" t="s">
        <v>9</v>
      </c>
      <c r="Q314" s="2" t="s">
        <v>10</v>
      </c>
    </row>
    <row r="315" spans="1:17" x14ac:dyDescent="0.35">
      <c r="A315" s="2" t="s">
        <v>5884</v>
      </c>
      <c r="B315" s="2" t="s">
        <v>1573</v>
      </c>
      <c r="C315" s="2" t="s">
        <v>1574</v>
      </c>
      <c r="D315" s="2">
        <v>2020</v>
      </c>
      <c r="E315" s="2" t="s">
        <v>1575</v>
      </c>
      <c r="F315" s="2" t="s">
        <v>1576</v>
      </c>
      <c r="G315" s="2" t="s">
        <v>1577</v>
      </c>
      <c r="H315" s="2" t="s">
        <v>1357</v>
      </c>
      <c r="I315" s="2" t="str" cm="1">
        <f t="array" ref="I315">H315 &amp; _xlfn.REGEXEXTRACT(G315,"^[^_]+_\d{4}") &amp; ".pdf"</f>
        <v>https://www.ocf.berkeley.edu/~pkmendez/envsci/projects/2020final/ZhangA_2020.pdf</v>
      </c>
      <c r="J315" s="1" t="str">
        <f t="shared" si="4"/>
        <v>https://www.ocf.berkeley.edu/~pkmendez/envsci/projects/2020final/ZhangA_2020.pdf</v>
      </c>
      <c r="K315" s="2" t="str" cm="1">
        <f t="array" ref="K315:O315">_xlfn.TAKE(TRIM(_xlfn.TEXTSPLIT(F315,{",",";"})),,5)</f>
        <v>airway inflammation</v>
      </c>
      <c r="L315" s="2" t="str">
        <v>epidemiology</v>
      </c>
      <c r="M315" s="2" t="str">
        <v>pediatric studies</v>
      </c>
      <c r="N315" s="2" t="str">
        <v>C-reactive protein</v>
      </c>
      <c r="O315" s="2" t="str">
        <v>HDL cholesterol</v>
      </c>
      <c r="P315" s="2" t="s">
        <v>9</v>
      </c>
      <c r="Q315" s="2" t="s">
        <v>10</v>
      </c>
    </row>
    <row r="316" spans="1:17" x14ac:dyDescent="0.35">
      <c r="A316" s="2" t="s">
        <v>5884</v>
      </c>
      <c r="B316" s="2" t="s">
        <v>1578</v>
      </c>
      <c r="C316" s="2" t="s">
        <v>1579</v>
      </c>
      <c r="D316" s="2">
        <v>2019</v>
      </c>
      <c r="E316" s="2" t="s">
        <v>1580</v>
      </c>
      <c r="F316" s="2" t="s">
        <v>1581</v>
      </c>
      <c r="G316" s="2" t="s">
        <v>1582</v>
      </c>
      <c r="H316" s="2" t="s">
        <v>1583</v>
      </c>
      <c r="I316" s="2" t="str" cm="1">
        <f t="array" ref="I316">H316 &amp; _xlfn.REGEXEXTRACT(G316,"^[^_]+_\d{4}") &amp; ".pdf"</f>
        <v>https://www.ocf.berkeley.edu/~pkmendez/envsci/projects/2019final/AbdonJ_2019.pdf</v>
      </c>
      <c r="J316" s="1" t="str">
        <f t="shared" si="4"/>
        <v>https://www.ocf.berkeley.edu/~pkmendez/envsci/projects/2019final/AbdonJ_2019.pdf</v>
      </c>
      <c r="K316" s="2" t="str" cm="1">
        <f t="array" ref="K316:O316">_xlfn.TAKE(TRIM(_xlfn.TEXTSPLIT(F316,{",",";"})),,5)</f>
        <v>40 CFR Part 503</v>
      </c>
      <c r="L316" s="2" t="str">
        <v>wetland restoration</v>
      </c>
      <c r="M316" s="2" t="str">
        <v>human health effects of biosolids</v>
      </c>
      <c r="N316" s="2" t="str">
        <v>environmental risks of biosolids</v>
      </c>
      <c r="O316" s="2" t="str">
        <v>policy recommendations for biosolids</v>
      </c>
      <c r="P316" s="2" t="s">
        <v>9</v>
      </c>
      <c r="Q316" s="2" t="s">
        <v>10</v>
      </c>
    </row>
    <row r="317" spans="1:17" x14ac:dyDescent="0.35">
      <c r="A317" s="2" t="s">
        <v>5884</v>
      </c>
      <c r="B317" s="2" t="s">
        <v>1584</v>
      </c>
      <c r="C317" s="2" t="s">
        <v>1585</v>
      </c>
      <c r="D317" s="2">
        <v>2019</v>
      </c>
      <c r="E317" s="2" t="s">
        <v>1586</v>
      </c>
      <c r="F317" s="2" t="s">
        <v>1587</v>
      </c>
      <c r="G317" s="2" t="s">
        <v>1588</v>
      </c>
      <c r="H317" s="2" t="s">
        <v>1583</v>
      </c>
      <c r="I317" s="2" t="str" cm="1">
        <f t="array" ref="I317">H317 &amp; _xlfn.REGEXEXTRACT(G317,"^[^_]+_\d{4}") &amp; ".pdf"</f>
        <v>https://www.ocf.berkeley.edu/~pkmendez/envsci/projects/2019final/AguileraK_2019.pdf</v>
      </c>
      <c r="J317" s="1" t="str">
        <f t="shared" si="4"/>
        <v>https://www.ocf.berkeley.edu/~pkmendez/envsci/projects/2019final/AguileraK_2019.pdf</v>
      </c>
      <c r="K317" s="2" t="str" cm="1">
        <f t="array" ref="K317:O317">_xlfn.TAKE(TRIM(_xlfn.TEXTSPLIT(F317,{",",";"})),,5)</f>
        <v>waste management</v>
      </c>
      <c r="L317" s="2" t="str">
        <v>environmental justice</v>
      </c>
      <c r="M317" s="2" t="str">
        <v>environmental health</v>
      </c>
      <c r="N317" s="2" t="str">
        <v>political ecology</v>
      </c>
      <c r="O317" s="2" t="str">
        <v>air quality</v>
      </c>
      <c r="P317" s="2" t="s">
        <v>9</v>
      </c>
      <c r="Q317" s="2" t="s">
        <v>10</v>
      </c>
    </row>
    <row r="318" spans="1:17" x14ac:dyDescent="0.35">
      <c r="A318" s="2" t="s">
        <v>5884</v>
      </c>
      <c r="B318" s="2" t="s">
        <v>1589</v>
      </c>
      <c r="C318" s="2" t="s">
        <v>1590</v>
      </c>
      <c r="D318" s="2">
        <v>2019</v>
      </c>
      <c r="E318" s="2" t="s">
        <v>1591</v>
      </c>
      <c r="F318" s="2" t="s">
        <v>1592</v>
      </c>
      <c r="G318" s="2" t="s">
        <v>1593</v>
      </c>
      <c r="H318" s="2" t="s">
        <v>1583</v>
      </c>
      <c r="I318" s="2" t="str" cm="1">
        <f t="array" ref="I318">H318 &amp; _xlfn.REGEXEXTRACT(G318,"^[^_]+_\d{4}") &amp; ".pdf"</f>
        <v>https://www.ocf.berkeley.edu/~pkmendez/envsci/projects/2019final/ArreguinC_2019.pdf</v>
      </c>
      <c r="J318" s="1" t="str">
        <f t="shared" si="4"/>
        <v>https://www.ocf.berkeley.edu/~pkmendez/envsci/projects/2019final/ArreguinC_2019.pdf</v>
      </c>
      <c r="K318" s="2" t="str" cm="1">
        <f t="array" ref="K318:O318">_xlfn.TAKE(TRIM(_xlfn.TEXTSPLIT(F318,{",",";"})),,5)</f>
        <v>climate change</v>
      </c>
      <c r="L318" s="2" t="str">
        <v>wildfire</v>
      </c>
      <c r="M318" s="2" t="str">
        <v>grazing</v>
      </c>
      <c r="N318" s="2" t="str">
        <v>land management</v>
      </c>
      <c r="O318" s="2" t="str">
        <v>tree size</v>
      </c>
      <c r="P318" s="2" t="s">
        <v>9</v>
      </c>
      <c r="Q318" s="2" t="s">
        <v>10</v>
      </c>
    </row>
    <row r="319" spans="1:17" x14ac:dyDescent="0.35">
      <c r="A319" s="2" t="s">
        <v>5884</v>
      </c>
      <c r="B319" s="2" t="s">
        <v>1594</v>
      </c>
      <c r="C319" s="2" t="s">
        <v>1595</v>
      </c>
      <c r="D319" s="2">
        <v>2019</v>
      </c>
      <c r="E319" s="2" t="s">
        <v>1596</v>
      </c>
      <c r="F319" s="2" t="s">
        <v>1597</v>
      </c>
      <c r="G319" s="2" t="s">
        <v>1598</v>
      </c>
      <c r="H319" s="2" t="s">
        <v>1583</v>
      </c>
      <c r="I319" s="2" t="str" cm="1">
        <f t="array" ref="I319">H319 &amp; _xlfn.REGEXEXTRACT(G319,"^[^_]+_\d{4}") &amp; ".pdf"</f>
        <v>https://www.ocf.berkeley.edu/~pkmendez/envsci/projects/2019final/AyalaC_2019.pdf</v>
      </c>
      <c r="J319" s="1" t="str">
        <f t="shared" si="4"/>
        <v>https://www.ocf.berkeley.edu/~pkmendez/envsci/projects/2019final/AyalaC_2019.pdf</v>
      </c>
      <c r="K319" s="2" t="str" cm="1">
        <f t="array" ref="K319:O319">_xlfn.TAKE(TRIM(_xlfn.TEXTSPLIT(F319,{",",";"})),,5)</f>
        <v>Basal area</v>
      </c>
      <c r="L319" s="2" t="str">
        <v>prescribed burning</v>
      </c>
      <c r="M319" s="2" t="str">
        <v>mechanical thinning</v>
      </c>
      <c r="N319" s="2" t="str">
        <v>species proportion</v>
      </c>
      <c r="O319" s="2" t="str">
        <v>fuel treatment longevity</v>
      </c>
      <c r="P319" s="2" t="s">
        <v>9</v>
      </c>
      <c r="Q319" s="2" t="s">
        <v>10</v>
      </c>
    </row>
    <row r="320" spans="1:17" x14ac:dyDescent="0.35">
      <c r="A320" s="2" t="s">
        <v>5884</v>
      </c>
      <c r="B320" s="2" t="s">
        <v>1599</v>
      </c>
      <c r="C320" s="2" t="s">
        <v>1600</v>
      </c>
      <c r="D320" s="2">
        <v>2019</v>
      </c>
      <c r="E320" s="2" t="s">
        <v>1601</v>
      </c>
      <c r="F320" s="2" t="s">
        <v>1602</v>
      </c>
      <c r="G320" s="2" t="s">
        <v>1603</v>
      </c>
      <c r="H320" s="2" t="s">
        <v>1583</v>
      </c>
      <c r="I320" s="2" t="str" cm="1">
        <f t="array" ref="I320">H320 &amp; _xlfn.REGEXEXTRACT(G320,"^[^_]+_\d{4}") &amp; ".pdf"</f>
        <v>https://www.ocf.berkeley.edu/~pkmendez/envsci/projects/2019final/BabkaS_2019.pdf</v>
      </c>
      <c r="J320" s="1" t="str">
        <f t="shared" si="4"/>
        <v>https://www.ocf.berkeley.edu/~pkmendez/envsci/projects/2019final/BabkaS_2019.pdf</v>
      </c>
      <c r="K320" s="2" t="str" cm="1">
        <f t="array" ref="K320:O320">_xlfn.TAKE(TRIM(_xlfn.TEXTSPLIT(F320,{",",";"})),,5)</f>
        <v>Waste Management</v>
      </c>
      <c r="L320" s="2" t="str">
        <v>Plastic Pollution</v>
      </c>
      <c r="M320" s="2" t="str">
        <v>Compost</v>
      </c>
      <c r="N320" s="2" t="str">
        <v>ASTM</v>
      </c>
      <c r="O320" s="2" t="str">
        <v>Petrochemical Plastic Alternatives</v>
      </c>
      <c r="P320" s="2" t="s">
        <v>9</v>
      </c>
      <c r="Q320" s="2" t="s">
        <v>10</v>
      </c>
    </row>
    <row r="321" spans="1:17" x14ac:dyDescent="0.35">
      <c r="A321" s="2" t="s">
        <v>5884</v>
      </c>
      <c r="B321" s="2" t="s">
        <v>1604</v>
      </c>
      <c r="C321" s="2" t="s">
        <v>1605</v>
      </c>
      <c r="D321" s="2">
        <v>2019</v>
      </c>
      <c r="E321" s="2" t="s">
        <v>1606</v>
      </c>
      <c r="F321" s="2" t="s">
        <v>1607</v>
      </c>
      <c r="G321" s="2" t="s">
        <v>1608</v>
      </c>
      <c r="H321" s="2" t="s">
        <v>1583</v>
      </c>
      <c r="I321" s="2" t="str" cm="1">
        <f t="array" ref="I321">H321 &amp; _xlfn.REGEXEXTRACT(G321,"^[^_]+_\d{4}") &amp; ".pdf"</f>
        <v>https://www.ocf.berkeley.edu/~pkmendez/envsci/projects/2019final/BagshawS_2019.pdf</v>
      </c>
      <c r="J321" s="1" t="str">
        <f t="shared" si="4"/>
        <v>https://www.ocf.berkeley.edu/~pkmendez/envsci/projects/2019final/BagshawS_2019.pdf</v>
      </c>
      <c r="K321" s="2" t="str" cm="1">
        <f t="array" ref="K321:O321">_xlfn.TAKE(TRIM(_xlfn.TEXTSPLIT(F321,{",",";"})),,5)</f>
        <v>life history stage</v>
      </c>
      <c r="L321" s="2" t="str">
        <v>ontological plasticity</v>
      </c>
      <c r="M321" s="2" t="str">
        <v>forest ecology</v>
      </c>
      <c r="N321" s="2" t="str">
        <v>Plant physiology</v>
      </c>
      <c r="O321" s="2" t="str">
        <v>functional diversity</v>
      </c>
      <c r="P321" s="2" t="s">
        <v>9</v>
      </c>
      <c r="Q321" s="2" t="s">
        <v>10</v>
      </c>
    </row>
    <row r="322" spans="1:17" x14ac:dyDescent="0.35">
      <c r="A322" s="2" t="s">
        <v>5884</v>
      </c>
      <c r="B322" s="2" t="s">
        <v>1609</v>
      </c>
      <c r="C322" s="2" t="s">
        <v>1610</v>
      </c>
      <c r="D322" s="2">
        <v>2019</v>
      </c>
      <c r="E322" s="2" t="s">
        <v>1611</v>
      </c>
      <c r="F322" s="2" t="s">
        <v>1612</v>
      </c>
      <c r="G322" s="2" t="s">
        <v>1613</v>
      </c>
      <c r="H322" s="2" t="s">
        <v>1583</v>
      </c>
      <c r="I322" s="2" t="str" cm="1">
        <f t="array" ref="I322">H322 &amp; _xlfn.REGEXEXTRACT(G322,"^[^_]+_\d{4}") &amp; ".pdf"</f>
        <v>https://www.ocf.berkeley.edu/~pkmendez/envsci/projects/2019final/BassettiA_2019.pdf</v>
      </c>
      <c r="J322" s="1" t="str">
        <f t="shared" si="4"/>
        <v>https://www.ocf.berkeley.edu/~pkmendez/envsci/projects/2019final/BassettiA_2019.pdf</v>
      </c>
      <c r="K322" s="2" t="str" cm="1">
        <f t="array" ref="K322:O322">_xlfn.TAKE(TRIM(_xlfn.TEXTSPLIT(F322,{",",";"})),,5)</f>
        <v>ecolabel standard</v>
      </c>
      <c r="L322" s="2" t="str">
        <v>environmental preferable policy</v>
      </c>
      <c r="M322" s="2" t="str">
        <v>practices</v>
      </c>
      <c r="N322" s="2" t="str">
        <v>precision</v>
      </c>
      <c r="O322" s="2" t="str">
        <v>accuracy</v>
      </c>
      <c r="P322" s="2" t="s">
        <v>9</v>
      </c>
      <c r="Q322" s="2" t="s">
        <v>10</v>
      </c>
    </row>
    <row r="323" spans="1:17" x14ac:dyDescent="0.35">
      <c r="A323" s="2" t="s">
        <v>5884</v>
      </c>
      <c r="B323" s="2" t="s">
        <v>1614</v>
      </c>
      <c r="C323" s="2" t="s">
        <v>1615</v>
      </c>
      <c r="D323" s="2">
        <v>2019</v>
      </c>
      <c r="E323" s="2" t="s">
        <v>1616</v>
      </c>
      <c r="F323" s="2" t="s">
        <v>1617</v>
      </c>
      <c r="G323" s="2" t="s">
        <v>1618</v>
      </c>
      <c r="H323" s="2" t="s">
        <v>1583</v>
      </c>
      <c r="I323" s="2" t="str" cm="1">
        <f t="array" ref="I323">H323 &amp; _xlfn.REGEXEXTRACT(G323,"^[^_]+_\d{4}") &amp; ".pdf"</f>
        <v>https://www.ocf.berkeley.edu/~pkmendez/envsci/projects/2019final/CervantesHernandezD_2019.pdf</v>
      </c>
      <c r="J323" s="1" t="str">
        <f t="shared" ref="J323:J386" si="5">HYPERLINK(I323, I323)</f>
        <v>https://www.ocf.berkeley.edu/~pkmendez/envsci/projects/2019final/CervantesHernandezD_2019.pdf</v>
      </c>
      <c r="K323" s="2" t="str" cm="1">
        <f t="array" ref="K323:O323">_xlfn.TAKE(TRIM(_xlfn.TEXTSPLIT(F323,{",",";"})),,5)</f>
        <v>Native California fish</v>
      </c>
      <c r="L323" s="2" t="str">
        <v>California Delta</v>
      </c>
      <c r="M323" s="2" t="str">
        <v>tidal marsh</v>
      </c>
      <c r="N323" s="2" t="str">
        <v>species co-occurrence</v>
      </c>
      <c r="O323" s="2" t="str">
        <v>fish community</v>
      </c>
      <c r="P323" s="2" t="s">
        <v>9</v>
      </c>
      <c r="Q323" s="2" t="s">
        <v>10</v>
      </c>
    </row>
    <row r="324" spans="1:17" x14ac:dyDescent="0.35">
      <c r="A324" s="2" t="s">
        <v>5884</v>
      </c>
      <c r="B324" s="2" t="s">
        <v>1619</v>
      </c>
      <c r="C324" s="2" t="s">
        <v>1620</v>
      </c>
      <c r="D324" s="2">
        <v>2019</v>
      </c>
      <c r="E324" s="2" t="s">
        <v>1621</v>
      </c>
      <c r="F324" s="2" t="s">
        <v>1622</v>
      </c>
      <c r="G324" s="2" t="s">
        <v>1623</v>
      </c>
      <c r="H324" s="2" t="s">
        <v>1583</v>
      </c>
      <c r="I324" s="2" t="str" cm="1">
        <f t="array" ref="I324">H324 &amp; _xlfn.REGEXEXTRACT(G324,"^[^_]+_\d{4}") &amp; ".pdf"</f>
        <v>https://www.ocf.berkeley.edu/~pkmendez/envsci/projects/2019final/ChangH_2019.pdf</v>
      </c>
      <c r="J324" s="1" t="str">
        <f t="shared" si="5"/>
        <v>https://www.ocf.berkeley.edu/~pkmendez/envsci/projects/2019final/ChangH_2019.pdf</v>
      </c>
      <c r="K324" s="2" t="str" cm="1">
        <f t="array" ref="K324:O324">_xlfn.TAKE(TRIM(_xlfn.TEXTSPLIT(F324,{",",";"})),,5)</f>
        <v>Value-Action Gap</v>
      </c>
      <c r="L324" s="2" t="str">
        <v>Individual Action</v>
      </c>
      <c r="M324" s="2" t="str">
        <v>Consumerism</v>
      </c>
      <c r="N324" s="2" t="str">
        <v>Learning Experience</v>
      </c>
      <c r="O324" s="2" t="str">
        <v>Simulations</v>
      </c>
      <c r="P324" s="2" t="s">
        <v>9</v>
      </c>
      <c r="Q324" s="2" t="s">
        <v>10</v>
      </c>
    </row>
    <row r="325" spans="1:17" x14ac:dyDescent="0.35">
      <c r="A325" s="2" t="s">
        <v>5884</v>
      </c>
      <c r="B325" s="2" t="s">
        <v>1624</v>
      </c>
      <c r="C325" s="2" t="s">
        <v>1625</v>
      </c>
      <c r="D325" s="2">
        <v>2019</v>
      </c>
      <c r="E325" s="2" t="s">
        <v>1626</v>
      </c>
      <c r="F325" s="2" t="s">
        <v>1627</v>
      </c>
      <c r="G325" s="2" t="s">
        <v>1628</v>
      </c>
      <c r="H325" s="2" t="s">
        <v>1583</v>
      </c>
      <c r="I325" s="2" t="str" cm="1">
        <f t="array" ref="I325">H325 &amp; _xlfn.REGEXEXTRACT(G325,"^[^_]+_\d{4}") &amp; ".pdf"</f>
        <v>https://www.ocf.berkeley.edu/~pkmendez/envsci/projects/2019final/ChaudhryZ_2019.pdf</v>
      </c>
      <c r="J325" s="1" t="str">
        <f t="shared" si="5"/>
        <v>https://www.ocf.berkeley.edu/~pkmendez/envsci/projects/2019final/ChaudhryZ_2019.pdf</v>
      </c>
      <c r="K325" s="2" t="str" cm="1">
        <f t="array" ref="K325:O325">_xlfn.TAKE(TRIM(_xlfn.TEXTSPLIT(F325,{",",";"})),,5)</f>
        <v>peatland</v>
      </c>
      <c r="L325" s="2" t="str">
        <v>soil texture</v>
      </c>
      <c r="M325" s="2" t="str">
        <v>clay</v>
      </c>
      <c r="N325" s="2" t="str">
        <v>flooding</v>
      </c>
      <c r="O325" s="2" t="str">
        <v>redox active minerals</v>
      </c>
      <c r="P325" s="2" t="s">
        <v>9</v>
      </c>
      <c r="Q325" s="2" t="s">
        <v>10</v>
      </c>
    </row>
    <row r="326" spans="1:17" x14ac:dyDescent="0.35">
      <c r="A326" s="2" t="s">
        <v>5884</v>
      </c>
      <c r="B326" s="2" t="s">
        <v>1629</v>
      </c>
      <c r="C326" s="2" t="s">
        <v>1630</v>
      </c>
      <c r="D326" s="2">
        <v>2019</v>
      </c>
      <c r="E326" s="2" t="s">
        <v>1631</v>
      </c>
      <c r="F326" s="2" t="s">
        <v>1632</v>
      </c>
      <c r="G326" s="2" t="s">
        <v>1633</v>
      </c>
      <c r="H326" s="2" t="s">
        <v>1583</v>
      </c>
      <c r="I326" s="2" t="str" cm="1">
        <f t="array" ref="I326">H326 &amp; _xlfn.REGEXEXTRACT(G326,"^[^_]+_\d{4}") &amp; ".pdf"</f>
        <v>https://www.ocf.berkeley.edu/~pkmendez/envsci/projects/2019final/ChenY_2019.pdf</v>
      </c>
      <c r="J326" s="1" t="str">
        <f t="shared" si="5"/>
        <v>https://www.ocf.berkeley.edu/~pkmendez/envsci/projects/2019final/ChenY_2019.pdf</v>
      </c>
      <c r="K326" s="2" t="str" cm="1">
        <f t="array" ref="K326:O326">_xlfn.TAKE(TRIM(_xlfn.TEXTSPLIT(F326,{",",";"})),,5)</f>
        <v>waste management</v>
      </c>
      <c r="L326" s="2" t="str">
        <v>environmental behavior</v>
      </c>
      <c r="M326" s="2" t="str">
        <v>demographical factor</v>
      </c>
      <c r="N326" s="2" t="str">
        <v>incentive</v>
      </c>
      <c r="O326" s="2" t="str">
        <v>survey</v>
      </c>
      <c r="P326" s="2" t="s">
        <v>9</v>
      </c>
      <c r="Q326" s="2" t="s">
        <v>10</v>
      </c>
    </row>
    <row r="327" spans="1:17" x14ac:dyDescent="0.35">
      <c r="A327" s="2" t="s">
        <v>5884</v>
      </c>
      <c r="B327" s="2" t="s">
        <v>1634</v>
      </c>
      <c r="C327" s="2" t="s">
        <v>1635</v>
      </c>
      <c r="D327" s="2">
        <v>2019</v>
      </c>
      <c r="E327" s="2" t="s">
        <v>1636</v>
      </c>
      <c r="F327" s="2" t="s">
        <v>1637</v>
      </c>
      <c r="G327" s="2" t="s">
        <v>1638</v>
      </c>
      <c r="H327" s="2" t="s">
        <v>1583</v>
      </c>
      <c r="I327" s="2" t="str" cm="1">
        <f t="array" ref="I327">H327 &amp; _xlfn.REGEXEXTRACT(G327,"^[^_]+_\d{4}") &amp; ".pdf"</f>
        <v>https://www.ocf.berkeley.edu/~pkmendez/envsci/projects/2019final/ChristensenC_2019.pdf</v>
      </c>
      <c r="J327" s="1" t="str">
        <f t="shared" si="5"/>
        <v>https://www.ocf.berkeley.edu/~pkmendez/envsci/projects/2019final/ChristensenC_2019.pdf</v>
      </c>
      <c r="K327" s="2" t="str" cm="1">
        <f t="array" ref="K327:N327">_xlfn.TAKE(TRIM(_xlfn.TEXTSPLIT(F327,{",",";"})),,5)</f>
        <v>Geometric morphometrics</v>
      </c>
      <c r="L327" s="2" t="str">
        <v>wing venation</v>
      </c>
      <c r="M327" s="2" t="str">
        <v>hydropsychidae</v>
      </c>
      <c r="N327" s="2" t="str">
        <v>machine learning</v>
      </c>
      <c r="P327" s="2" t="s">
        <v>9</v>
      </c>
      <c r="Q327" s="2" t="s">
        <v>10</v>
      </c>
    </row>
    <row r="328" spans="1:17" x14ac:dyDescent="0.35">
      <c r="A328" s="2" t="s">
        <v>5884</v>
      </c>
      <c r="B328" s="2" t="s">
        <v>1639</v>
      </c>
      <c r="C328" s="2" t="s">
        <v>1640</v>
      </c>
      <c r="D328" s="2">
        <v>2019</v>
      </c>
      <c r="E328" s="2" t="s">
        <v>1641</v>
      </c>
      <c r="F328" s="2" t="s">
        <v>1642</v>
      </c>
      <c r="G328" s="2" t="s">
        <v>1643</v>
      </c>
      <c r="H328" s="2" t="s">
        <v>1583</v>
      </c>
      <c r="I328" s="2" t="str" cm="1">
        <f t="array" ref="I328">H328 &amp; _xlfn.REGEXEXTRACT(G328,"^[^_]+_\d{4}") &amp; ".pdf"</f>
        <v>https://www.ocf.berkeley.edu/~pkmendez/envsci/projects/2019final/CoxE_2019.pdf</v>
      </c>
      <c r="J328" s="1" t="str">
        <f t="shared" si="5"/>
        <v>https://www.ocf.berkeley.edu/~pkmendez/envsci/projects/2019final/CoxE_2019.pdf</v>
      </c>
      <c r="K328" s="2" t="str" cm="1">
        <f t="array" ref="K328:O328">_xlfn.TAKE(TRIM(_xlfn.TEXTSPLIT(F328,{",",";"})),,5)</f>
        <v>water stress</v>
      </c>
      <c r="L328" s="2" t="str">
        <v>adaptive differentiation</v>
      </c>
      <c r="M328" s="2" t="str">
        <v>greenhouse experiment</v>
      </c>
      <c r="N328" s="2" t="str">
        <v>climate change</v>
      </c>
      <c r="O328" s="2" t="str">
        <v>phenology</v>
      </c>
      <c r="P328" s="2" t="s">
        <v>9</v>
      </c>
      <c r="Q328" s="2" t="s">
        <v>10</v>
      </c>
    </row>
    <row r="329" spans="1:17" x14ac:dyDescent="0.35">
      <c r="A329" s="2" t="s">
        <v>5884</v>
      </c>
      <c r="B329" s="2" t="s">
        <v>1644</v>
      </c>
      <c r="C329" s="2" t="s">
        <v>1645</v>
      </c>
      <c r="D329" s="2">
        <v>2019</v>
      </c>
      <c r="E329" s="2" t="s">
        <v>1646</v>
      </c>
      <c r="F329" s="2" t="s">
        <v>1647</v>
      </c>
      <c r="G329" s="2" t="s">
        <v>1648</v>
      </c>
      <c r="H329" s="2" t="s">
        <v>1583</v>
      </c>
      <c r="I329" s="2" t="str" cm="1">
        <f t="array" ref="I329">H329 &amp; _xlfn.REGEXEXTRACT(G329,"^[^_]+_\d{4}") &amp; ".pdf"</f>
        <v>https://www.ocf.berkeley.edu/~pkmendez/envsci/projects/2019final/DaluroT_2019.pdf</v>
      </c>
      <c r="J329" s="1" t="str">
        <f t="shared" si="5"/>
        <v>https://www.ocf.berkeley.edu/~pkmendez/envsci/projects/2019final/DaluroT_2019.pdf</v>
      </c>
      <c r="K329" s="2" t="str" cm="1">
        <f t="array" ref="K329:O329">_xlfn.TAKE(TRIM(_xlfn.TEXTSPLIT(F329,{",",";"})),,5)</f>
        <v>Wildlife</v>
      </c>
      <c r="L329" s="2" t="str">
        <v>cattle</v>
      </c>
      <c r="M329" s="2" t="str">
        <v>recreation</v>
      </c>
      <c r="N329" s="2" t="str">
        <v>behavioral adaptations</v>
      </c>
      <c r="O329" s="2" t="str">
        <v>camera traps</v>
      </c>
      <c r="P329" s="2" t="s">
        <v>9</v>
      </c>
      <c r="Q329" s="2" t="s">
        <v>10</v>
      </c>
    </row>
    <row r="330" spans="1:17" x14ac:dyDescent="0.35">
      <c r="A330" s="2" t="s">
        <v>5884</v>
      </c>
      <c r="B330" s="2" t="s">
        <v>1649</v>
      </c>
      <c r="C330" s="2" t="s">
        <v>1650</v>
      </c>
      <c r="D330" s="2">
        <v>2019</v>
      </c>
      <c r="E330" s="2" t="s">
        <v>1651</v>
      </c>
      <c r="F330" s="2" t="s">
        <v>1652</v>
      </c>
      <c r="G330" s="2" t="s">
        <v>1653</v>
      </c>
      <c r="H330" s="2" t="s">
        <v>1583</v>
      </c>
      <c r="I330" s="2" t="str" cm="1">
        <f t="array" ref="I330">H330 &amp; _xlfn.REGEXEXTRACT(G330,"^[^_]+_\d{4}") &amp; ".pdf"</f>
        <v>https://www.ocf.berkeley.edu/~pkmendez/envsci/projects/2019final/DeGeerR_2019.pdf</v>
      </c>
      <c r="J330" s="1" t="str">
        <f t="shared" si="5"/>
        <v>https://www.ocf.berkeley.edu/~pkmendez/envsci/projects/2019final/DeGeerR_2019.pdf</v>
      </c>
      <c r="K330" s="2" t="str" cm="1">
        <f t="array" ref="K330:O330">_xlfn.TAKE(TRIM(_xlfn.TEXTSPLIT(F330,{",",";"})),,5)</f>
        <v>estrogenic endocrine-disrupting chemical</v>
      </c>
      <c r="L330" s="2" t="str">
        <v>Estradiol Equivalent</v>
      </c>
      <c r="M330" s="2" t="str">
        <v>natural estrogen</v>
      </c>
      <c r="N330" s="2" t="str">
        <v>wastewater treatment plant</v>
      </c>
      <c r="O330" s="2" t="str">
        <v>effluent</v>
      </c>
      <c r="P330" s="2" t="s">
        <v>9</v>
      </c>
      <c r="Q330" s="2" t="s">
        <v>10</v>
      </c>
    </row>
    <row r="331" spans="1:17" x14ac:dyDescent="0.35">
      <c r="A331" s="2" t="s">
        <v>5884</v>
      </c>
      <c r="B331" s="2" t="s">
        <v>1654</v>
      </c>
      <c r="C331" s="2" t="s">
        <v>1655</v>
      </c>
      <c r="D331" s="2">
        <v>2019</v>
      </c>
      <c r="E331" s="2" t="s">
        <v>1656</v>
      </c>
      <c r="F331" s="2" t="s">
        <v>1657</v>
      </c>
      <c r="G331" s="2" t="s">
        <v>1658</v>
      </c>
      <c r="H331" s="2" t="s">
        <v>1583</v>
      </c>
      <c r="I331" s="2" t="str" cm="1">
        <f t="array" ref="I331">H331 &amp; _xlfn.REGEXEXTRACT(G331,"^[^_]+_\d{4}") &amp; ".pdf"</f>
        <v>https://www.ocf.berkeley.edu/~pkmendez/envsci/projects/2019final/FrederickA_2019.pdf</v>
      </c>
      <c r="J331" s="1" t="str">
        <f t="shared" si="5"/>
        <v>https://www.ocf.berkeley.edu/~pkmendez/envsci/projects/2019final/FrederickA_2019.pdf</v>
      </c>
      <c r="K331" s="2" t="str" cm="1">
        <f t="array" ref="K331:N331">_xlfn.TAKE(TRIM(_xlfn.TEXTSPLIT(F331,{",",";"})),,5)</f>
        <v>Human-wildlife conflict</v>
      </c>
      <c r="L331" s="2" t="str">
        <v>systematic review</v>
      </c>
      <c r="M331" s="2" t="str">
        <v>conflict mitigation strategies</v>
      </c>
      <c r="N331" s="2" t="str">
        <v>United States program inventory</v>
      </c>
      <c r="P331" s="2" t="s">
        <v>9</v>
      </c>
      <c r="Q331" s="2" t="s">
        <v>10</v>
      </c>
    </row>
    <row r="332" spans="1:17" x14ac:dyDescent="0.35">
      <c r="A332" s="2" t="s">
        <v>5884</v>
      </c>
      <c r="B332" s="2" t="s">
        <v>1659</v>
      </c>
      <c r="C332" s="2" t="s">
        <v>1660</v>
      </c>
      <c r="D332" s="2">
        <v>2019</v>
      </c>
      <c r="E332" s="2" t="s">
        <v>1661</v>
      </c>
      <c r="F332" s="2" t="s">
        <v>1662</v>
      </c>
      <c r="G332" s="2" t="s">
        <v>1663</v>
      </c>
      <c r="H332" s="2" t="s">
        <v>1583</v>
      </c>
      <c r="I332" s="2" t="str" cm="1">
        <f t="array" ref="I332">H332 &amp; _xlfn.REGEXEXTRACT(G332,"^[^_]+_\d{4}") &amp; ".pdf"</f>
        <v>https://www.ocf.berkeley.edu/~pkmendez/envsci/projects/2019final/GallegosM_2019.pdf</v>
      </c>
      <c r="J332" s="1" t="str">
        <f t="shared" si="5"/>
        <v>https://www.ocf.berkeley.edu/~pkmendez/envsci/projects/2019final/GallegosM_2019.pdf</v>
      </c>
      <c r="K332" s="2" t="str" cm="1">
        <f t="array" ref="K332:O332">_xlfn.TAKE(TRIM(_xlfn.TEXTSPLIT(F332,{",",";"})),,5)</f>
        <v>Anniella</v>
      </c>
      <c r="L332" s="2" t="str">
        <v>Antioch dunes</v>
      </c>
      <c r="M332" s="2" t="str">
        <v>conservation</v>
      </c>
      <c r="N332" s="2" t="str">
        <v>population distribution</v>
      </c>
      <c r="O332" s="2" t="str">
        <v>predation</v>
      </c>
      <c r="P332" s="2" t="s">
        <v>9</v>
      </c>
      <c r="Q332" s="2" t="s">
        <v>10</v>
      </c>
    </row>
    <row r="333" spans="1:17" x14ac:dyDescent="0.35">
      <c r="A333" s="2" t="s">
        <v>5884</v>
      </c>
      <c r="B333" s="2" t="s">
        <v>1664</v>
      </c>
      <c r="C333" s="2" t="s">
        <v>1665</v>
      </c>
      <c r="D333" s="2">
        <v>2019</v>
      </c>
      <c r="E333" s="2" t="s">
        <v>1666</v>
      </c>
      <c r="F333" s="2" t="s">
        <v>1667</v>
      </c>
      <c r="G333" s="2" t="s">
        <v>1668</v>
      </c>
      <c r="H333" s="2" t="s">
        <v>1583</v>
      </c>
      <c r="I333" s="2" t="str" cm="1">
        <f t="array" ref="I333">H333 &amp; _xlfn.REGEXEXTRACT(G333,"^[^_]+_\d{4}") &amp; ".pdf"</f>
        <v>https://www.ocf.berkeley.edu/~pkmendez/envsci/projects/2019final/GlynnV_2019.pdf</v>
      </c>
      <c r="J333" s="1" t="str">
        <f t="shared" si="5"/>
        <v>https://www.ocf.berkeley.edu/~pkmendez/envsci/projects/2019final/GlynnV_2019.pdf</v>
      </c>
      <c r="K333" s="2" t="str" cm="1">
        <f t="array" ref="K333:O333">_xlfn.TAKE(TRIM(_xlfn.TEXTSPLIT(F333,{",",";"})),,5)</f>
        <v>Passerine and near passerine birds</v>
      </c>
      <c r="L333" s="2" t="str">
        <v>organic strawberry farms</v>
      </c>
      <c r="M333" s="2" t="str">
        <v>H:L ratio</v>
      </c>
      <c r="N333" s="2" t="str">
        <v>mixed-effects models</v>
      </c>
      <c r="O333" s="2" t="str">
        <v>ArcGIS</v>
      </c>
      <c r="P333" s="2" t="s">
        <v>9</v>
      </c>
      <c r="Q333" s="2" t="s">
        <v>10</v>
      </c>
    </row>
    <row r="334" spans="1:17" x14ac:dyDescent="0.35">
      <c r="A334" s="2" t="s">
        <v>5884</v>
      </c>
      <c r="B334" s="2" t="s">
        <v>1669</v>
      </c>
      <c r="C334" s="2" t="s">
        <v>1670</v>
      </c>
      <c r="D334" s="2">
        <v>2019</v>
      </c>
      <c r="E334" s="2" t="s">
        <v>1671</v>
      </c>
      <c r="F334" s="2" t="s">
        <v>1672</v>
      </c>
      <c r="G334" s="2" t="s">
        <v>1673</v>
      </c>
      <c r="H334" s="2" t="s">
        <v>1583</v>
      </c>
      <c r="I334" s="2" t="str" cm="1">
        <f t="array" ref="I334">H334 &amp; _xlfn.REGEXEXTRACT(G334,"^[^_]+_\d{4}") &amp; ".pdf"</f>
        <v>https://www.ocf.berkeley.edu/~pkmendez/envsci/projects/2019final/HaganB_2019.pdf</v>
      </c>
      <c r="J334" s="1" t="str">
        <f t="shared" si="5"/>
        <v>https://www.ocf.berkeley.edu/~pkmendez/envsci/projects/2019final/HaganB_2019.pdf</v>
      </c>
      <c r="K334" s="2" t="str" cm="1">
        <f t="array" ref="K334:O334">_xlfn.TAKE(TRIM(_xlfn.TEXTSPLIT(F334,{",",";"})),,5)</f>
        <v>Human wildlife conflict</v>
      </c>
      <c r="L334" s="2" t="str">
        <v>stakeholder analysis</v>
      </c>
      <c r="M334" s="2" t="str">
        <v>working landscape</v>
      </c>
      <c r="N334" s="2" t="str">
        <v>Marin county</v>
      </c>
      <c r="O334" s="2" t="str">
        <v>national seashore</v>
      </c>
      <c r="P334" s="2" t="s">
        <v>9</v>
      </c>
      <c r="Q334" s="2" t="s">
        <v>10</v>
      </c>
    </row>
    <row r="335" spans="1:17" x14ac:dyDescent="0.35">
      <c r="A335" s="2" t="s">
        <v>5884</v>
      </c>
      <c r="B335" s="2" t="s">
        <v>1674</v>
      </c>
      <c r="C335" s="2" t="s">
        <v>1675</v>
      </c>
      <c r="D335" s="2">
        <v>2019</v>
      </c>
      <c r="E335" s="2" t="s">
        <v>1676</v>
      </c>
      <c r="F335" s="2" t="s">
        <v>1677</v>
      </c>
      <c r="G335" s="2" t="s">
        <v>1678</v>
      </c>
      <c r="H335" s="2" t="s">
        <v>1583</v>
      </c>
      <c r="I335" s="2" t="str" cm="1">
        <f t="array" ref="I335">H335 &amp; _xlfn.REGEXEXTRACT(G335,"^[^_]+_\d{4}") &amp; ".pdf"</f>
        <v>https://www.ocf.berkeley.edu/~pkmendez/envsci/projects/2019final/HanafinM_2019.pdf</v>
      </c>
      <c r="J335" s="1" t="str">
        <f t="shared" si="5"/>
        <v>https://www.ocf.berkeley.edu/~pkmendez/envsci/projects/2019final/HanafinM_2019.pdf</v>
      </c>
      <c r="K335" s="2" t="str" cm="1">
        <f t="array" ref="K335:N335">_xlfn.TAKE(TRIM(_xlfn.TEXTSPLIT(F335,{",",";"})),,5)</f>
        <v>Ecosystem ecology</v>
      </c>
      <c r="L335" s="2" t="str">
        <v>forest management</v>
      </c>
      <c r="M335" s="2" t="str">
        <v>geospatial analysis</v>
      </c>
      <c r="N335" s="2" t="str">
        <v>predictor and response variables.</v>
      </c>
      <c r="P335" s="2" t="s">
        <v>9</v>
      </c>
      <c r="Q335" s="2" t="s">
        <v>10</v>
      </c>
    </row>
    <row r="336" spans="1:17" x14ac:dyDescent="0.35">
      <c r="A336" s="2" t="s">
        <v>5884</v>
      </c>
      <c r="B336" s="2" t="s">
        <v>1679</v>
      </c>
      <c r="C336" s="2" t="s">
        <v>1680</v>
      </c>
      <c r="D336" s="2">
        <v>2019</v>
      </c>
      <c r="E336" s="2" t="s">
        <v>1681</v>
      </c>
      <c r="F336" s="2" t="s">
        <v>1682</v>
      </c>
      <c r="G336" s="2" t="s">
        <v>1683</v>
      </c>
      <c r="H336" s="2" t="s">
        <v>1583</v>
      </c>
      <c r="I336" s="2" t="str" cm="1">
        <f t="array" ref="I336">H336 &amp; _xlfn.REGEXEXTRACT(G336,"^[^_]+_\d{4}") &amp; ".pdf"</f>
        <v>https://www.ocf.berkeley.edu/~pkmendez/envsci/projects/2019final/HoffmanN_2019.pdf</v>
      </c>
      <c r="J336" s="1" t="str">
        <f t="shared" si="5"/>
        <v>https://www.ocf.berkeley.edu/~pkmendez/envsci/projects/2019final/HoffmanN_2019.pdf</v>
      </c>
      <c r="K336" s="2" t="str" cm="1">
        <f t="array" ref="K336:O336">_xlfn.TAKE(TRIM(_xlfn.TEXTSPLIT(F336,{",",";"})),,5)</f>
        <v>chlorophyll a</v>
      </c>
      <c r="L336" s="2" t="str">
        <v>turbidity</v>
      </c>
      <c r="M336" s="2" t="str">
        <v>rainfall</v>
      </c>
      <c r="N336" s="2" t="str">
        <v>harmful algal blooms</v>
      </c>
      <c r="O336" s="2" t="str">
        <v>public health</v>
      </c>
      <c r="P336" s="2" t="s">
        <v>9</v>
      </c>
      <c r="Q336" s="2" t="s">
        <v>10</v>
      </c>
    </row>
    <row r="337" spans="1:17" x14ac:dyDescent="0.35">
      <c r="A337" s="2" t="s">
        <v>5884</v>
      </c>
      <c r="B337" s="2" t="s">
        <v>1684</v>
      </c>
      <c r="C337" s="2" t="s">
        <v>1685</v>
      </c>
      <c r="D337" s="2">
        <v>2019</v>
      </c>
      <c r="E337" s="2" t="s">
        <v>1686</v>
      </c>
      <c r="F337" s="2" t="s">
        <v>1687</v>
      </c>
      <c r="G337" s="2" t="s">
        <v>1688</v>
      </c>
      <c r="H337" s="2" t="s">
        <v>1583</v>
      </c>
      <c r="I337" s="2" t="str" cm="1">
        <f t="array" ref="I337">H337 &amp; _xlfn.REGEXEXTRACT(G337,"^[^_]+_\d{4}") &amp; ".pdf"</f>
        <v>https://www.ocf.berkeley.edu/~pkmendez/envsci/projects/2019final/KopaniaB_2019.pdf</v>
      </c>
      <c r="J337" s="1" t="str">
        <f t="shared" si="5"/>
        <v>https://www.ocf.berkeley.edu/~pkmendez/envsci/projects/2019final/KopaniaB_2019.pdf</v>
      </c>
      <c r="K337" s="2" t="str" cm="1">
        <f t="array" ref="K337:O337">_xlfn.TAKE(TRIM(_xlfn.TEXTSPLIT(F337,{",",";"})),,5)</f>
        <v>Laser scanning</v>
      </c>
      <c r="L337" s="2" t="str">
        <v>Allometric equations</v>
      </c>
      <c r="M337" s="2" t="str">
        <v>free and open source software</v>
      </c>
      <c r="N337" s="2" t="str">
        <v>forest inventory</v>
      </c>
      <c r="O337" s="2" t="str">
        <v>Eucalyptptus globulus</v>
      </c>
      <c r="P337" s="2" t="s">
        <v>9</v>
      </c>
      <c r="Q337" s="2" t="s">
        <v>10</v>
      </c>
    </row>
    <row r="338" spans="1:17" x14ac:dyDescent="0.35">
      <c r="A338" s="2" t="s">
        <v>5884</v>
      </c>
      <c r="B338" s="2" t="s">
        <v>1689</v>
      </c>
      <c r="C338" s="2" t="s">
        <v>1690</v>
      </c>
      <c r="D338" s="2">
        <v>2019</v>
      </c>
      <c r="E338" s="2" t="s">
        <v>1691</v>
      </c>
      <c r="F338" s="2" t="s">
        <v>1692</v>
      </c>
      <c r="G338" s="2" t="s">
        <v>1693</v>
      </c>
      <c r="H338" s="2" t="s">
        <v>1583</v>
      </c>
      <c r="I338" s="2" t="str" cm="1">
        <f t="array" ref="I338">H338 &amp; _xlfn.REGEXEXTRACT(G338,"^[^_]+_\d{4}") &amp; ".pdf"</f>
        <v>https://www.ocf.berkeley.edu/~pkmendez/envsci/projects/2019final/LeeD_2019.pdf</v>
      </c>
      <c r="J338" s="1" t="str">
        <f t="shared" si="5"/>
        <v>https://www.ocf.berkeley.edu/~pkmendez/envsci/projects/2019final/LeeD_2019.pdf</v>
      </c>
      <c r="K338" s="2" t="str" cm="1">
        <f t="array" ref="K338:O338">_xlfn.TAKE(TRIM(_xlfn.TEXTSPLIT(F338,{",",";"})),,5)</f>
        <v>green consumerism</v>
      </c>
      <c r="L338" s="2" t="str">
        <v>environmentalism</v>
      </c>
      <c r="M338" s="2" t="str">
        <v>organic ingredients</v>
      </c>
      <c r="N338" s="2" t="str">
        <v>anti-animal testing</v>
      </c>
      <c r="O338" s="2" t="str">
        <v>eco-packaging</v>
      </c>
      <c r="P338" s="2" t="s">
        <v>9</v>
      </c>
      <c r="Q338" s="2" t="s">
        <v>10</v>
      </c>
    </row>
    <row r="339" spans="1:17" x14ac:dyDescent="0.35">
      <c r="A339" s="2" t="s">
        <v>5884</v>
      </c>
      <c r="B339" s="2" t="s">
        <v>1694</v>
      </c>
      <c r="C339" s="2" t="s">
        <v>1695</v>
      </c>
      <c r="D339" s="2">
        <v>2019</v>
      </c>
      <c r="E339" s="2" t="s">
        <v>1696</v>
      </c>
      <c r="F339" s="2" t="s">
        <v>1697</v>
      </c>
      <c r="G339" s="2" t="s">
        <v>1698</v>
      </c>
      <c r="H339" s="2" t="s">
        <v>1583</v>
      </c>
      <c r="I339" s="2" t="str" cm="1">
        <f t="array" ref="I339">H339 &amp; _xlfn.REGEXEXTRACT(G339,"^[^_]+_\d{4}") &amp; ".pdf"</f>
        <v>https://www.ocf.berkeley.edu/~pkmendez/envsci/projects/2019final/LeongY_2019.pdf</v>
      </c>
      <c r="J339" s="1" t="str">
        <f t="shared" si="5"/>
        <v>https://www.ocf.berkeley.edu/~pkmendez/envsci/projects/2019final/LeongY_2019.pdf</v>
      </c>
      <c r="K339" s="2" t="str" cm="1">
        <f t="array" ref="K339:O339">_xlfn.TAKE(TRIM(_xlfn.TEXTSPLIT(F339,{",",";"})),,5)</f>
        <v>Benthic</v>
      </c>
      <c r="L339" s="2" t="str">
        <v>marine</v>
      </c>
      <c r="M339" s="2" t="str">
        <v>substrate</v>
      </c>
      <c r="N339" s="2" t="str">
        <v>captive breeding</v>
      </c>
      <c r="O339" s="2" t="str">
        <v>silt</v>
      </c>
      <c r="P339" s="2" t="s">
        <v>9</v>
      </c>
      <c r="Q339" s="2" t="s">
        <v>10</v>
      </c>
    </row>
    <row r="340" spans="1:17" x14ac:dyDescent="0.35">
      <c r="A340" s="2" t="s">
        <v>5884</v>
      </c>
      <c r="B340" s="2" t="s">
        <v>1699</v>
      </c>
      <c r="C340" s="2" t="s">
        <v>1700</v>
      </c>
      <c r="D340" s="2">
        <v>2019</v>
      </c>
      <c r="E340" s="2" t="s">
        <v>1701</v>
      </c>
      <c r="F340" s="2" t="s">
        <v>1702</v>
      </c>
      <c r="G340" s="2" t="s">
        <v>1703</v>
      </c>
      <c r="H340" s="2" t="s">
        <v>1583</v>
      </c>
      <c r="I340" s="2" t="str" cm="1">
        <f t="array" ref="I340">H340 &amp; _xlfn.REGEXEXTRACT(G340,"^[^_]+_\d{4}") &amp; ".pdf"</f>
        <v>https://www.ocf.berkeley.edu/~pkmendez/envsci/projects/2019final/LiG_2019.pdf</v>
      </c>
      <c r="J340" s="1" t="str">
        <f t="shared" si="5"/>
        <v>https://www.ocf.berkeley.edu/~pkmendez/envsci/projects/2019final/LiG_2019.pdf</v>
      </c>
      <c r="K340" s="2" t="str" cm="1">
        <f t="array" ref="K340:O340">_xlfn.TAKE(TRIM(_xlfn.TEXTSPLIT(F340,{",",";"})),,5)</f>
        <v>Geological Information System</v>
      </c>
      <c r="L340" s="2" t="str">
        <v>Analytical Hierarchy System</v>
      </c>
      <c r="M340" s="2" t="str">
        <v>Suitability Analysis</v>
      </c>
      <c r="N340" s="2" t="str">
        <v>Urban Agriculture</v>
      </c>
      <c r="O340" s="2" t="str">
        <v>Food Security</v>
      </c>
      <c r="P340" s="2" t="s">
        <v>9</v>
      </c>
      <c r="Q340" s="2" t="s">
        <v>10</v>
      </c>
    </row>
    <row r="341" spans="1:17" x14ac:dyDescent="0.35">
      <c r="A341" s="2" t="s">
        <v>5884</v>
      </c>
      <c r="B341" s="2" t="s">
        <v>1704</v>
      </c>
      <c r="C341" s="2" t="s">
        <v>1705</v>
      </c>
      <c r="D341" s="2">
        <v>2019</v>
      </c>
      <c r="E341" s="2" t="s">
        <v>1706</v>
      </c>
      <c r="F341" s="2" t="s">
        <v>1707</v>
      </c>
      <c r="G341" s="2" t="s">
        <v>1708</v>
      </c>
      <c r="H341" s="2" t="s">
        <v>1583</v>
      </c>
      <c r="I341" s="2" t="str" cm="1">
        <f t="array" ref="I341">H341 &amp; _xlfn.REGEXEXTRACT(G341,"^[^_]+_\d{4}") &amp; ".pdf"</f>
        <v>https://www.ocf.berkeley.edu/~pkmendez/envsci/projects/2019final/LiS_2019.pdf</v>
      </c>
      <c r="J341" s="1" t="str">
        <f t="shared" si="5"/>
        <v>https://www.ocf.berkeley.edu/~pkmendez/envsci/projects/2019final/LiS_2019.pdf</v>
      </c>
      <c r="K341" s="2" t="str" cm="1">
        <f t="array" ref="K341:O341">_xlfn.TAKE(TRIM(_xlfn.TEXTSPLIT(F341,{",",";"})),,5)</f>
        <v>Invasive species</v>
      </c>
      <c r="L341" s="2" t="str">
        <v>gut content metagenomics</v>
      </c>
      <c r="M341" s="2" t="str">
        <v>spider diet composition</v>
      </c>
      <c r="N341" s="2" t="str">
        <v>parasite</v>
      </c>
      <c r="O341" s="2" t="str">
        <v>tropical conservation biology</v>
      </c>
      <c r="P341" s="2" t="s">
        <v>9</v>
      </c>
      <c r="Q341" s="2" t="s">
        <v>10</v>
      </c>
    </row>
    <row r="342" spans="1:17" x14ac:dyDescent="0.35">
      <c r="A342" s="2" t="s">
        <v>5884</v>
      </c>
      <c r="B342" s="2" t="s">
        <v>1709</v>
      </c>
      <c r="C342" s="2" t="s">
        <v>1710</v>
      </c>
      <c r="D342" s="2">
        <v>2019</v>
      </c>
      <c r="E342" s="2" t="s">
        <v>1711</v>
      </c>
      <c r="F342" s="2" t="s">
        <v>1712</v>
      </c>
      <c r="G342" s="2" t="s">
        <v>1713</v>
      </c>
      <c r="H342" s="2" t="s">
        <v>1583</v>
      </c>
      <c r="I342" s="2" t="str" cm="1">
        <f t="array" ref="I342">H342 &amp; _xlfn.REGEXEXTRACT(G342,"^[^_]+_\d{4}") &amp; ".pdf"</f>
        <v>https://www.ocf.berkeley.edu/~pkmendez/envsci/projects/2019final/LuL_2019.pdf</v>
      </c>
      <c r="J342" s="1" t="str">
        <f t="shared" si="5"/>
        <v>https://www.ocf.berkeley.edu/~pkmendez/envsci/projects/2019final/LuL_2019.pdf</v>
      </c>
      <c r="K342" s="2" t="str" cm="1">
        <f t="array" ref="K342:O342">_xlfn.TAKE(TRIM(_xlfn.TEXTSPLIT(F342,{",",";"})),,5)</f>
        <v>vegetation index</v>
      </c>
      <c r="L342" s="2" t="str">
        <v>alfalfa</v>
      </c>
      <c r="M342" s="2" t="str">
        <v>corn</v>
      </c>
      <c r="N342" s="2" t="str">
        <v>saturation</v>
      </c>
      <c r="O342" s="2" t="str">
        <v>GPP</v>
      </c>
      <c r="P342" s="2" t="s">
        <v>9</v>
      </c>
      <c r="Q342" s="2" t="s">
        <v>10</v>
      </c>
    </row>
    <row r="343" spans="1:17" x14ac:dyDescent="0.35">
      <c r="A343" s="2" t="s">
        <v>5884</v>
      </c>
      <c r="B343" s="2" t="s">
        <v>1714</v>
      </c>
      <c r="C343" s="2" t="s">
        <v>1715</v>
      </c>
      <c r="D343" s="2">
        <v>2019</v>
      </c>
      <c r="E343" s="2" t="s">
        <v>1716</v>
      </c>
      <c r="F343" s="2" t="s">
        <v>1717</v>
      </c>
      <c r="G343" s="2" t="s">
        <v>1718</v>
      </c>
      <c r="H343" s="2" t="s">
        <v>1583</v>
      </c>
      <c r="I343" s="2" t="str" cm="1">
        <f t="array" ref="I343">H343 &amp; _xlfn.REGEXEXTRACT(G343,"^[^_]+_\d{4}") &amp; ".pdf"</f>
        <v>https://www.ocf.berkeley.edu/~pkmendez/envsci/projects/2019final/LyC_2019.pdf</v>
      </c>
      <c r="J343" s="1" t="str">
        <f t="shared" si="5"/>
        <v>https://www.ocf.berkeley.edu/~pkmendez/envsci/projects/2019final/LyC_2019.pdf</v>
      </c>
      <c r="K343" s="2" t="str" cm="1">
        <f t="array" ref="K343:O343">_xlfn.TAKE(TRIM(_xlfn.TEXTSPLIT(F343,{",",";"})),,5)</f>
        <v>pot trial</v>
      </c>
      <c r="L343" s="2" t="str">
        <v>sem</v>
      </c>
      <c r="M343" s="2" t="str">
        <v>eds</v>
      </c>
      <c r="N343" s="2" t="str">
        <v>molasses</v>
      </c>
      <c r="O343" s="2" t="str">
        <v>tomato</v>
      </c>
      <c r="P343" s="2" t="s">
        <v>9</v>
      </c>
      <c r="Q343" s="2" t="s">
        <v>10</v>
      </c>
    </row>
    <row r="344" spans="1:17" x14ac:dyDescent="0.35">
      <c r="A344" s="2" t="s">
        <v>5884</v>
      </c>
      <c r="B344" s="2" t="s">
        <v>1719</v>
      </c>
      <c r="C344" s="2" t="s">
        <v>1720</v>
      </c>
      <c r="D344" s="2">
        <v>2019</v>
      </c>
      <c r="E344" s="2" t="s">
        <v>1721</v>
      </c>
      <c r="F344" s="2" t="s">
        <v>1722</v>
      </c>
      <c r="G344" s="2" t="s">
        <v>1723</v>
      </c>
      <c r="H344" s="2" t="s">
        <v>1583</v>
      </c>
      <c r="I344" s="2" t="str" cm="1">
        <f t="array" ref="I344">H344 &amp; _xlfn.REGEXEXTRACT(G344,"^[^_]+_\d{4}") &amp; ".pdf"</f>
        <v>https://www.ocf.berkeley.edu/~pkmendez/envsci/projects/2019final/MahmudF_2019.pdf</v>
      </c>
      <c r="J344" s="1" t="str">
        <f t="shared" si="5"/>
        <v>https://www.ocf.berkeley.edu/~pkmendez/envsci/projects/2019final/MahmudF_2019.pdf</v>
      </c>
      <c r="K344" s="2" t="str" cm="1">
        <f t="array" ref="K344:O344">_xlfn.TAKE(TRIM(_xlfn.TEXTSPLIT(F344,{",",";"})),,5)</f>
        <v>Oxygen flux</v>
      </c>
      <c r="L344" s="2" t="str">
        <v>Dissolved Inorganic Carbon (DIC) flux</v>
      </c>
      <c r="M344" s="2" t="str">
        <v>benthic incubation chambers</v>
      </c>
      <c r="N344" s="2" t="str">
        <v>Net Primary Productivity (NPP)</v>
      </c>
      <c r="O344" s="2" t="str">
        <v>Gross Primary productivity (GPP)</v>
      </c>
      <c r="P344" s="2" t="s">
        <v>9</v>
      </c>
      <c r="Q344" s="2" t="s">
        <v>10</v>
      </c>
    </row>
    <row r="345" spans="1:17" x14ac:dyDescent="0.35">
      <c r="A345" s="2" t="s">
        <v>5884</v>
      </c>
      <c r="B345" s="2" t="s">
        <v>1724</v>
      </c>
      <c r="C345" s="2" t="s">
        <v>1725</v>
      </c>
      <c r="D345" s="2">
        <v>2019</v>
      </c>
      <c r="E345" s="2" t="s">
        <v>1726</v>
      </c>
      <c r="F345" s="2" t="s">
        <v>1727</v>
      </c>
      <c r="G345" s="2" t="s">
        <v>1728</v>
      </c>
      <c r="H345" s="2" t="s">
        <v>1583</v>
      </c>
      <c r="I345" s="2" t="str" cm="1">
        <f t="array" ref="I345">H345 &amp; _xlfn.REGEXEXTRACT(G345,"^[^_]+_\d{4}") &amp; ".pdf"</f>
        <v>https://www.ocf.berkeley.edu/~pkmendez/envsci/projects/2019final/MarshH_2019.pdf</v>
      </c>
      <c r="J345" s="1" t="str">
        <f t="shared" si="5"/>
        <v>https://www.ocf.berkeley.edu/~pkmendez/envsci/projects/2019final/MarshH_2019.pdf</v>
      </c>
      <c r="K345" s="2" t="str" cm="1">
        <f t="array" ref="K345:O345">_xlfn.TAKE(TRIM(_xlfn.TEXTSPLIT(F345,{",",";"})),,5)</f>
        <v>California grasslands</v>
      </c>
      <c r="L345" s="2" t="str">
        <v>carbon sequestration</v>
      </c>
      <c r="M345" s="2" t="str">
        <v>DayCent modeling</v>
      </c>
      <c r="N345" s="2" t="str">
        <v>Greenhouse gas emissions</v>
      </c>
      <c r="O345" s="2" t="str">
        <v>soil respiration</v>
      </c>
      <c r="P345" s="2" t="s">
        <v>9</v>
      </c>
      <c r="Q345" s="2" t="s">
        <v>10</v>
      </c>
    </row>
    <row r="346" spans="1:17" x14ac:dyDescent="0.35">
      <c r="A346" s="2" t="s">
        <v>5884</v>
      </c>
      <c r="B346" s="2" t="s">
        <v>1729</v>
      </c>
      <c r="C346" s="2" t="s">
        <v>1730</v>
      </c>
      <c r="D346" s="2">
        <v>2019</v>
      </c>
      <c r="E346" s="2" t="s">
        <v>1731</v>
      </c>
      <c r="F346" s="2" t="s">
        <v>1732</v>
      </c>
      <c r="G346" s="2" t="s">
        <v>1733</v>
      </c>
      <c r="H346" s="2" t="s">
        <v>1583</v>
      </c>
      <c r="I346" s="2" t="str" cm="1">
        <f t="array" ref="I346">H346 &amp; _xlfn.REGEXEXTRACT(G346,"^[^_]+_\d{4}") &amp; ".pdf"</f>
        <v>https://www.ocf.berkeley.edu/~pkmendez/envsci/projects/2019final/McElveinA_2019.pdf</v>
      </c>
      <c r="J346" s="1" t="str">
        <f t="shared" si="5"/>
        <v>https://www.ocf.berkeley.edu/~pkmendez/envsci/projects/2019final/McElveinA_2019.pdf</v>
      </c>
      <c r="K346" s="2" t="str" cm="1">
        <f t="array" ref="K346:O346">_xlfn.TAKE(TRIM(_xlfn.TEXTSPLIT(F346,{",",";"})),,5)</f>
        <v>Climate change</v>
      </c>
      <c r="L346" s="2" t="str">
        <v>carbon lability</v>
      </c>
      <c r="M346" s="2" t="str">
        <v>microbial emissions</v>
      </c>
      <c r="N346" s="2" t="str">
        <v>remote sensing</v>
      </c>
      <c r="O346" s="2" t="str">
        <v>classification algorithm</v>
      </c>
      <c r="P346" s="2" t="s">
        <v>9</v>
      </c>
      <c r="Q346" s="2" t="s">
        <v>10</v>
      </c>
    </row>
    <row r="347" spans="1:17" x14ac:dyDescent="0.35">
      <c r="A347" s="2" t="s">
        <v>5884</v>
      </c>
      <c r="B347" s="2" t="s">
        <v>1734</v>
      </c>
      <c r="C347" s="2" t="s">
        <v>1735</v>
      </c>
      <c r="D347" s="2">
        <v>2019</v>
      </c>
      <c r="E347" s="2" t="s">
        <v>1736</v>
      </c>
      <c r="F347" s="2" t="s">
        <v>1737</v>
      </c>
      <c r="G347" s="2" t="s">
        <v>1738</v>
      </c>
      <c r="H347" s="2" t="s">
        <v>1583</v>
      </c>
      <c r="I347" s="2" t="str" cm="1">
        <f t="array" ref="I347">H347 &amp; _xlfn.REGEXEXTRACT(G347,"^[^_]+_\d{4}") &amp; ".pdf"</f>
        <v>https://www.ocf.berkeley.edu/~pkmendez/envsci/projects/2019final/MenonN_2019.pdf</v>
      </c>
      <c r="J347" s="1" t="str">
        <f t="shared" si="5"/>
        <v>https://www.ocf.berkeley.edu/~pkmendez/envsci/projects/2019final/MenonN_2019.pdf</v>
      </c>
      <c r="K347" s="2" t="str" cm="1">
        <f t="array" ref="K347:O347">_xlfn.TAKE(TRIM(_xlfn.TEXTSPLIT(F347,{",",";"})),,5)</f>
        <v>Uttar Pradesh</v>
      </c>
      <c r="L347" s="2" t="str">
        <v>Food Consumption</v>
      </c>
      <c r="M347" s="2" t="str">
        <v>Food Expenditure</v>
      </c>
      <c r="N347" s="2" t="str">
        <v>Nutritional Adequacy Ratio</v>
      </c>
      <c r="O347" s="2" t="str">
        <v>Difference-in-Difference Estimation</v>
      </c>
      <c r="P347" s="2" t="s">
        <v>9</v>
      </c>
      <c r="Q347" s="2" t="s">
        <v>10</v>
      </c>
    </row>
    <row r="348" spans="1:17" x14ac:dyDescent="0.35">
      <c r="A348" s="2" t="s">
        <v>5884</v>
      </c>
      <c r="B348" s="2" t="s">
        <v>1739</v>
      </c>
      <c r="C348" s="2" t="s">
        <v>1740</v>
      </c>
      <c r="D348" s="2">
        <v>2019</v>
      </c>
      <c r="E348" s="2" t="s">
        <v>1741</v>
      </c>
      <c r="F348" s="2" t="s">
        <v>1742</v>
      </c>
      <c r="G348" s="2" t="s">
        <v>1743</v>
      </c>
      <c r="H348" s="2" t="s">
        <v>1583</v>
      </c>
      <c r="I348" s="2" t="str" cm="1">
        <f t="array" ref="I348">H348 &amp; _xlfn.REGEXEXTRACT(G348,"^[^_]+_\d{4}") &amp; ".pdf"</f>
        <v>https://www.ocf.berkeley.edu/~pkmendez/envsci/projects/2019final/MohanN_2019.pdf</v>
      </c>
      <c r="J348" s="1" t="str">
        <f t="shared" si="5"/>
        <v>https://www.ocf.berkeley.edu/~pkmendez/envsci/projects/2019final/MohanN_2019.pdf</v>
      </c>
      <c r="K348" s="2" t="str" cm="1">
        <f t="array" ref="K348:O348">_xlfn.TAKE(TRIM(_xlfn.TEXTSPLIT(F348,{",",";"})),,5)</f>
        <v>Geospatial</v>
      </c>
      <c r="L348" s="2" t="str">
        <v>neoliberalism</v>
      </c>
      <c r="M348" s="2" t="str">
        <v>globalization</v>
      </c>
      <c r="N348" s="2" t="str">
        <v>climate change</v>
      </c>
      <c r="O348" s="2" t="str">
        <v>land rights</v>
      </c>
      <c r="P348" s="2" t="s">
        <v>9</v>
      </c>
      <c r="Q348" s="2" t="s">
        <v>10</v>
      </c>
    </row>
    <row r="349" spans="1:17" x14ac:dyDescent="0.35">
      <c r="A349" s="2" t="s">
        <v>5884</v>
      </c>
      <c r="B349" s="2" t="s">
        <v>1744</v>
      </c>
      <c r="C349" s="2" t="s">
        <v>1745</v>
      </c>
      <c r="D349" s="2">
        <v>2019</v>
      </c>
      <c r="E349" s="2" t="s">
        <v>1746</v>
      </c>
      <c r="F349" s="2" t="s">
        <v>1747</v>
      </c>
      <c r="G349" s="2" t="s">
        <v>1748</v>
      </c>
      <c r="H349" s="2" t="s">
        <v>1583</v>
      </c>
      <c r="I349" s="2" t="str" cm="1">
        <f t="array" ref="I349">H349 &amp; _xlfn.REGEXEXTRACT(G349,"^[^_]+_\d{4}") &amp; ".pdf"</f>
        <v>https://www.ocf.berkeley.edu/~pkmendez/envsci/projects/2019final/MurphyE_2019.pdf</v>
      </c>
      <c r="J349" s="1" t="str">
        <f t="shared" si="5"/>
        <v>https://www.ocf.berkeley.edu/~pkmendez/envsci/projects/2019final/MurphyE_2019.pdf</v>
      </c>
      <c r="K349" s="2" t="str" cm="1">
        <f t="array" ref="K349:O349">_xlfn.TAKE(TRIM(_xlfn.TEXTSPLIT(F349,{",",";"})),,5)</f>
        <v>Microbial biomass</v>
      </c>
      <c r="L349" s="2" t="str">
        <v>crop yields</v>
      </c>
      <c r="M349" s="2" t="str">
        <v>long-term study</v>
      </c>
      <c r="N349" s="2" t="str">
        <v>fertilizer regime</v>
      </c>
      <c r="O349" s="2" t="str">
        <v>soil quality</v>
      </c>
      <c r="P349" s="2" t="s">
        <v>9</v>
      </c>
      <c r="Q349" s="2" t="s">
        <v>10</v>
      </c>
    </row>
    <row r="350" spans="1:17" x14ac:dyDescent="0.35">
      <c r="A350" s="2" t="s">
        <v>5884</v>
      </c>
      <c r="B350" s="2" t="s">
        <v>1749</v>
      </c>
      <c r="C350" s="2" t="s">
        <v>1750</v>
      </c>
      <c r="D350" s="2">
        <v>2019</v>
      </c>
      <c r="E350" s="2" t="s">
        <v>1751</v>
      </c>
      <c r="F350" s="2" t="s">
        <v>1752</v>
      </c>
      <c r="G350" s="2" t="s">
        <v>1753</v>
      </c>
      <c r="H350" s="2" t="s">
        <v>1583</v>
      </c>
      <c r="I350" s="2" t="str" cm="1">
        <f t="array" ref="I350">H350 &amp; _xlfn.REGEXEXTRACT(G350,"^[^_]+_\d{4}") &amp; ".pdf"</f>
        <v>https://www.ocf.berkeley.edu/~pkmendez/envsci/projects/2019final/NayarC_2019.pdf</v>
      </c>
      <c r="J350" s="1" t="str">
        <f t="shared" si="5"/>
        <v>https://www.ocf.berkeley.edu/~pkmendez/envsci/projects/2019final/NayarC_2019.pdf</v>
      </c>
      <c r="K350" s="2" t="str" cm="1">
        <f t="array" ref="K350:O350">_xlfn.TAKE(TRIM(_xlfn.TEXTSPLIT(F350,{",",";"})),,5)</f>
        <v>chytridiomycosis</v>
      </c>
      <c r="L350" s="2" t="str">
        <v>disease ecology</v>
      </c>
      <c r="M350" s="2" t="str">
        <v>invasive species</v>
      </c>
      <c r="N350" s="2" t="str">
        <v>amphibians</v>
      </c>
      <c r="O350" s="2" t="str">
        <v>emerging infectious diseases</v>
      </c>
      <c r="P350" s="2" t="s">
        <v>9</v>
      </c>
      <c r="Q350" s="2" t="s">
        <v>10</v>
      </c>
    </row>
    <row r="351" spans="1:17" x14ac:dyDescent="0.35">
      <c r="A351" s="2" t="s">
        <v>5884</v>
      </c>
      <c r="B351" s="2" t="s">
        <v>1754</v>
      </c>
      <c r="C351" s="2" t="s">
        <v>1755</v>
      </c>
      <c r="D351" s="2">
        <v>2019</v>
      </c>
      <c r="E351" s="2" t="s">
        <v>1756</v>
      </c>
      <c r="F351" s="2" t="s">
        <v>1757</v>
      </c>
      <c r="G351" s="2" t="s">
        <v>1758</v>
      </c>
      <c r="H351" s="2" t="s">
        <v>1583</v>
      </c>
      <c r="I351" s="2" t="str" cm="1">
        <f t="array" ref="I351">H351 &amp; _xlfn.REGEXEXTRACT(G351,"^[^_]+_\d{4}") &amp; ".pdf"</f>
        <v>https://www.ocf.berkeley.edu/~pkmendez/envsci/projects/2019final/NiranjanK_2019.pdf</v>
      </c>
      <c r="J351" s="1" t="str">
        <f t="shared" si="5"/>
        <v>https://www.ocf.berkeley.edu/~pkmendez/envsci/projects/2019final/NiranjanK_2019.pdf</v>
      </c>
      <c r="K351" s="2" t="str" cm="1">
        <f t="array" ref="K351:O351">_xlfn.TAKE(TRIM(_xlfn.TEXTSPLIT(F351,{",",";"})),,5)</f>
        <v>native bee conservation</v>
      </c>
      <c r="L351" s="2" t="str">
        <v>geospatial modeling</v>
      </c>
      <c r="M351" s="2" t="str">
        <v>landuse change</v>
      </c>
      <c r="N351" s="2" t="str">
        <v>life history</v>
      </c>
      <c r="O351" s="2" t="str">
        <v>flight distance</v>
      </c>
      <c r="P351" s="2" t="s">
        <v>9</v>
      </c>
      <c r="Q351" s="2" t="s">
        <v>10</v>
      </c>
    </row>
    <row r="352" spans="1:17" x14ac:dyDescent="0.35">
      <c r="A352" s="2" t="s">
        <v>5884</v>
      </c>
      <c r="B352" s="2" t="s">
        <v>1759</v>
      </c>
      <c r="C352" s="2" t="s">
        <v>1760</v>
      </c>
      <c r="D352" s="2">
        <v>2019</v>
      </c>
      <c r="E352" s="2" t="s">
        <v>1761</v>
      </c>
      <c r="F352" s="2" t="s">
        <v>1762</v>
      </c>
      <c r="G352" s="2" t="s">
        <v>1763</v>
      </c>
      <c r="H352" s="2" t="s">
        <v>1583</v>
      </c>
      <c r="I352" s="2" t="str" cm="1">
        <f t="array" ref="I352">H352 &amp; _xlfn.REGEXEXTRACT(G352,"^[^_]+_\d{4}") &amp; ".pdf"</f>
        <v>https://www.ocf.berkeley.edu/~pkmendez/envsci/projects/2019final/ONeilS_2019.pdf</v>
      </c>
      <c r="J352" s="1" t="str">
        <f t="shared" si="5"/>
        <v>https://www.ocf.berkeley.edu/~pkmendez/envsci/projects/2019final/ONeilS_2019.pdf</v>
      </c>
      <c r="K352" s="2" t="str" cm="1">
        <f t="array" ref="K352:N352">_xlfn.TAKE(TRIM(_xlfn.TEXTSPLIT(F352,{",",";"})),,5)</f>
        <v>Lithobates catesbeianus</v>
      </c>
      <c r="L352" s="2" t="str">
        <v>Batrachochytrium dendrobatidis</v>
      </c>
      <c r="M352" s="2" t="str">
        <v>Invasive Species</v>
      </c>
      <c r="N352" s="2" t="str">
        <v>Disease Ecology</v>
      </c>
      <c r="P352" s="2" t="s">
        <v>9</v>
      </c>
      <c r="Q352" s="2" t="s">
        <v>10</v>
      </c>
    </row>
    <row r="353" spans="1:17" x14ac:dyDescent="0.35">
      <c r="A353" s="2" t="s">
        <v>5884</v>
      </c>
      <c r="B353" s="2" t="s">
        <v>1764</v>
      </c>
      <c r="C353" s="2" t="s">
        <v>1765</v>
      </c>
      <c r="D353" s="2">
        <v>2019</v>
      </c>
      <c r="E353" s="2" t="s">
        <v>1766</v>
      </c>
      <c r="F353" s="2" t="s">
        <v>1767</v>
      </c>
      <c r="G353" s="2" t="s">
        <v>1768</v>
      </c>
      <c r="H353" s="2" t="s">
        <v>1583</v>
      </c>
      <c r="I353" s="2" t="str" cm="1">
        <f t="array" ref="I353">H353 &amp; _xlfn.REGEXEXTRACT(G353,"^[^_]+_\d{4}") &amp; ".pdf"</f>
        <v>https://www.ocf.berkeley.edu/~pkmendez/envsci/projects/2019final/OrnerC_2019.pdf</v>
      </c>
      <c r="J353" s="1" t="str">
        <f t="shared" si="5"/>
        <v>https://www.ocf.berkeley.edu/~pkmendez/envsci/projects/2019final/OrnerC_2019.pdf</v>
      </c>
      <c r="K353" s="2" t="str" cm="1">
        <f t="array" ref="K353:O353">_xlfn.TAKE(TRIM(_xlfn.TEXTSPLIT(F353,{",",";"})),,5)</f>
        <v>annual grasslands</v>
      </c>
      <c r="L353" s="2" t="str">
        <v>riparian vegetation</v>
      </c>
      <c r="M353" s="2" t="str">
        <v>remote sensing</v>
      </c>
      <c r="N353" s="2" t="str">
        <v>vegetation classification</v>
      </c>
      <c r="O353" s="2" t="str">
        <v>multi-year occupancy modeling</v>
      </c>
      <c r="P353" s="2" t="s">
        <v>9</v>
      </c>
      <c r="Q353" s="2" t="s">
        <v>10</v>
      </c>
    </row>
    <row r="354" spans="1:17" x14ac:dyDescent="0.35">
      <c r="A354" s="2" t="s">
        <v>5884</v>
      </c>
      <c r="B354" s="2" t="s">
        <v>1769</v>
      </c>
      <c r="C354" s="2" t="s">
        <v>1770</v>
      </c>
      <c r="D354" s="2">
        <v>2019</v>
      </c>
      <c r="E354" s="2" t="s">
        <v>1771</v>
      </c>
      <c r="F354" s="2" t="s">
        <v>1772</v>
      </c>
      <c r="G354" s="2" t="s">
        <v>1773</v>
      </c>
      <c r="H354" s="2" t="s">
        <v>1583</v>
      </c>
      <c r="I354" s="2" t="str" cm="1">
        <f t="array" ref="I354">H354 &amp; _xlfn.REGEXEXTRACT(G354,"^[^_]+_\d{4}") &amp; ".pdf"</f>
        <v>https://www.ocf.berkeley.edu/~pkmendez/envsci/projects/2019final/RuslimC_2019.pdf</v>
      </c>
      <c r="J354" s="1" t="str">
        <f t="shared" si="5"/>
        <v>https://www.ocf.berkeley.edu/~pkmendez/envsci/projects/2019final/RuslimC_2019.pdf</v>
      </c>
      <c r="K354" s="2" t="str" cm="1">
        <f t="array" ref="K354:O354">_xlfn.TAKE(TRIM(_xlfn.TEXTSPLIT(F354,{",",";"})),,5)</f>
        <v>geospatial analysis</v>
      </c>
      <c r="L354" s="2" t="str">
        <v>evolutionary ecology</v>
      </c>
      <c r="M354" s="2" t="str">
        <v>arthropods</v>
      </c>
      <c r="N354" s="2" t="str">
        <v>island dynamics</v>
      </c>
      <c r="O354" s="2" t="str">
        <v>land cover classification</v>
      </c>
      <c r="P354" s="2" t="s">
        <v>9</v>
      </c>
      <c r="Q354" s="2" t="s">
        <v>10</v>
      </c>
    </row>
    <row r="355" spans="1:17" x14ac:dyDescent="0.35">
      <c r="A355" s="2" t="s">
        <v>5884</v>
      </c>
      <c r="B355" s="2" t="s">
        <v>1774</v>
      </c>
      <c r="C355" s="2" t="s">
        <v>1775</v>
      </c>
      <c r="D355" s="2">
        <v>2019</v>
      </c>
      <c r="E355" s="2" t="s">
        <v>1776</v>
      </c>
      <c r="F355" s="2" t="s">
        <v>1777</v>
      </c>
      <c r="G355" s="2" t="s">
        <v>1778</v>
      </c>
      <c r="H355" s="2" t="s">
        <v>1583</v>
      </c>
      <c r="I355" s="2" t="str" cm="1">
        <f t="array" ref="I355">H355 &amp; _xlfn.REGEXEXTRACT(G355,"^[^_]+_\d{4}") &amp; ".pdf"</f>
        <v>https://www.ocf.berkeley.edu/~pkmendez/envsci/projects/2019final/SadowskiA_2019.pdf</v>
      </c>
      <c r="J355" s="1" t="str">
        <f t="shared" si="5"/>
        <v>https://www.ocf.berkeley.edu/~pkmendez/envsci/projects/2019final/SadowskiA_2019.pdf</v>
      </c>
      <c r="K355" s="2" t="str" cm="1">
        <f t="array" ref="K355:O355">_xlfn.TAKE(TRIM(_xlfn.TEXTSPLIT(F355,{",",";"})),,5)</f>
        <v>forest regeneration</v>
      </c>
      <c r="L355" s="2" t="str">
        <v>canopy opening</v>
      </c>
      <c r="M355" s="2" t="str">
        <v>litter deposition</v>
      </c>
      <c r="N355" s="2" t="str">
        <v>microbial decomposition</v>
      </c>
      <c r="O355" s="2" t="str">
        <v>mineralization</v>
      </c>
      <c r="P355" s="2" t="s">
        <v>9</v>
      </c>
      <c r="Q355" s="2" t="s">
        <v>10</v>
      </c>
    </row>
    <row r="356" spans="1:17" x14ac:dyDescent="0.35">
      <c r="A356" s="2" t="s">
        <v>5884</v>
      </c>
      <c r="B356" s="2" t="s">
        <v>1779</v>
      </c>
      <c r="C356" s="2" t="s">
        <v>1780</v>
      </c>
      <c r="D356" s="2">
        <v>2019</v>
      </c>
      <c r="E356" s="2" t="s">
        <v>1781</v>
      </c>
      <c r="F356" s="2" t="s">
        <v>1782</v>
      </c>
      <c r="G356" s="2" t="s">
        <v>1783</v>
      </c>
      <c r="H356" s="2" t="s">
        <v>1583</v>
      </c>
      <c r="I356" s="2" t="str" cm="1">
        <f t="array" ref="I356">H356 &amp; _xlfn.REGEXEXTRACT(G356,"^[^_]+_\d{4}") &amp; ".pdf"</f>
        <v>https://www.ocf.berkeley.edu/~pkmendez/envsci/projects/2019final/SagnS_2019.pdf</v>
      </c>
      <c r="J356" s="1" t="str">
        <f t="shared" si="5"/>
        <v>https://www.ocf.berkeley.edu/~pkmendez/envsci/projects/2019final/SagnS_2019.pdf</v>
      </c>
      <c r="K356" s="2" t="str" cm="1">
        <f t="array" ref="K356:O356">_xlfn.TAKE(TRIM(_xlfn.TEXTSPLIT(F356,{",",";"})),,5)</f>
        <v>Gardening</v>
      </c>
      <c r="L356" s="2" t="str">
        <v>Khmer Rouge</v>
      </c>
      <c r="M356" s="2" t="str">
        <v>mental health</v>
      </c>
      <c r="N356" s="2" t="str">
        <v>environmental health</v>
      </c>
      <c r="O356" s="2" t="str">
        <v>refugees</v>
      </c>
      <c r="P356" s="2" t="s">
        <v>9</v>
      </c>
      <c r="Q356" s="2" t="s">
        <v>10</v>
      </c>
    </row>
    <row r="357" spans="1:17" x14ac:dyDescent="0.35">
      <c r="A357" s="2" t="s">
        <v>5884</v>
      </c>
      <c r="B357" s="2" t="s">
        <v>1784</v>
      </c>
      <c r="C357" s="2" t="s">
        <v>1785</v>
      </c>
      <c r="D357" s="2">
        <v>2019</v>
      </c>
      <c r="E357" s="2" t="s">
        <v>1786</v>
      </c>
      <c r="F357" s="2" t="s">
        <v>1787</v>
      </c>
      <c r="G357" s="2" t="s">
        <v>1788</v>
      </c>
      <c r="H357" s="2" t="s">
        <v>1583</v>
      </c>
      <c r="I357" s="2" t="str" cm="1">
        <f t="array" ref="I357">H357 &amp; _xlfn.REGEXEXTRACT(G357,"^[^_]+_\d{4}") &amp; ".pdf"</f>
        <v>https://www.ocf.berkeley.edu/~pkmendez/envsci/projects/2019final/SerafinG_2019.pdf</v>
      </c>
      <c r="J357" s="1" t="str">
        <f t="shared" si="5"/>
        <v>https://www.ocf.berkeley.edu/~pkmendez/envsci/projects/2019final/SerafinG_2019.pdf</v>
      </c>
      <c r="K357" s="2" t="str" cm="1">
        <f t="array" ref="K357:O357">_xlfn.TAKE(TRIM(_xlfn.TEXTSPLIT(F357,{",",";"})),,5)</f>
        <v>city planning</v>
      </c>
      <c r="L357" s="2" t="str">
        <v>Ontario California</v>
      </c>
      <c r="M357" s="2" t="str">
        <v>community voice</v>
      </c>
      <c r="N357" s="2" t="str">
        <v>power structures</v>
      </c>
      <c r="O357" s="2" t="str">
        <v>organizing</v>
      </c>
      <c r="P357" s="2" t="s">
        <v>9</v>
      </c>
      <c r="Q357" s="2" t="s">
        <v>10</v>
      </c>
    </row>
    <row r="358" spans="1:17" x14ac:dyDescent="0.35">
      <c r="A358" s="2" t="s">
        <v>5884</v>
      </c>
      <c r="B358" s="2" t="s">
        <v>1789</v>
      </c>
      <c r="C358" s="2" t="s">
        <v>1790</v>
      </c>
      <c r="D358" s="2">
        <v>2019</v>
      </c>
      <c r="E358" s="2" t="s">
        <v>1791</v>
      </c>
      <c r="F358" s="2" t="s">
        <v>1792</v>
      </c>
      <c r="G358" s="2" t="s">
        <v>1793</v>
      </c>
      <c r="H358" s="2" t="s">
        <v>1583</v>
      </c>
      <c r="I358" s="2" t="str" cm="1">
        <f t="array" ref="I358">H358 &amp; _xlfn.REGEXEXTRACT(G358,"^[^_]+_\d{4}") &amp; ".pdf"</f>
        <v>https://www.ocf.berkeley.edu/~pkmendez/envsci/projects/2019final/ShiuR_2019.pdf</v>
      </c>
      <c r="J358" s="1" t="str">
        <f t="shared" si="5"/>
        <v>https://www.ocf.berkeley.edu/~pkmendez/envsci/projects/2019final/ShiuR_2019.pdf</v>
      </c>
      <c r="K358" s="2" t="str" cm="1">
        <f t="array" ref="K358:O358">_xlfn.TAKE(TRIM(_xlfn.TEXTSPLIT(F358,{",",";"})),,5)</f>
        <v>Bike-share programs</v>
      </c>
      <c r="L358" s="2" t="str">
        <v>city planning</v>
      </c>
      <c r="M358" s="2" t="str">
        <v>environmental values</v>
      </c>
      <c r="N358" s="2" t="str">
        <v>Likert scale survey analysis</v>
      </c>
      <c r="O358" s="2" t="str">
        <v>active transportation</v>
      </c>
      <c r="P358" s="2" t="s">
        <v>9</v>
      </c>
      <c r="Q358" s="2" t="s">
        <v>10</v>
      </c>
    </row>
    <row r="359" spans="1:17" x14ac:dyDescent="0.35">
      <c r="A359" s="2" t="s">
        <v>5884</v>
      </c>
      <c r="B359" s="2" t="s">
        <v>1794</v>
      </c>
      <c r="C359" s="2" t="s">
        <v>1795</v>
      </c>
      <c r="D359" s="2">
        <v>2019</v>
      </c>
      <c r="E359" s="2" t="s">
        <v>1796</v>
      </c>
      <c r="F359" s="2" t="s">
        <v>1797</v>
      </c>
      <c r="G359" s="2" t="s">
        <v>1798</v>
      </c>
      <c r="H359" s="2" t="s">
        <v>1583</v>
      </c>
      <c r="I359" s="2" t="str" cm="1">
        <f t="array" ref="I359">H359 &amp; _xlfn.REGEXEXTRACT(G359,"^[^_]+_\d{4}") &amp; ".pdf"</f>
        <v>https://www.ocf.berkeley.edu/~pkmendez/envsci/projects/2019final/SilvaS_2019.pdf</v>
      </c>
      <c r="J359" s="1" t="str">
        <f t="shared" si="5"/>
        <v>https://www.ocf.berkeley.edu/~pkmendez/envsci/projects/2019final/SilvaS_2019.pdf</v>
      </c>
      <c r="K359" s="2" t="str" cm="1">
        <f t="array" ref="K359:O359">_xlfn.TAKE(TRIM(_xlfn.TEXTSPLIT(F359,{",",";"})),,5)</f>
        <v>Waste management</v>
      </c>
      <c r="L359" s="2" t="str">
        <v>optimization</v>
      </c>
      <c r="M359" s="2" t="str">
        <v>waste systems analysis</v>
      </c>
      <c r="N359" s="2" t="str">
        <v>materials management</v>
      </c>
      <c r="O359" s="2" t="str">
        <v>circular economy</v>
      </c>
      <c r="P359" s="2" t="s">
        <v>9</v>
      </c>
      <c r="Q359" s="2" t="s">
        <v>10</v>
      </c>
    </row>
    <row r="360" spans="1:17" x14ac:dyDescent="0.35">
      <c r="A360" s="2" t="s">
        <v>5884</v>
      </c>
      <c r="B360" s="2" t="s">
        <v>1799</v>
      </c>
      <c r="C360" s="2" t="s">
        <v>1800</v>
      </c>
      <c r="D360" s="2">
        <v>2019</v>
      </c>
      <c r="E360" s="2" t="s">
        <v>1801</v>
      </c>
      <c r="F360" s="2" t="s">
        <v>1802</v>
      </c>
      <c r="G360" s="2" t="s">
        <v>1803</v>
      </c>
      <c r="H360" s="2" t="s">
        <v>1583</v>
      </c>
      <c r="I360" s="2" t="str" cm="1">
        <f t="array" ref="I360">H360 &amp; _xlfn.REGEXEXTRACT(G360,"^[^_]+_\d{4}") &amp; ".pdf"</f>
        <v>https://www.ocf.berkeley.edu/~pkmendez/envsci/projects/2019final/SinghH_2019.pdf</v>
      </c>
      <c r="J360" s="1" t="str">
        <f t="shared" si="5"/>
        <v>https://www.ocf.berkeley.edu/~pkmendez/envsci/projects/2019final/SinghH_2019.pdf</v>
      </c>
      <c r="K360" s="2" t="str" cm="1">
        <f t="array" ref="K360:O360">_xlfn.TAKE(TRIM(_xlfn.TEXTSPLIT(F360,{",",";"})),,5)</f>
        <v>Microbial diversity</v>
      </c>
      <c r="L360" s="2" t="str">
        <v>culture-dependent</v>
      </c>
      <c r="M360" s="2" t="str">
        <v>isolates</v>
      </c>
      <c r="N360" s="2" t="str">
        <v>winter-spring transition</v>
      </c>
      <c r="O360" s="2" t="str">
        <v>montane</v>
      </c>
      <c r="P360" s="2" t="s">
        <v>9</v>
      </c>
      <c r="Q360" s="2" t="s">
        <v>10</v>
      </c>
    </row>
    <row r="361" spans="1:17" x14ac:dyDescent="0.35">
      <c r="A361" s="2" t="s">
        <v>5884</v>
      </c>
      <c r="B361" s="2" t="s">
        <v>1804</v>
      </c>
      <c r="C361" s="2" t="s">
        <v>1805</v>
      </c>
      <c r="D361" s="2">
        <v>2019</v>
      </c>
      <c r="E361" s="2" t="s">
        <v>1806</v>
      </c>
      <c r="F361" s="2" t="s">
        <v>1807</v>
      </c>
      <c r="G361" s="2" t="s">
        <v>1808</v>
      </c>
      <c r="H361" s="2" t="s">
        <v>1583</v>
      </c>
      <c r="I361" s="2" t="str" cm="1">
        <f t="array" ref="I361">H361 &amp; _xlfn.REGEXEXTRACT(G361,"^[^_]+_\d{4}") &amp; ".pdf"</f>
        <v>https://www.ocf.berkeley.edu/~pkmendez/envsci/projects/2019final/SongS_2019.pdf</v>
      </c>
      <c r="J361" s="1" t="str">
        <f t="shared" si="5"/>
        <v>https://www.ocf.berkeley.edu/~pkmendez/envsci/projects/2019final/SongS_2019.pdf</v>
      </c>
      <c r="K361" s="2" t="str" cm="1">
        <f t="array" ref="K361:O361">_xlfn.TAKE(TRIM(_xlfn.TEXTSPLIT(F361,{",",";"})),,5)</f>
        <v>climate change</v>
      </c>
      <c r="L361" s="2" t="str">
        <v>Maxent</v>
      </c>
      <c r="M361" s="2" t="str">
        <v>Plethondontidae</v>
      </c>
      <c r="N361" s="2" t="str">
        <v>high-elevation endemic species</v>
      </c>
      <c r="O361" s="2" t="str">
        <v>RCP</v>
      </c>
      <c r="P361" s="2" t="s">
        <v>9</v>
      </c>
      <c r="Q361" s="2" t="s">
        <v>10</v>
      </c>
    </row>
    <row r="362" spans="1:17" x14ac:dyDescent="0.35">
      <c r="A362" s="2" t="s">
        <v>5884</v>
      </c>
      <c r="B362" s="2" t="s">
        <v>1809</v>
      </c>
      <c r="C362" s="2" t="s">
        <v>1810</v>
      </c>
      <c r="D362" s="2">
        <v>2019</v>
      </c>
      <c r="E362" s="2" t="s">
        <v>1811</v>
      </c>
      <c r="F362" s="2" t="s">
        <v>1812</v>
      </c>
      <c r="G362" s="2" t="s">
        <v>1813</v>
      </c>
      <c r="H362" s="2" t="s">
        <v>1583</v>
      </c>
      <c r="I362" s="2" t="str" cm="1">
        <f t="array" ref="I362">H362 &amp; _xlfn.REGEXEXTRACT(G362,"^[^_]+_\d{4}") &amp; ".pdf"</f>
        <v>https://www.ocf.berkeley.edu/~pkmendez/envsci/projects/2019final/ValdiviaC_2019.pdf</v>
      </c>
      <c r="J362" s="1" t="str">
        <f t="shared" si="5"/>
        <v>https://www.ocf.berkeley.edu/~pkmendez/envsci/projects/2019final/ValdiviaC_2019.pdf</v>
      </c>
      <c r="K362" s="2" t="str" cm="1">
        <f t="array" ref="K362:O362">_xlfn.TAKE(TRIM(_xlfn.TEXTSPLIT(F362,{",",";"})),,5)</f>
        <v>Food environment</v>
      </c>
      <c r="L362" s="2" t="str">
        <v>culture</v>
      </c>
      <c r="M362" s="2" t="str">
        <v>identity</v>
      </c>
      <c r="N362" s="2" t="str">
        <v>heritage</v>
      </c>
      <c r="O362" s="2" t="str">
        <v>values</v>
      </c>
      <c r="P362" s="2" t="s">
        <v>9</v>
      </c>
      <c r="Q362" s="2" t="s">
        <v>10</v>
      </c>
    </row>
    <row r="363" spans="1:17" x14ac:dyDescent="0.35">
      <c r="A363" s="2" t="s">
        <v>5884</v>
      </c>
      <c r="B363" s="2" t="s">
        <v>1814</v>
      </c>
      <c r="C363" s="2" t="s">
        <v>1815</v>
      </c>
      <c r="D363" s="2">
        <v>2019</v>
      </c>
      <c r="E363" s="2" t="s">
        <v>1816</v>
      </c>
      <c r="F363" s="2" t="s">
        <v>1817</v>
      </c>
      <c r="G363" s="2" t="s">
        <v>1818</v>
      </c>
      <c r="H363" s="2" t="s">
        <v>1583</v>
      </c>
      <c r="I363" s="2" t="str" cm="1">
        <f t="array" ref="I363">H363 &amp; _xlfn.REGEXEXTRACT(G363,"^[^_]+_\d{4}") &amp; ".pdf"</f>
        <v>https://www.ocf.berkeley.edu/~pkmendez/envsci/projects/2019final/VendigI_2019.pdf</v>
      </c>
      <c r="J363" s="1" t="str">
        <f t="shared" si="5"/>
        <v>https://www.ocf.berkeley.edu/~pkmendez/envsci/projects/2019final/VendigI_2019.pdf</v>
      </c>
      <c r="K363" s="2" t="str" cm="1">
        <f t="array" ref="K363:O363">_xlfn.TAKE(TRIM(_xlfn.TEXTSPLIT(F363,{",",";"})),,5)</f>
        <v>Macroporosity</v>
      </c>
      <c r="L363" s="2" t="str">
        <v>microporosity</v>
      </c>
      <c r="M363" s="2" t="str">
        <v>plant available water</v>
      </c>
      <c r="N363" s="2" t="str">
        <v>tillage</v>
      </c>
      <c r="O363" s="2" t="str">
        <v>long term experiment</v>
      </c>
      <c r="P363" s="2" t="s">
        <v>9</v>
      </c>
      <c r="Q363" s="2" t="s">
        <v>10</v>
      </c>
    </row>
    <row r="364" spans="1:17" x14ac:dyDescent="0.35">
      <c r="A364" s="2" t="s">
        <v>5884</v>
      </c>
      <c r="B364" s="2" t="s">
        <v>1819</v>
      </c>
      <c r="C364" s="2" t="s">
        <v>1820</v>
      </c>
      <c r="D364" s="2">
        <v>2019</v>
      </c>
      <c r="E364" s="2" t="s">
        <v>1821</v>
      </c>
      <c r="F364" s="2" t="s">
        <v>1822</v>
      </c>
      <c r="G364" s="2" t="s">
        <v>1823</v>
      </c>
      <c r="H364" s="2" t="s">
        <v>1583</v>
      </c>
      <c r="I364" s="2" t="str" cm="1">
        <f t="array" ref="I364">H364 &amp; _xlfn.REGEXEXTRACT(G364,"^[^_]+_\d{4}") &amp; ".pdf"</f>
        <v>https://www.ocf.berkeley.edu/~pkmendez/envsci/projects/2019final/WuL_2019.pdf</v>
      </c>
      <c r="J364" s="1" t="str">
        <f t="shared" si="5"/>
        <v>https://www.ocf.berkeley.edu/~pkmendez/envsci/projects/2019final/WuL_2019.pdf</v>
      </c>
      <c r="K364" s="2" t="str" cm="1">
        <f t="array" ref="K364:O364">_xlfn.TAKE(TRIM(_xlfn.TEXTSPLIT(F364,{",",";"})),,5)</f>
        <v>Virtual water</v>
      </c>
      <c r="L364" s="2" t="str">
        <v>international trade</v>
      </c>
      <c r="M364" s="2" t="str">
        <v>soybean</v>
      </c>
      <c r="N364" s="2" t="str">
        <v>water stress</v>
      </c>
      <c r="O364" s="2" t="str">
        <v>water deficits</v>
      </c>
      <c r="P364" s="2" t="s">
        <v>9</v>
      </c>
      <c r="Q364" s="2" t="s">
        <v>10</v>
      </c>
    </row>
    <row r="365" spans="1:17" x14ac:dyDescent="0.35">
      <c r="A365" s="2" t="s">
        <v>5884</v>
      </c>
      <c r="B365" s="2" t="s">
        <v>1824</v>
      </c>
      <c r="C365" s="2" t="s">
        <v>1825</v>
      </c>
      <c r="D365" s="2">
        <v>2019</v>
      </c>
      <c r="E365" s="2" t="s">
        <v>1826</v>
      </c>
      <c r="F365" s="2" t="s">
        <v>1827</v>
      </c>
      <c r="G365" s="2" t="s">
        <v>1828</v>
      </c>
      <c r="H365" s="2" t="s">
        <v>1583</v>
      </c>
      <c r="I365" s="2" t="str" cm="1">
        <f t="array" ref="I365">H365 &amp; _xlfn.REGEXEXTRACT(G365,"^[^_]+_\d{4}") &amp; ".pdf"</f>
        <v>https://www.ocf.berkeley.edu/~pkmendez/envsci/projects/2019final/WuY_2019.pdf</v>
      </c>
      <c r="J365" s="1" t="str">
        <f t="shared" si="5"/>
        <v>https://www.ocf.berkeley.edu/~pkmendez/envsci/projects/2019final/WuY_2019.pdf</v>
      </c>
      <c r="K365" s="2" t="str" cm="1">
        <f t="array" ref="K365:O365">_xlfn.TAKE(TRIM(_xlfn.TEXTSPLIT(F365,{",",";"})),,5)</f>
        <v>Wildlife ecology</v>
      </c>
      <c r="L365" s="2" t="str">
        <v>land cover</v>
      </c>
      <c r="M365" s="2" t="str">
        <v>landscape ecology</v>
      </c>
      <c r="N365" s="2" t="str">
        <v>species richness</v>
      </c>
      <c r="O365" s="2" t="str">
        <v>abundance</v>
      </c>
      <c r="P365" s="2" t="s">
        <v>9</v>
      </c>
      <c r="Q365" s="2" t="s">
        <v>10</v>
      </c>
    </row>
    <row r="366" spans="1:17" x14ac:dyDescent="0.35">
      <c r="A366" s="2" t="s">
        <v>5884</v>
      </c>
      <c r="B366" s="2" t="s">
        <v>1829</v>
      </c>
      <c r="C366" s="2" t="s">
        <v>1830</v>
      </c>
      <c r="D366" s="2">
        <v>2019</v>
      </c>
      <c r="E366" s="2" t="s">
        <v>1831</v>
      </c>
      <c r="F366" s="2" t="s">
        <v>1832</v>
      </c>
      <c r="G366" s="2" t="s">
        <v>1833</v>
      </c>
      <c r="H366" s="2" t="s">
        <v>1583</v>
      </c>
      <c r="I366" s="2" t="str" cm="1">
        <f t="array" ref="I366">H366 &amp; _xlfn.REGEXEXTRACT(G366,"^[^_]+_\d{4}") &amp; ".pdf"</f>
        <v>https://www.ocf.berkeley.edu/~pkmendez/envsci/projects/2019final/YanagiharaK_2019.pdf</v>
      </c>
      <c r="J366" s="1" t="str">
        <f t="shared" si="5"/>
        <v>https://www.ocf.berkeley.edu/~pkmendez/envsci/projects/2019final/YanagiharaK_2019.pdf</v>
      </c>
      <c r="K366" s="2" t="str" cm="1">
        <f t="array" ref="K366:N366">_xlfn.TAKE(TRIM(_xlfn.TEXTSPLIT(F366,{",",";"})),,5)</f>
        <v>environmental education</v>
      </c>
      <c r="L366" s="2" t="str">
        <v>Advanced Placement</v>
      </c>
      <c r="M366" s="2" t="str">
        <v>pedagogy</v>
      </c>
      <c r="N366" s="2" t="str">
        <v>environmental perspectives</v>
      </c>
      <c r="P366" s="2" t="s">
        <v>9</v>
      </c>
      <c r="Q366" s="2" t="s">
        <v>10</v>
      </c>
    </row>
    <row r="367" spans="1:17" x14ac:dyDescent="0.35">
      <c r="A367" s="2" t="s">
        <v>5884</v>
      </c>
      <c r="B367" s="2" t="s">
        <v>1834</v>
      </c>
      <c r="C367" s="2" t="s">
        <v>1835</v>
      </c>
      <c r="D367" s="2">
        <v>2019</v>
      </c>
      <c r="E367" s="2" t="s">
        <v>1836</v>
      </c>
      <c r="F367" s="2" t="s">
        <v>1837</v>
      </c>
      <c r="G367" s="2" t="s">
        <v>1838</v>
      </c>
      <c r="H367" s="2" t="s">
        <v>1583</v>
      </c>
      <c r="I367" s="2" t="str" cm="1">
        <f t="array" ref="I367">H367 &amp; _xlfn.REGEXEXTRACT(G367,"^[^_]+_\d{4}") &amp; ".pdf"</f>
        <v>https://www.ocf.berkeley.edu/~pkmendez/envsci/projects/2019final/YanE_2019.pdf</v>
      </c>
      <c r="J367" s="1" t="str">
        <f t="shared" si="5"/>
        <v>https://www.ocf.berkeley.edu/~pkmendez/envsci/projects/2019final/YanE_2019.pdf</v>
      </c>
      <c r="K367" s="2" t="str" cm="1">
        <f t="array" ref="K367:O367">_xlfn.TAKE(TRIM(_xlfn.TEXTSPLIT(F367,{",",";"})),,5)</f>
        <v>Corporate social responsibility</v>
      </c>
      <c r="L367" s="2" t="str">
        <v>green certifications</v>
      </c>
      <c r="M367" s="2" t="str">
        <v>survey</v>
      </c>
      <c r="N367" s="2" t="str">
        <v>willingness to travel</v>
      </c>
      <c r="O367" s="2" t="str">
        <v>information treatment</v>
      </c>
      <c r="P367" s="2" t="s">
        <v>9</v>
      </c>
      <c r="Q367" s="2" t="s">
        <v>10</v>
      </c>
    </row>
    <row r="368" spans="1:17" x14ac:dyDescent="0.35">
      <c r="A368" s="2" t="s">
        <v>5884</v>
      </c>
      <c r="B368" s="2" t="s">
        <v>1839</v>
      </c>
      <c r="C368" s="2" t="s">
        <v>1840</v>
      </c>
      <c r="D368" s="2">
        <v>2019</v>
      </c>
      <c r="E368" s="2" t="s">
        <v>1841</v>
      </c>
      <c r="F368" s="2" t="s">
        <v>1842</v>
      </c>
      <c r="G368" s="2" t="s">
        <v>1843</v>
      </c>
      <c r="H368" s="2" t="s">
        <v>1583</v>
      </c>
      <c r="I368" s="2" t="str" cm="1">
        <f t="array" ref="I368">H368 &amp; _xlfn.REGEXEXTRACT(G368,"^[^_]+_\d{4}") &amp; ".pdf"</f>
        <v>https://www.ocf.berkeley.edu/~pkmendez/envsci/projects/2019final/YuK_2019.pdf</v>
      </c>
      <c r="J368" s="1" t="str">
        <f t="shared" si="5"/>
        <v>https://www.ocf.berkeley.edu/~pkmendez/envsci/projects/2019final/YuK_2019.pdf</v>
      </c>
      <c r="K368" s="2" t="str" cm="1">
        <f t="array" ref="K368:O368">_xlfn.TAKE(TRIM(_xlfn.TEXTSPLIT(F368,{",",";"})),,5)</f>
        <v>remote sensing</v>
      </c>
      <c r="L368" s="2" t="str">
        <v>climate</v>
      </c>
      <c r="M368" s="2" t="str">
        <v>evapotranspiration</v>
      </c>
      <c r="N368" s="2" t="str">
        <v>species differences</v>
      </c>
      <c r="O368" s="2" t="str">
        <v>water vapor</v>
      </c>
      <c r="P368" s="2" t="s">
        <v>9</v>
      </c>
      <c r="Q368" s="2" t="s">
        <v>10</v>
      </c>
    </row>
    <row r="369" spans="1:17" x14ac:dyDescent="0.35">
      <c r="A369" s="2" t="s">
        <v>5884</v>
      </c>
      <c r="B369" s="2" t="s">
        <v>1844</v>
      </c>
      <c r="C369" s="2" t="s">
        <v>1845</v>
      </c>
      <c r="D369" s="2">
        <v>2019</v>
      </c>
      <c r="E369" s="2" t="s">
        <v>1846</v>
      </c>
      <c r="F369" s="2" t="s">
        <v>1847</v>
      </c>
      <c r="G369" s="2" t="s">
        <v>1848</v>
      </c>
      <c r="H369" s="2" t="s">
        <v>1583</v>
      </c>
      <c r="I369" s="2" t="str" cm="1">
        <f t="array" ref="I369">H369 &amp; _xlfn.REGEXEXTRACT(G369,"^[^_]+_\d{4}") &amp; ".pdf"</f>
        <v>https://www.ocf.berkeley.edu/~pkmendez/envsci/projects/2019final/ZhouHL_2019.pdf</v>
      </c>
      <c r="J369" s="1" t="str">
        <f t="shared" si="5"/>
        <v>https://www.ocf.berkeley.edu/~pkmendez/envsci/projects/2019final/ZhouHL_2019.pdf</v>
      </c>
      <c r="K369" s="2" t="str" cm="1">
        <f t="array" ref="K369:O369">_xlfn.TAKE(TRIM(_xlfn.TEXTSPLIT(F369,{",",";"})),,5)</f>
        <v>Sichuan</v>
      </c>
      <c r="L369" s="2" t="str">
        <v>oversupplied electricity</v>
      </c>
      <c r="M369" s="2" t="str">
        <v>exported hydroelectricity</v>
      </c>
      <c r="N369" s="2" t="str">
        <v>length of high-voltage transmission line</v>
      </c>
      <c r="O369" s="2" t="str">
        <v>linearity</v>
      </c>
      <c r="P369" s="2" t="s">
        <v>9</v>
      </c>
      <c r="Q369" s="2" t="s">
        <v>10</v>
      </c>
    </row>
    <row r="370" spans="1:17" x14ac:dyDescent="0.35">
      <c r="A370" s="2" t="s">
        <v>5884</v>
      </c>
      <c r="B370" s="2" t="s">
        <v>1849</v>
      </c>
      <c r="C370" s="2" t="s">
        <v>1850</v>
      </c>
      <c r="D370" s="2">
        <v>2019</v>
      </c>
      <c r="E370" s="2" t="s">
        <v>1851</v>
      </c>
      <c r="F370" s="2" t="s">
        <v>1852</v>
      </c>
      <c r="G370" s="2" t="s">
        <v>1853</v>
      </c>
      <c r="H370" s="2" t="s">
        <v>1583</v>
      </c>
      <c r="I370" s="2" t="str" cm="1">
        <f t="array" ref="I370">H370 &amp; _xlfn.REGEXEXTRACT(G370,"^[^_]+_\d{4}") &amp; ".pdf"</f>
        <v>https://www.ocf.berkeley.edu/~pkmendez/envsci/projects/2019final/ZuercherM_2019.pdf</v>
      </c>
      <c r="J370" s="1" t="str">
        <f t="shared" si="5"/>
        <v>https://www.ocf.berkeley.edu/~pkmendez/envsci/projects/2019final/ZuercherM_2019.pdf</v>
      </c>
      <c r="K370" s="2" t="str" cm="1">
        <f t="array" ref="K370:O370">_xlfn.TAKE(TRIM(_xlfn.TEXTSPLIT(F370,{",",";"})),,5)</f>
        <v>Vespertilionidae</v>
      </c>
      <c r="L370" s="2" t="str">
        <v>presence</v>
      </c>
      <c r="M370" s="2" t="str">
        <v>modeling</v>
      </c>
      <c r="N370" s="2" t="str">
        <v>wildlife management</v>
      </c>
      <c r="O370" s="2" t="str">
        <v>midwestern United States</v>
      </c>
      <c r="P370" s="2" t="s">
        <v>9</v>
      </c>
      <c r="Q370" s="2" t="s">
        <v>10</v>
      </c>
    </row>
    <row r="371" spans="1:17" x14ac:dyDescent="0.35">
      <c r="A371" s="2" t="s">
        <v>5884</v>
      </c>
      <c r="B371" s="2" t="s">
        <v>1854</v>
      </c>
      <c r="C371" s="2" t="s">
        <v>1855</v>
      </c>
      <c r="D371" s="2">
        <v>2018</v>
      </c>
      <c r="E371" s="2" t="s">
        <v>1856</v>
      </c>
      <c r="F371" s="2" t="s">
        <v>1857</v>
      </c>
      <c r="G371" s="2" t="s">
        <v>1858</v>
      </c>
      <c r="H371" s="2" t="s">
        <v>1859</v>
      </c>
      <c r="I371" s="2" t="str" cm="1">
        <f t="array" ref="I371">H371 &amp; _xlfn.REGEXEXTRACT(G371,"^[^_]+_\d{4}") &amp; ".pdf"</f>
        <v>https://www.ocf.berkeley.edu/~pkmendez/envsci/projects/2018final/AhrensD_2018.pdf</v>
      </c>
      <c r="J371" s="1" t="str">
        <f t="shared" si="5"/>
        <v>https://www.ocf.berkeley.edu/~pkmendez/envsci/projects/2018final/AhrensD_2018.pdf</v>
      </c>
      <c r="K371" s="2" t="str" cm="1">
        <f t="array" ref="K371:O371">_xlfn.TAKE(TRIM(_xlfn.TEXTSPLIT(F371,{",",";"})),,5)</f>
        <v>Water quality</v>
      </c>
      <c r="L371" s="2" t="str">
        <v>Multi-level governance</v>
      </c>
      <c r="M371" s="2" t="str">
        <v>cultural use</v>
      </c>
      <c r="N371" s="2" t="str">
        <v>ceremonial use</v>
      </c>
      <c r="O371" s="2" t="str">
        <v>Indigenous knowledge</v>
      </c>
      <c r="P371" s="2" t="s">
        <v>9</v>
      </c>
      <c r="Q371" s="2" t="s">
        <v>10</v>
      </c>
    </row>
    <row r="372" spans="1:17" x14ac:dyDescent="0.35">
      <c r="A372" s="2" t="s">
        <v>5884</v>
      </c>
      <c r="B372" s="2" t="s">
        <v>1860</v>
      </c>
      <c r="C372" s="2" t="s">
        <v>1861</v>
      </c>
      <c r="D372" s="2">
        <v>2018</v>
      </c>
      <c r="E372" s="2" t="s">
        <v>1862</v>
      </c>
      <c r="F372" s="2" t="s">
        <v>1863</v>
      </c>
      <c r="G372" s="2" t="s">
        <v>1864</v>
      </c>
      <c r="H372" s="2" t="s">
        <v>1859</v>
      </c>
      <c r="I372" s="2" t="str" cm="1">
        <f t="array" ref="I372">H372 &amp; _xlfn.REGEXEXTRACT(G372,"^[^_]+_\d{4}") &amp; ".pdf"</f>
        <v>https://www.ocf.berkeley.edu/~pkmendez/envsci/projects/2018final/BittenC_2018.pdf</v>
      </c>
      <c r="J372" s="1" t="str">
        <f t="shared" si="5"/>
        <v>https://www.ocf.berkeley.edu/~pkmendez/envsci/projects/2018final/BittenC_2018.pdf</v>
      </c>
      <c r="K372" s="2" t="str" cm="1">
        <f t="array" ref="K372:O372">_xlfn.TAKE(TRIM(_xlfn.TEXTSPLIT(F372,{",",";"})),,5)</f>
        <v>urban agriculture</v>
      </c>
      <c r="L372" s="2" t="str">
        <v>food justice</v>
      </c>
      <c r="M372" s="2" t="str">
        <v>inclusivity</v>
      </c>
      <c r="N372" s="2" t="str">
        <v>intersectionality</v>
      </c>
      <c r="O372" s="2" t="str">
        <v>identity-driven perceptions</v>
      </c>
      <c r="P372" s="2" t="s">
        <v>9</v>
      </c>
      <c r="Q372" s="2" t="s">
        <v>10</v>
      </c>
    </row>
    <row r="373" spans="1:17" x14ac:dyDescent="0.35">
      <c r="A373" s="2" t="s">
        <v>5884</v>
      </c>
      <c r="B373" s="2" t="s">
        <v>1865</v>
      </c>
      <c r="C373" s="2" t="s">
        <v>1866</v>
      </c>
      <c r="D373" s="2">
        <v>2018</v>
      </c>
      <c r="E373" s="2" t="s">
        <v>1867</v>
      </c>
      <c r="F373" s="2" t="s">
        <v>1868</v>
      </c>
      <c r="G373" s="2" t="s">
        <v>1869</v>
      </c>
      <c r="H373" s="2" t="s">
        <v>1859</v>
      </c>
      <c r="I373" s="2" t="str" cm="1">
        <f t="array" ref="I373">H373 &amp; _xlfn.REGEXEXTRACT(G373,"^[^_]+_\d{4}") &amp; ".pdf"</f>
        <v>https://www.ocf.berkeley.edu/~pkmendez/envsci/projects/2018final/BrownS_2018.pdf</v>
      </c>
      <c r="J373" s="1" t="str">
        <f t="shared" si="5"/>
        <v>https://www.ocf.berkeley.edu/~pkmendez/envsci/projects/2018final/BrownS_2018.pdf</v>
      </c>
      <c r="K373" s="2" t="str" cm="1">
        <f t="array" ref="K373:O373">_xlfn.TAKE(TRIM(_xlfn.TEXTSPLIT(F373,{",",";"})),,5)</f>
        <v>Domestic fecal contamination</v>
      </c>
      <c r="L373" s="2" t="str">
        <v>diarrheal disease</v>
      </c>
      <c r="M373" s="2" t="str">
        <v>exposure factors</v>
      </c>
      <c r="N373" s="2" t="str">
        <v>virulence genes</v>
      </c>
      <c r="O373" s="2" t="str">
        <v>enteric bacteria</v>
      </c>
      <c r="P373" s="2" t="s">
        <v>9</v>
      </c>
      <c r="Q373" s="2" t="s">
        <v>10</v>
      </c>
    </row>
    <row r="374" spans="1:17" x14ac:dyDescent="0.35">
      <c r="A374" s="2" t="s">
        <v>5884</v>
      </c>
      <c r="B374" s="2" t="s">
        <v>1870</v>
      </c>
      <c r="C374" s="2" t="s">
        <v>1871</v>
      </c>
      <c r="D374" s="2">
        <v>2018</v>
      </c>
      <c r="E374" s="2" t="s">
        <v>1872</v>
      </c>
      <c r="F374" s="2" t="s">
        <v>1873</v>
      </c>
      <c r="G374" s="2" t="s">
        <v>1874</v>
      </c>
      <c r="H374" s="2" t="s">
        <v>1859</v>
      </c>
      <c r="I374" s="2" t="str" cm="1">
        <f t="array" ref="I374">H374 &amp; _xlfn.REGEXEXTRACT(G374,"^[^_]+_\d{4}") &amp; ".pdf"</f>
        <v>https://www.ocf.berkeley.edu/~pkmendez/envsci/projects/2018final/CampbellL_2018.pdf</v>
      </c>
      <c r="J374" s="1" t="str">
        <f t="shared" si="5"/>
        <v>https://www.ocf.berkeley.edu/~pkmendez/envsci/projects/2018final/CampbellL_2018.pdf</v>
      </c>
      <c r="K374" s="2" t="str" cm="1">
        <f t="array" ref="K374:O374">_xlfn.TAKE(TRIM(_xlfn.TEXTSPLIT(F374,{",",";"})),,5)</f>
        <v>shrinkage</v>
      </c>
      <c r="L374" s="2" t="str">
        <v>vapor pressure deficit</v>
      </c>
      <c r="M374" s="2" t="str">
        <v>bark</v>
      </c>
      <c r="N374" s="2" t="str">
        <v>reversible circumference change</v>
      </c>
      <c r="O374" s="2" t="str">
        <v>fog</v>
      </c>
      <c r="P374" s="2" t="s">
        <v>9</v>
      </c>
      <c r="Q374" s="2" t="s">
        <v>10</v>
      </c>
    </row>
    <row r="375" spans="1:17" x14ac:dyDescent="0.35">
      <c r="A375" s="2" t="s">
        <v>5884</v>
      </c>
      <c r="B375" s="2" t="s">
        <v>1875</v>
      </c>
      <c r="C375" s="2" t="s">
        <v>1876</v>
      </c>
      <c r="D375" s="2">
        <v>2018</v>
      </c>
      <c r="E375" s="2" t="s">
        <v>1877</v>
      </c>
      <c r="F375" s="2" t="s">
        <v>1878</v>
      </c>
      <c r="G375" s="2" t="s">
        <v>1879</v>
      </c>
      <c r="H375" s="2" t="s">
        <v>1859</v>
      </c>
      <c r="I375" s="2" t="str" cm="1">
        <f t="array" ref="I375">H375 &amp; _xlfn.REGEXEXTRACT(G375,"^[^_]+_\d{4}") &amp; ".pdf"</f>
        <v>https://www.ocf.berkeley.edu/~pkmendez/envsci/projects/2018final/CapistranoA_2018.pdf</v>
      </c>
      <c r="J375" s="1" t="str">
        <f t="shared" si="5"/>
        <v>https://www.ocf.berkeley.edu/~pkmendez/envsci/projects/2018final/CapistranoA_2018.pdf</v>
      </c>
      <c r="K375" s="2" t="str" cm="1">
        <f t="array" ref="K375:O375">_xlfn.TAKE(TRIM(_xlfn.TEXTSPLIT(F375,{",",";"})),,5)</f>
        <v>Fire Regime</v>
      </c>
      <c r="L375" s="2" t="str">
        <v>high-severity fire</v>
      </c>
      <c r="M375" s="2" t="str">
        <v>community structure</v>
      </c>
      <c r="N375" s="2" t="str">
        <v>cover by life form</v>
      </c>
      <c r="O375" s="2" t="str">
        <v>indicator species analysis</v>
      </c>
      <c r="P375" s="2" t="s">
        <v>9</v>
      </c>
      <c r="Q375" s="2" t="s">
        <v>10</v>
      </c>
    </row>
    <row r="376" spans="1:17" x14ac:dyDescent="0.35">
      <c r="A376" s="2" t="s">
        <v>5884</v>
      </c>
      <c r="B376" s="2" t="s">
        <v>1880</v>
      </c>
      <c r="C376" s="2" t="s">
        <v>1881</v>
      </c>
      <c r="D376" s="2">
        <v>2018</v>
      </c>
      <c r="E376" s="2" t="s">
        <v>1882</v>
      </c>
      <c r="F376" s="2" t="s">
        <v>1883</v>
      </c>
      <c r="G376" s="2" t="s">
        <v>1884</v>
      </c>
      <c r="H376" s="2" t="s">
        <v>1859</v>
      </c>
      <c r="I376" s="2" t="str" cm="1">
        <f t="array" ref="I376">H376 &amp; _xlfn.REGEXEXTRACT(G376,"^[^_]+_\d{4}") &amp; ".pdf"</f>
        <v>https://www.ocf.berkeley.edu/~pkmendez/envsci/projects/2018final/ChenJ_2018.pdf</v>
      </c>
      <c r="J376" s="1" t="str">
        <f t="shared" si="5"/>
        <v>https://www.ocf.berkeley.edu/~pkmendez/envsci/projects/2018final/ChenJ_2018.pdf</v>
      </c>
      <c r="K376" s="2" t="str" cm="1">
        <f t="array" ref="K376:N376">_xlfn.TAKE(TRIM(_xlfn.TEXTSPLIT(F376,{",",";"})),,5)</f>
        <v>Insect Chemistry</v>
      </c>
      <c r="L376" s="2" t="str">
        <v>Desiccation Resistance</v>
      </c>
      <c r="M376" s="2" t="str">
        <v>Desiccation Barrier</v>
      </c>
      <c r="N376" s="2" t="str">
        <v>Argentine Ant</v>
      </c>
      <c r="P376" s="2" t="s">
        <v>9</v>
      </c>
      <c r="Q376" s="2" t="s">
        <v>10</v>
      </c>
    </row>
    <row r="377" spans="1:17" x14ac:dyDescent="0.35">
      <c r="A377" s="2" t="s">
        <v>5884</v>
      </c>
      <c r="B377" s="2" t="s">
        <v>1885</v>
      </c>
      <c r="C377" s="2" t="s">
        <v>1886</v>
      </c>
      <c r="D377" s="2">
        <v>2018</v>
      </c>
      <c r="E377" s="2" t="s">
        <v>1887</v>
      </c>
      <c r="F377" s="2" t="s">
        <v>1888</v>
      </c>
      <c r="G377" s="2" t="s">
        <v>1889</v>
      </c>
      <c r="H377" s="2" t="s">
        <v>1859</v>
      </c>
      <c r="I377" s="2" t="str" cm="1">
        <f t="array" ref="I377">H377 &amp; _xlfn.REGEXEXTRACT(G377,"^[^_]+_\d{4}") &amp; ".pdf"</f>
        <v>https://www.ocf.berkeley.edu/~pkmendez/envsci/projects/2018final/ChouN_2018.pdf</v>
      </c>
      <c r="J377" s="1" t="str">
        <f t="shared" si="5"/>
        <v>https://www.ocf.berkeley.edu/~pkmendez/envsci/projects/2018final/ChouN_2018.pdf</v>
      </c>
      <c r="K377" s="2" t="str" cm="1">
        <f t="array" ref="K377:O377">_xlfn.TAKE(TRIM(_xlfn.TEXTSPLIT(F377,{",",";"})),,5)</f>
        <v>Root resistance</v>
      </c>
      <c r="L377" s="2" t="str">
        <v>Root capacitance</v>
      </c>
      <c r="M377" s="2" t="str">
        <v>Regression modeling</v>
      </c>
      <c r="N377" s="2" t="str">
        <v>WinRhizo</v>
      </c>
      <c r="O377" s="2" t="str">
        <v>Root volume</v>
      </c>
      <c r="P377" s="2" t="s">
        <v>9</v>
      </c>
      <c r="Q377" s="2" t="s">
        <v>10</v>
      </c>
    </row>
    <row r="378" spans="1:17" x14ac:dyDescent="0.35">
      <c r="A378" s="2" t="s">
        <v>5884</v>
      </c>
      <c r="B378" s="2" t="s">
        <v>1890</v>
      </c>
      <c r="C378" s="2" t="s">
        <v>1891</v>
      </c>
      <c r="D378" s="2">
        <v>2018</v>
      </c>
      <c r="E378" s="2" t="s">
        <v>1892</v>
      </c>
      <c r="F378" s="2" t="s">
        <v>1893</v>
      </c>
      <c r="G378" s="2" t="s">
        <v>1894</v>
      </c>
      <c r="H378" s="2" t="s">
        <v>1859</v>
      </c>
      <c r="I378" s="2" t="str" cm="1">
        <f t="array" ref="I378">H378 &amp; _xlfn.REGEXEXTRACT(G378,"^[^_]+_\d{4}") &amp; ".pdf"</f>
        <v>https://www.ocf.berkeley.edu/~pkmendez/envsci/projects/2018final/DongW_2018.pdf</v>
      </c>
      <c r="J378" s="1" t="str">
        <f t="shared" si="5"/>
        <v>https://www.ocf.berkeley.edu/~pkmendez/envsci/projects/2018final/DongW_2018.pdf</v>
      </c>
      <c r="K378" s="2" t="str" cm="1">
        <f t="array" ref="K378:N378">_xlfn.TAKE(TRIM(_xlfn.TEXTSPLIT(F378,{",",";"})),,5)</f>
        <v>Stream ecology</v>
      </c>
      <c r="L378" s="2" t="str">
        <v>geomorphology</v>
      </c>
      <c r="M378" s="2" t="str">
        <v>terrestrial LiDAR</v>
      </c>
      <c r="N378" s="2" t="str">
        <v>Digital Elevation Models (DEMs)</v>
      </c>
      <c r="P378" s="2" t="s">
        <v>9</v>
      </c>
      <c r="Q378" s="2" t="s">
        <v>10</v>
      </c>
    </row>
    <row r="379" spans="1:17" x14ac:dyDescent="0.35">
      <c r="A379" s="2" t="s">
        <v>5884</v>
      </c>
      <c r="B379" s="2" t="s">
        <v>1895</v>
      </c>
      <c r="C379" s="2" t="s">
        <v>1896</v>
      </c>
      <c r="D379" s="2">
        <v>2018</v>
      </c>
      <c r="E379" s="2" t="s">
        <v>1897</v>
      </c>
      <c r="F379" s="2" t="s">
        <v>1898</v>
      </c>
      <c r="G379" s="2" t="s">
        <v>1899</v>
      </c>
      <c r="H379" s="2" t="s">
        <v>1859</v>
      </c>
      <c r="I379" s="2" t="str" cm="1">
        <f t="array" ref="I379">H379 &amp; _xlfn.REGEXEXTRACT(G379,"^[^_]+_\d{4}") &amp; ".pdf"</f>
        <v>https://www.ocf.berkeley.edu/~pkmendez/envsci/projects/2018final/HerbertA_2018.pdf</v>
      </c>
      <c r="J379" s="1" t="str">
        <f t="shared" si="5"/>
        <v>https://www.ocf.berkeley.edu/~pkmendez/envsci/projects/2018final/HerbertA_2018.pdf</v>
      </c>
      <c r="K379" s="2" t="str" cm="1">
        <f t="array" ref="K379:O379">_xlfn.TAKE(TRIM(_xlfn.TEXTSPLIT(F379,{",",";"})),,5)</f>
        <v>Residential demand management</v>
      </c>
      <c r="L379" s="2" t="str">
        <v>water conservation</v>
      </c>
      <c r="M379" s="2" t="str">
        <v>mitigation</v>
      </c>
      <c r="N379" s="2" t="str">
        <v>urban water management</v>
      </c>
      <c r="O379" s="2" t="str">
        <v>post-crisis</v>
      </c>
      <c r="P379" s="2" t="s">
        <v>9</v>
      </c>
      <c r="Q379" s="2" t="s">
        <v>10</v>
      </c>
    </row>
    <row r="380" spans="1:17" x14ac:dyDescent="0.35">
      <c r="A380" s="2" t="s">
        <v>5884</v>
      </c>
      <c r="B380" s="2" t="s">
        <v>1900</v>
      </c>
      <c r="C380" s="2" t="s">
        <v>1901</v>
      </c>
      <c r="D380" s="2">
        <v>2018</v>
      </c>
      <c r="E380" s="2" t="s">
        <v>1902</v>
      </c>
      <c r="F380" s="2" t="s">
        <v>1903</v>
      </c>
      <c r="G380" s="2" t="s">
        <v>1904</v>
      </c>
      <c r="H380" s="2" t="s">
        <v>1859</v>
      </c>
      <c r="I380" s="2" t="str" cm="1">
        <f t="array" ref="I380">H380 &amp; _xlfn.REGEXEXTRACT(G380,"^[^_]+_\d{4}") &amp; ".pdf"</f>
        <v>https://www.ocf.berkeley.edu/~pkmendez/envsci/projects/2018final/HernandezI_2018.pdf</v>
      </c>
      <c r="J380" s="1" t="str">
        <f t="shared" si="5"/>
        <v>https://www.ocf.berkeley.edu/~pkmendez/envsci/projects/2018final/HernandezI_2018.pdf</v>
      </c>
      <c r="K380" s="2" t="str" cm="1">
        <f t="array" ref="K380:O380">_xlfn.TAKE(TRIM(_xlfn.TEXTSPLIT(F380,{",",";"})),,5)</f>
        <v>urban agriculture</v>
      </c>
      <c r="L380" s="2" t="str">
        <v>food justice</v>
      </c>
      <c r="M380" s="2" t="str">
        <v>food insecurity</v>
      </c>
      <c r="N380" s="2" t="str">
        <v>food sovereignty</v>
      </c>
      <c r="O380" s="2" t="str">
        <v>food movement</v>
      </c>
      <c r="P380" s="2" t="s">
        <v>9</v>
      </c>
      <c r="Q380" s="2" t="s">
        <v>10</v>
      </c>
    </row>
    <row r="381" spans="1:17" x14ac:dyDescent="0.35">
      <c r="A381" s="2" t="s">
        <v>5884</v>
      </c>
      <c r="B381" s="2" t="s">
        <v>1905</v>
      </c>
      <c r="C381" s="2" t="s">
        <v>1906</v>
      </c>
      <c r="D381" s="2">
        <v>2018</v>
      </c>
      <c r="E381" s="2" t="s">
        <v>1907</v>
      </c>
      <c r="F381" s="2" t="s">
        <v>1908</v>
      </c>
      <c r="G381" s="2" t="s">
        <v>1909</v>
      </c>
      <c r="H381" s="2" t="s">
        <v>1859</v>
      </c>
      <c r="I381" s="2" t="str" cm="1">
        <f t="array" ref="I381">H381 &amp; _xlfn.REGEXEXTRACT(G381,"^[^_]+_\d{4}") &amp; ".pdf"</f>
        <v>https://www.ocf.berkeley.edu/~pkmendez/envsci/projects/2018final/HidalgoA_2018.pdf</v>
      </c>
      <c r="J381" s="1" t="str">
        <f t="shared" si="5"/>
        <v>https://www.ocf.berkeley.edu/~pkmendez/envsci/projects/2018final/HidalgoA_2018.pdf</v>
      </c>
      <c r="K381" s="2" t="str" cm="1">
        <f t="array" ref="K381:O381">_xlfn.TAKE(TRIM(_xlfn.TEXTSPLIT(F381,{",",";"})),,5)</f>
        <v>native bee populations</v>
      </c>
      <c r="L381" s="2" t="str">
        <v>wild bee practices</v>
      </c>
      <c r="M381" s="2" t="str">
        <v>pollinator habitats</v>
      </c>
      <c r="N381" s="2" t="str">
        <v>sustainable pollination</v>
      </c>
      <c r="O381" s="2" t="str">
        <v>farmer partnerships</v>
      </c>
      <c r="P381" s="2" t="s">
        <v>9</v>
      </c>
      <c r="Q381" s="2" t="s">
        <v>10</v>
      </c>
    </row>
    <row r="382" spans="1:17" x14ac:dyDescent="0.35">
      <c r="A382" s="2" t="s">
        <v>5884</v>
      </c>
      <c r="B382" s="2" t="s">
        <v>1910</v>
      </c>
      <c r="C382" s="2" t="s">
        <v>1911</v>
      </c>
      <c r="D382" s="2">
        <v>2018</v>
      </c>
      <c r="E382" s="2" t="s">
        <v>1912</v>
      </c>
      <c r="F382" s="2" t="s">
        <v>1913</v>
      </c>
      <c r="G382" s="2" t="s">
        <v>1914</v>
      </c>
      <c r="H382" s="2" t="s">
        <v>1859</v>
      </c>
      <c r="I382" s="2" t="str" cm="1">
        <f t="array" ref="I382">H382 &amp; _xlfn.REGEXEXTRACT(G382,"^[^_]+_\d{4}") &amp; ".pdf"</f>
        <v>https://www.ocf.berkeley.edu/~pkmendez/envsci/projects/2018final/HuangY_2018.pdf</v>
      </c>
      <c r="J382" s="1" t="str">
        <f t="shared" si="5"/>
        <v>https://www.ocf.berkeley.edu/~pkmendez/envsci/projects/2018final/HuangY_2018.pdf</v>
      </c>
      <c r="K382" s="2" t="str" cm="1">
        <f t="array" ref="K382:O382">_xlfn.TAKE(TRIM(_xlfn.TEXTSPLIT(F382,{",",";"})),,5)</f>
        <v>ASEAN Power Grid</v>
      </c>
      <c r="L382" s="2" t="str">
        <v>flexibility analysis</v>
      </c>
      <c r="M382" s="2" t="str">
        <v>grid operation</v>
      </c>
      <c r="N382" s="2" t="str">
        <v>electricity market</v>
      </c>
      <c r="O382" s="2" t="str">
        <v>variable renewable energy</v>
      </c>
      <c r="P382" s="2" t="s">
        <v>9</v>
      </c>
      <c r="Q382" s="2" t="s">
        <v>10</v>
      </c>
    </row>
    <row r="383" spans="1:17" x14ac:dyDescent="0.35">
      <c r="A383" s="2" t="s">
        <v>5884</v>
      </c>
      <c r="B383" s="2" t="s">
        <v>1915</v>
      </c>
      <c r="C383" s="2" t="s">
        <v>1916</v>
      </c>
      <c r="D383" s="2">
        <v>2018</v>
      </c>
      <c r="E383" s="2" t="s">
        <v>1917</v>
      </c>
      <c r="F383" s="2" t="s">
        <v>1918</v>
      </c>
      <c r="G383" s="2" t="s">
        <v>1919</v>
      </c>
      <c r="H383" s="2" t="s">
        <v>1859</v>
      </c>
      <c r="I383" s="2" t="str" cm="1">
        <f t="array" ref="I383">H383 &amp; _xlfn.REGEXEXTRACT(G383,"^[^_]+_\d{4}") &amp; ".pdf"</f>
        <v>https://www.ocf.berkeley.edu/~pkmendez/envsci/projects/2018final/InmanD_2018.pdf</v>
      </c>
      <c r="J383" s="1" t="str">
        <f t="shared" si="5"/>
        <v>https://www.ocf.berkeley.edu/~pkmendez/envsci/projects/2018final/InmanD_2018.pdf</v>
      </c>
      <c r="K383" s="2" t="str" cm="1">
        <f t="array" ref="K383:O383">_xlfn.TAKE(TRIM(_xlfn.TEXTSPLIT(F383,{",",";"})),,5)</f>
        <v>riparian ecosystems</v>
      </c>
      <c r="L383" s="2" t="str">
        <v>habitat alteration</v>
      </c>
      <c r="M383" s="2" t="str">
        <v>human recreation</v>
      </c>
      <c r="N383" s="2" t="str">
        <v>temporal analysis</v>
      </c>
      <c r="O383" s="2" t="str">
        <v>ecosystem management</v>
      </c>
      <c r="P383" s="2" t="s">
        <v>9</v>
      </c>
      <c r="Q383" s="2" t="s">
        <v>10</v>
      </c>
    </row>
    <row r="384" spans="1:17" x14ac:dyDescent="0.35">
      <c r="A384" s="2" t="s">
        <v>5884</v>
      </c>
      <c r="B384" s="2" t="s">
        <v>1920</v>
      </c>
      <c r="C384" s="2" t="s">
        <v>1921</v>
      </c>
      <c r="D384" s="2">
        <v>2018</v>
      </c>
      <c r="E384" s="2" t="s">
        <v>1922</v>
      </c>
      <c r="F384" s="2" t="s">
        <v>1923</v>
      </c>
      <c r="G384" s="2" t="s">
        <v>1924</v>
      </c>
      <c r="H384" s="2" t="s">
        <v>1859</v>
      </c>
      <c r="I384" s="2" t="str" cm="1">
        <f t="array" ref="I384">H384 &amp; _xlfn.REGEXEXTRACT(G384,"^[^_]+_\d{4}") &amp; ".pdf"</f>
        <v>https://www.ocf.berkeley.edu/~pkmendez/envsci/projects/2018final/JohnsonI_2018.pdf</v>
      </c>
      <c r="J384" s="1" t="str">
        <f t="shared" si="5"/>
        <v>https://www.ocf.berkeley.edu/~pkmendez/envsci/projects/2018final/JohnsonI_2018.pdf</v>
      </c>
      <c r="K384" s="2" t="str" cm="1">
        <f t="array" ref="K384:O384">_xlfn.TAKE(TRIM(_xlfn.TEXTSPLIT(F384,{",",";"})),,5)</f>
        <v>Traditional ecological knowledge</v>
      </c>
      <c r="L384" s="2" t="str">
        <v>western ecological knowledge</v>
      </c>
      <c r="M384" s="2" t="str">
        <v>Yurok language revitalization</v>
      </c>
      <c r="N384" s="2" t="str">
        <v>chmuuek (bobcat</v>
      </c>
      <c r="O384" s="2" t="str">
        <v>Lynx rufus)</v>
      </c>
      <c r="P384" s="2" t="s">
        <v>9</v>
      </c>
      <c r="Q384" s="2" t="s">
        <v>10</v>
      </c>
    </row>
    <row r="385" spans="1:17" x14ac:dyDescent="0.35">
      <c r="A385" s="2" t="s">
        <v>5884</v>
      </c>
      <c r="B385" s="2" t="s">
        <v>1925</v>
      </c>
      <c r="C385" s="2" t="s">
        <v>1926</v>
      </c>
      <c r="D385" s="2">
        <v>2018</v>
      </c>
      <c r="E385" s="2" t="s">
        <v>1927</v>
      </c>
      <c r="F385" s="2" t="s">
        <v>1928</v>
      </c>
      <c r="G385" s="2" t="s">
        <v>1929</v>
      </c>
      <c r="H385" s="2" t="s">
        <v>1859</v>
      </c>
      <c r="I385" s="2" t="str" cm="1">
        <f t="array" ref="I385">H385 &amp; _xlfn.REGEXEXTRACT(G385,"^[^_]+_\d{4}") &amp; ".pdf"</f>
        <v>https://www.ocf.berkeley.edu/~pkmendez/envsci/projects/2018final/KimJ_2018.pdf</v>
      </c>
      <c r="J385" s="1" t="str">
        <f t="shared" si="5"/>
        <v>https://www.ocf.berkeley.edu/~pkmendez/envsci/projects/2018final/KimJ_2018.pdf</v>
      </c>
      <c r="K385" s="2" t="str" cm="1">
        <f t="array" ref="K385:O385">_xlfn.TAKE(TRIM(_xlfn.TEXTSPLIT(F385,{",",";"})),,5)</f>
        <v>Coal</v>
      </c>
      <c r="L385" s="2" t="str">
        <v>oil</v>
      </c>
      <c r="M385" s="2" t="str">
        <v>natural gas</v>
      </c>
      <c r="N385" s="2" t="str">
        <v>virtual water trade</v>
      </c>
      <c r="O385" s="2" t="str">
        <v>water energy nexus</v>
      </c>
      <c r="P385" s="2" t="s">
        <v>9</v>
      </c>
      <c r="Q385" s="2" t="s">
        <v>10</v>
      </c>
    </row>
    <row r="386" spans="1:17" x14ac:dyDescent="0.35">
      <c r="A386" s="2" t="s">
        <v>5884</v>
      </c>
      <c r="B386" s="2" t="s">
        <v>1930</v>
      </c>
      <c r="C386" s="2" t="s">
        <v>1931</v>
      </c>
      <c r="D386" s="2">
        <v>2018</v>
      </c>
      <c r="E386" s="2" t="s">
        <v>1932</v>
      </c>
      <c r="F386" s="2" t="s">
        <v>1933</v>
      </c>
      <c r="G386" s="2" t="s">
        <v>1934</v>
      </c>
      <c r="H386" s="2" t="s">
        <v>1859</v>
      </c>
      <c r="I386" s="2" t="str" cm="1">
        <f t="array" ref="I386">H386 &amp; _xlfn.REGEXEXTRACT(G386,"^[^_]+_\d{4}") &amp; ".pdf"</f>
        <v>https://www.ocf.berkeley.edu/~pkmendez/envsci/projects/2018final/KleinZ_2018.pdf</v>
      </c>
      <c r="J386" s="1" t="str">
        <f t="shared" si="5"/>
        <v>https://www.ocf.berkeley.edu/~pkmendez/envsci/projects/2018final/KleinZ_2018.pdf</v>
      </c>
      <c r="K386" s="2" t="str" cm="1">
        <f t="array" ref="K386:O386">_xlfn.TAKE(TRIM(_xlfn.TEXTSPLIT(F386,{",",";"})),,5)</f>
        <v>decomposition</v>
      </c>
      <c r="L386" s="2" t="str">
        <v>degradation</v>
      </c>
      <c r="M386" s="2" t="str">
        <v>Hubbard Brook Experimental Forest</v>
      </c>
      <c r="N386" s="2" t="str">
        <v>carbon</v>
      </c>
      <c r="O386" s="2" t="str">
        <v>monitoring protocol</v>
      </c>
      <c r="P386" s="2" t="s">
        <v>9</v>
      </c>
      <c r="Q386" s="2" t="s">
        <v>10</v>
      </c>
    </row>
    <row r="387" spans="1:17" x14ac:dyDescent="0.35">
      <c r="A387" s="2" t="s">
        <v>5884</v>
      </c>
      <c r="B387" s="2" t="s">
        <v>1935</v>
      </c>
      <c r="C387" s="2" t="s">
        <v>1936</v>
      </c>
      <c r="D387" s="2">
        <v>2018</v>
      </c>
      <c r="E387" s="2" t="s">
        <v>1937</v>
      </c>
      <c r="F387" s="2" t="s">
        <v>1938</v>
      </c>
      <c r="G387" s="2" t="s">
        <v>1939</v>
      </c>
      <c r="H387" s="2" t="s">
        <v>1859</v>
      </c>
      <c r="I387" s="2" t="str" cm="1">
        <f t="array" ref="I387">H387 &amp; _xlfn.REGEXEXTRACT(G387,"^[^_]+_\d{4}") &amp; ".pdf"</f>
        <v>https://www.ocf.berkeley.edu/~pkmendez/envsci/projects/2018final/KouS_2018.pdf</v>
      </c>
      <c r="J387" s="1" t="str">
        <f t="shared" ref="J387:J450" si="6">HYPERLINK(I387, I387)</f>
        <v>https://www.ocf.berkeley.edu/~pkmendez/envsci/projects/2018final/KouS_2018.pdf</v>
      </c>
      <c r="K387" s="2" t="str" cm="1">
        <f t="array" ref="K387:O387">_xlfn.TAKE(TRIM(_xlfn.TEXTSPLIT(F387,{",",";"})),,5)</f>
        <v>Community Solar</v>
      </c>
      <c r="L387" s="2" t="str">
        <v>Shared Solar</v>
      </c>
      <c r="M387" s="2" t="str">
        <v>Parametric Study</v>
      </c>
      <c r="N387" s="2" t="str">
        <v>Economic Evaluation</v>
      </c>
      <c r="O387" s="2" t="str">
        <v>DER-CAM</v>
      </c>
      <c r="P387" s="2" t="s">
        <v>9</v>
      </c>
      <c r="Q387" s="2" t="s">
        <v>10</v>
      </c>
    </row>
    <row r="388" spans="1:17" x14ac:dyDescent="0.35">
      <c r="A388" s="2" t="s">
        <v>5884</v>
      </c>
      <c r="B388" s="2" t="s">
        <v>1940</v>
      </c>
      <c r="C388" s="2" t="s">
        <v>1941</v>
      </c>
      <c r="D388" s="2">
        <v>2018</v>
      </c>
      <c r="E388" s="2" t="s">
        <v>1942</v>
      </c>
      <c r="F388" s="2" t="s">
        <v>1943</v>
      </c>
      <c r="G388" s="2" t="s">
        <v>1944</v>
      </c>
      <c r="H388" s="2" t="s">
        <v>1859</v>
      </c>
      <c r="I388" s="2" t="str" cm="1">
        <f t="array" ref="I388">H388 &amp; _xlfn.REGEXEXTRACT(G388,"^[^_]+_\d{4}") &amp; ".pdf"</f>
        <v>https://www.ocf.berkeley.edu/~pkmendez/envsci/projects/2018final/LawK_2018.pdf</v>
      </c>
      <c r="J388" s="1" t="str">
        <f t="shared" si="6"/>
        <v>https://www.ocf.berkeley.edu/~pkmendez/envsci/projects/2018final/LawK_2018.pdf</v>
      </c>
      <c r="K388" s="2" t="str" cm="1">
        <f t="array" ref="K388:O388">_xlfn.TAKE(TRIM(_xlfn.TEXTSPLIT(F388,{",",";"})),,5)</f>
        <v>Glomeromycota</v>
      </c>
      <c r="L388" s="2" t="str">
        <v>exudates</v>
      </c>
      <c r="M388" s="2" t="str">
        <v>AMF species diversity</v>
      </c>
      <c r="N388" s="2" t="str">
        <v>rhizosphere</v>
      </c>
      <c r="O388" s="2" t="str">
        <v>plant-fungal interactions</v>
      </c>
      <c r="P388" s="2" t="s">
        <v>9</v>
      </c>
      <c r="Q388" s="2" t="s">
        <v>10</v>
      </c>
    </row>
    <row r="389" spans="1:17" x14ac:dyDescent="0.35">
      <c r="A389" s="2" t="s">
        <v>5884</v>
      </c>
      <c r="B389" s="2" t="s">
        <v>1945</v>
      </c>
      <c r="C389" s="2" t="s">
        <v>1946</v>
      </c>
      <c r="D389" s="2">
        <v>2018</v>
      </c>
      <c r="E389" s="2" t="s">
        <v>1947</v>
      </c>
      <c r="F389" s="2" t="s">
        <v>1948</v>
      </c>
      <c r="G389" s="2" t="s">
        <v>1949</v>
      </c>
      <c r="H389" s="2" t="s">
        <v>1859</v>
      </c>
      <c r="I389" s="2" t="str" cm="1">
        <f t="array" ref="I389">H389 &amp; _xlfn.REGEXEXTRACT(G389,"^[^_]+_\d{4}") &amp; ".pdf"</f>
        <v>https://www.ocf.berkeley.edu/~pkmendez/envsci/projects/2018final/LeeK_2018.pdf</v>
      </c>
      <c r="J389" s="1" t="str">
        <f t="shared" si="6"/>
        <v>https://www.ocf.berkeley.edu/~pkmendez/envsci/projects/2018final/LeeK_2018.pdf</v>
      </c>
      <c r="K389" s="2" t="str" cm="1">
        <f t="array" ref="K389:O389">_xlfn.TAKE(TRIM(_xlfn.TEXTSPLIT(F389,{",",";"})),,5)</f>
        <v>climate change</v>
      </c>
      <c r="L389" s="2" t="str">
        <v>discourse analysis</v>
      </c>
      <c r="M389" s="2" t="str">
        <v>media analysis</v>
      </c>
      <c r="N389" s="2" t="str">
        <v>The New York Times</v>
      </c>
      <c r="O389" s="2" t="str">
        <v>The Wall Street Journal</v>
      </c>
      <c r="P389" s="2" t="s">
        <v>9</v>
      </c>
      <c r="Q389" s="2" t="s">
        <v>10</v>
      </c>
    </row>
    <row r="390" spans="1:17" x14ac:dyDescent="0.35">
      <c r="A390" s="2" t="s">
        <v>5884</v>
      </c>
      <c r="B390" s="2" t="s">
        <v>1950</v>
      </c>
      <c r="C390" s="2" t="s">
        <v>1951</v>
      </c>
      <c r="D390" s="2">
        <v>2018</v>
      </c>
      <c r="E390" s="2" t="s">
        <v>1952</v>
      </c>
      <c r="F390" s="2" t="s">
        <v>1953</v>
      </c>
      <c r="G390" s="2" t="s">
        <v>1954</v>
      </c>
      <c r="H390" s="2" t="s">
        <v>1859</v>
      </c>
      <c r="I390" s="2" t="str" cm="1">
        <f t="array" ref="I390">H390 &amp; _xlfn.REGEXEXTRACT(G390,"^[^_]+_\d{4}") &amp; ".pdf"</f>
        <v>https://www.ocf.berkeley.edu/~pkmendez/envsci/projects/2018final/LeikerS_2018.pdf</v>
      </c>
      <c r="J390" s="1" t="str">
        <f t="shared" si="6"/>
        <v>https://www.ocf.berkeley.edu/~pkmendez/envsci/projects/2018final/LeikerS_2018.pdf</v>
      </c>
      <c r="K390" s="2" t="str" cm="1">
        <f t="array" ref="K390:O390">_xlfn.TAKE(TRIM(_xlfn.TEXTSPLIT(F390,{",",";"})),,5)</f>
        <v>Ocean Energy</v>
      </c>
      <c r="L390" s="2" t="str">
        <v>Wave Energy Converters</v>
      </c>
      <c r="M390" s="2" t="str">
        <v>Rotating Turbine Current Energy</v>
      </c>
      <c r="N390" s="2" t="str">
        <v>Wave Power Parameters</v>
      </c>
      <c r="O390" s="2" t="str">
        <v>Geographic Information Systems (GIS) Suitability Analysis</v>
      </c>
      <c r="P390" s="2" t="s">
        <v>9</v>
      </c>
      <c r="Q390" s="2" t="s">
        <v>10</v>
      </c>
    </row>
    <row r="391" spans="1:17" x14ac:dyDescent="0.35">
      <c r="A391" s="2" t="s">
        <v>5884</v>
      </c>
      <c r="B391" s="2" t="s">
        <v>1955</v>
      </c>
      <c r="C391" s="2" t="s">
        <v>1956</v>
      </c>
      <c r="D391" s="2">
        <v>2018</v>
      </c>
      <c r="E391" s="2" t="s">
        <v>1957</v>
      </c>
      <c r="F391" s="2" t="s">
        <v>1958</v>
      </c>
      <c r="G391" s="2" t="s">
        <v>1959</v>
      </c>
      <c r="H391" s="2" t="s">
        <v>1859</v>
      </c>
      <c r="I391" s="2" t="str" cm="1">
        <f t="array" ref="I391">H391 &amp; _xlfn.REGEXEXTRACT(G391,"^[^_]+_\d{4}") &amp; ".pdf"</f>
        <v>https://www.ocf.berkeley.edu/~pkmendez/envsci/projects/2018final/LiZ_2018.pdf</v>
      </c>
      <c r="J391" s="1" t="str">
        <f t="shared" si="6"/>
        <v>https://www.ocf.berkeley.edu/~pkmendez/envsci/projects/2018final/LiZ_2018.pdf</v>
      </c>
      <c r="K391" s="2" t="str" cm="1">
        <f t="array" ref="K391:O391">_xlfn.TAKE(TRIM(_xlfn.TEXTSPLIT(F391,{",",";"})),,5)</f>
        <v>soil carbon</v>
      </c>
      <c r="L391" s="2" t="str">
        <v>environmental influences</v>
      </c>
      <c r="M391" s="2" t="str">
        <v>land restoration</v>
      </c>
      <c r="N391" s="2" t="str">
        <v>meta-analysis</v>
      </c>
      <c r="O391" s="2" t="str">
        <v>ANOVA test</v>
      </c>
      <c r="P391" s="2" t="s">
        <v>9</v>
      </c>
      <c r="Q391" s="2" t="s">
        <v>10</v>
      </c>
    </row>
    <row r="392" spans="1:17" x14ac:dyDescent="0.35">
      <c r="A392" s="2" t="s">
        <v>5884</v>
      </c>
      <c r="B392" s="2" t="s">
        <v>1960</v>
      </c>
      <c r="C392" s="2" t="s">
        <v>1961</v>
      </c>
      <c r="D392" s="2">
        <v>2018</v>
      </c>
      <c r="E392" s="2" t="s">
        <v>1962</v>
      </c>
      <c r="F392" s="2" t="s">
        <v>1963</v>
      </c>
      <c r="G392" s="2" t="s">
        <v>1964</v>
      </c>
      <c r="H392" s="2" t="s">
        <v>1859</v>
      </c>
      <c r="I392" s="2" t="str" cm="1">
        <f t="array" ref="I392">H392 &amp; _xlfn.REGEXEXTRACT(G392,"^[^_]+_\d{4}") &amp; ".pdf"</f>
        <v>https://www.ocf.berkeley.edu/~pkmendez/envsci/projects/2018final/LyalinaK_2018.pdf</v>
      </c>
      <c r="J392" s="1" t="str">
        <f t="shared" si="6"/>
        <v>https://www.ocf.berkeley.edu/~pkmendez/envsci/projects/2018final/LyalinaK_2018.pdf</v>
      </c>
      <c r="K392" s="2" t="str" cm="1">
        <f t="array" ref="K392:O392">_xlfn.TAKE(TRIM(_xlfn.TEXTSPLIT(F392,{",",";"})),,5)</f>
        <v>microscopic propagules</v>
      </c>
      <c r="L392" s="2" t="str">
        <v>macroalgal blooms</v>
      </c>
      <c r="M392" s="2" t="str">
        <v>germlings</v>
      </c>
      <c r="N392" s="2" t="str">
        <v>eutrophication</v>
      </c>
      <c r="O392" s="2" t="str">
        <v>temperatures</v>
      </c>
      <c r="P392" s="2" t="s">
        <v>9</v>
      </c>
      <c r="Q392" s="2" t="s">
        <v>10</v>
      </c>
    </row>
    <row r="393" spans="1:17" x14ac:dyDescent="0.35">
      <c r="A393" s="2" t="s">
        <v>5884</v>
      </c>
      <c r="B393" s="2" t="s">
        <v>1965</v>
      </c>
      <c r="C393" s="2" t="s">
        <v>1966</v>
      </c>
      <c r="D393" s="2">
        <v>2018</v>
      </c>
      <c r="E393" s="2" t="s">
        <v>1967</v>
      </c>
      <c r="F393" s="2" t="s">
        <v>1968</v>
      </c>
      <c r="G393" s="2" t="s">
        <v>1969</v>
      </c>
      <c r="H393" s="2" t="s">
        <v>1859</v>
      </c>
      <c r="I393" s="2" t="str" cm="1">
        <f t="array" ref="I393">H393 &amp; _xlfn.REGEXEXTRACT(G393,"^[^_]+_\d{4}") &amp; ".pdf"</f>
        <v>https://www.ocf.berkeley.edu/~pkmendez/envsci/projects/2018final/MannanS_2018.pdf</v>
      </c>
      <c r="J393" s="1" t="str">
        <f t="shared" si="6"/>
        <v>https://www.ocf.berkeley.edu/~pkmendez/envsci/projects/2018final/MannanS_2018.pdf</v>
      </c>
      <c r="K393" s="2" t="str" cm="1">
        <f t="array" ref="K393:O393">_xlfn.TAKE(TRIM(_xlfn.TEXTSPLIT(F393,{",",";"})),,5)</f>
        <v>Monte Carlo Simulation</v>
      </c>
      <c r="L393" s="2" t="str">
        <v>breakeven distance</v>
      </c>
      <c r="M393" s="2" t="str">
        <v>energy access</v>
      </c>
      <c r="N393" s="2" t="str">
        <v>distributed renewable energy</v>
      </c>
      <c r="O393" s="2" t="str">
        <v>distributed renewable energy</v>
      </c>
      <c r="P393" s="2" t="s">
        <v>9</v>
      </c>
      <c r="Q393" s="2" t="s">
        <v>10</v>
      </c>
    </row>
    <row r="394" spans="1:17" x14ac:dyDescent="0.35">
      <c r="A394" s="2" t="s">
        <v>5884</v>
      </c>
      <c r="B394" s="2" t="s">
        <v>1970</v>
      </c>
      <c r="C394" s="2" t="s">
        <v>1971</v>
      </c>
      <c r="D394" s="2">
        <v>2018</v>
      </c>
      <c r="E394" s="2" t="s">
        <v>1972</v>
      </c>
      <c r="F394" s="2" t="s">
        <v>1973</v>
      </c>
      <c r="G394" s="2" t="s">
        <v>1974</v>
      </c>
      <c r="H394" s="2" t="s">
        <v>1859</v>
      </c>
      <c r="I394" s="2" t="str" cm="1">
        <f t="array" ref="I394">H394 &amp; _xlfn.REGEXEXTRACT(G394,"^[^_]+_\d{4}") &amp; ".pdf"</f>
        <v>https://www.ocf.berkeley.edu/~pkmendez/envsci/projects/2018final/MartinezR_2018.pdf</v>
      </c>
      <c r="J394" s="1" t="str">
        <f t="shared" si="6"/>
        <v>https://www.ocf.berkeley.edu/~pkmendez/envsci/projects/2018final/MartinezR_2018.pdf</v>
      </c>
      <c r="K394" s="2" t="str" cm="1">
        <f t="array" ref="K394:O394">_xlfn.TAKE(TRIM(_xlfn.TEXTSPLIT(F394,{",",";"})),,5)</f>
        <v>Phytoremediation</v>
      </c>
      <c r="L394" s="2" t="str">
        <v>Setaria viridis</v>
      </c>
      <c r="M394" s="2" t="str">
        <v>zinc</v>
      </c>
      <c r="N394" s="2" t="str">
        <v>Heavy Metal ATPase 3</v>
      </c>
      <c r="O394" s="2" t="str">
        <v>CRISPR</v>
      </c>
      <c r="P394" s="2" t="s">
        <v>9</v>
      </c>
      <c r="Q394" s="2" t="s">
        <v>10</v>
      </c>
    </row>
    <row r="395" spans="1:17" x14ac:dyDescent="0.35">
      <c r="A395" s="2" t="s">
        <v>5884</v>
      </c>
      <c r="B395" s="2" t="s">
        <v>1975</v>
      </c>
      <c r="C395" s="2" t="s">
        <v>1976</v>
      </c>
      <c r="D395" s="2">
        <v>2018</v>
      </c>
      <c r="E395" s="2" t="s">
        <v>1977</v>
      </c>
      <c r="F395" s="2" t="s">
        <v>1978</v>
      </c>
      <c r="G395" s="2" t="s">
        <v>1979</v>
      </c>
      <c r="H395" s="2" t="s">
        <v>1859</v>
      </c>
      <c r="I395" s="2" t="str" cm="1">
        <f t="array" ref="I395">H395 &amp; _xlfn.REGEXEXTRACT(G395,"^[^_]+_\d{4}") &amp; ".pdf"</f>
        <v>https://www.ocf.berkeley.edu/~pkmendez/envsci/projects/2018final/MendozaD_2018.pdf</v>
      </c>
      <c r="J395" s="1" t="str">
        <f t="shared" si="6"/>
        <v>https://www.ocf.berkeley.edu/~pkmendez/envsci/projects/2018final/MendozaD_2018.pdf</v>
      </c>
      <c r="K395" s="2" t="str" cm="1">
        <f t="array" ref="K395:N395">_xlfn.TAKE(TRIM(_xlfn.TEXTSPLIT(F395,{",",";"})),,5)</f>
        <v>Short multi-walled carbon nanotubes</v>
      </c>
      <c r="L395" s="2" t="str">
        <v>sodium lauryl sulfate</v>
      </c>
      <c r="M395" s="2" t="str">
        <v>enhanced electric field</v>
      </c>
      <c r="N395" s="2" t="str">
        <v>water disinfection</v>
      </c>
      <c r="P395" s="2" t="s">
        <v>9</v>
      </c>
      <c r="Q395" s="2" t="s">
        <v>10</v>
      </c>
    </row>
    <row r="396" spans="1:17" x14ac:dyDescent="0.35">
      <c r="A396" s="2" t="s">
        <v>5884</v>
      </c>
      <c r="B396" s="2" t="s">
        <v>1980</v>
      </c>
      <c r="C396" s="2" t="s">
        <v>1981</v>
      </c>
      <c r="D396" s="2">
        <v>2018</v>
      </c>
      <c r="E396" s="2" t="s">
        <v>1982</v>
      </c>
      <c r="F396" s="2" t="s">
        <v>1983</v>
      </c>
      <c r="G396" s="2" t="s">
        <v>1984</v>
      </c>
      <c r="H396" s="2" t="s">
        <v>1859</v>
      </c>
      <c r="I396" s="2" t="str" cm="1">
        <f t="array" ref="I396">H396 &amp; _xlfn.REGEXEXTRACT(G396,"^[^_]+_\d{4}") &amp; ".pdf"</f>
        <v>https://www.ocf.berkeley.edu/~pkmendez/envsci/projects/2018final/MouL_2018.pdf</v>
      </c>
      <c r="J396" s="1" t="str">
        <f t="shared" si="6"/>
        <v>https://www.ocf.berkeley.edu/~pkmendez/envsci/projects/2018final/MouL_2018.pdf</v>
      </c>
      <c r="K396" s="2" t="str" cm="1">
        <f t="array" ref="K396:O396">_xlfn.TAKE(TRIM(_xlfn.TEXTSPLIT(F396,{",",";"})),,5)</f>
        <v>UC Berkeley</v>
      </c>
      <c r="L396" s="2" t="str">
        <v>Parking</v>
      </c>
      <c r="M396" s="2" t="str">
        <v>Transportation</v>
      </c>
      <c r="N396" s="2" t="str">
        <v>Policy</v>
      </c>
      <c r="O396" s="2" t="str">
        <v>Sustainable transportation policy</v>
      </c>
      <c r="P396" s="2" t="s">
        <v>9</v>
      </c>
      <c r="Q396" s="2" t="s">
        <v>10</v>
      </c>
    </row>
    <row r="397" spans="1:17" x14ac:dyDescent="0.35">
      <c r="A397" s="2" t="s">
        <v>5884</v>
      </c>
      <c r="B397" s="2" t="s">
        <v>1985</v>
      </c>
      <c r="C397" s="2" t="s">
        <v>1986</v>
      </c>
      <c r="D397" s="2">
        <v>2018</v>
      </c>
      <c r="E397" s="2" t="s">
        <v>1987</v>
      </c>
      <c r="F397" s="2" t="s">
        <v>1988</v>
      </c>
      <c r="G397" s="2" t="s">
        <v>1989</v>
      </c>
      <c r="H397" s="2" t="s">
        <v>1859</v>
      </c>
      <c r="I397" s="2" t="str" cm="1">
        <f t="array" ref="I397">H397 &amp; _xlfn.REGEXEXTRACT(G397,"^[^_]+_\d{4}") &amp; ".pdf"</f>
        <v>https://www.ocf.berkeley.edu/~pkmendez/envsci/projects/2018final/MunozN_2018.pdf</v>
      </c>
      <c r="J397" s="1" t="str">
        <f t="shared" si="6"/>
        <v>https://www.ocf.berkeley.edu/~pkmendez/envsci/projects/2018final/MunozN_2018.pdf</v>
      </c>
      <c r="K397" s="2" t="str" cm="1">
        <f t="array" ref="K397:N397">_xlfn.TAKE(TRIM(_xlfn.TEXTSPLIT(F397,{",",";"})),,5)</f>
        <v>Discourse Analysis</v>
      </c>
      <c r="L397" s="2" t="str">
        <v>Pedagogy</v>
      </c>
      <c r="M397" s="2" t="str">
        <v>Epistemology</v>
      </c>
      <c r="N397" s="2" t="str">
        <v>Independent Student Research</v>
      </c>
      <c r="P397" s="2" t="s">
        <v>9</v>
      </c>
      <c r="Q397" s="2" t="s">
        <v>10</v>
      </c>
    </row>
    <row r="398" spans="1:17" x14ac:dyDescent="0.35">
      <c r="A398" s="2" t="s">
        <v>5884</v>
      </c>
      <c r="B398" s="2" t="s">
        <v>1990</v>
      </c>
      <c r="C398" s="2" t="s">
        <v>1991</v>
      </c>
      <c r="D398" s="2">
        <v>2018</v>
      </c>
      <c r="E398" s="2" t="s">
        <v>1992</v>
      </c>
      <c r="F398" s="2" t="s">
        <v>1993</v>
      </c>
      <c r="G398" s="2" t="s">
        <v>1994</v>
      </c>
      <c r="H398" s="2" t="s">
        <v>1859</v>
      </c>
      <c r="I398" s="2" t="str" cm="1">
        <f t="array" ref="I398">H398 &amp; _xlfn.REGEXEXTRACT(G398,"^[^_]+_\d{4}") &amp; ".pdf"</f>
        <v>https://www.ocf.berkeley.edu/~pkmendez/envsci/projects/2018final/NathwaniH_2018.pdf</v>
      </c>
      <c r="J398" s="1" t="str">
        <f t="shared" si="6"/>
        <v>https://www.ocf.berkeley.edu/~pkmendez/envsci/projects/2018final/NathwaniH_2018.pdf</v>
      </c>
      <c r="K398" s="2" t="str" cm="1">
        <f t="array" ref="K398:O398">_xlfn.TAKE(TRIM(_xlfn.TEXTSPLIT(F398,{",",";"})),,5)</f>
        <v>Solar power forecasting</v>
      </c>
      <c r="L398" s="2" t="str">
        <v>grid integration</v>
      </c>
      <c r="M398" s="2" t="str">
        <v>power system operations</v>
      </c>
      <c r="N398" s="2" t="str">
        <v>inherent uncertainties</v>
      </c>
      <c r="O398" s="2" t="str">
        <v>power forecast modelling</v>
      </c>
      <c r="P398" s="2" t="s">
        <v>9</v>
      </c>
      <c r="Q398" s="2" t="s">
        <v>10</v>
      </c>
    </row>
    <row r="399" spans="1:17" x14ac:dyDescent="0.35">
      <c r="A399" s="2" t="s">
        <v>5884</v>
      </c>
      <c r="B399" s="2" t="s">
        <v>1995</v>
      </c>
      <c r="C399" s="2" t="s">
        <v>1996</v>
      </c>
      <c r="D399" s="2">
        <v>2018</v>
      </c>
      <c r="E399" s="2" t="s">
        <v>1997</v>
      </c>
      <c r="F399" s="2" t="s">
        <v>1998</v>
      </c>
      <c r="G399" s="2" t="s">
        <v>1999</v>
      </c>
      <c r="H399" s="2" t="s">
        <v>1859</v>
      </c>
      <c r="I399" s="2" t="str" cm="1">
        <f t="array" ref="I399">H399 &amp; _xlfn.REGEXEXTRACT(G399,"^[^_]+_\d{4}") &amp; ".pdf"</f>
        <v>https://www.ocf.berkeley.edu/~pkmendez/envsci/projects/2018final/NealC_2018.pdf</v>
      </c>
      <c r="J399" s="1" t="str">
        <f t="shared" si="6"/>
        <v>https://www.ocf.berkeley.edu/~pkmendez/envsci/projects/2018final/NealC_2018.pdf</v>
      </c>
      <c r="K399" s="2" t="str" cm="1">
        <f t="array" ref="K399:O399">_xlfn.TAKE(TRIM(_xlfn.TEXTSPLIT(F399,{",",";"})),,5)</f>
        <v>California</v>
      </c>
      <c r="L399" s="2" t="str">
        <v>Escherichia coli (E. coli)</v>
      </c>
      <c r="M399" s="2" t="str">
        <v>policy</v>
      </c>
      <c r="N399" s="2" t="str">
        <v>Willow Creek</v>
      </c>
      <c r="O399" s="2" t="str">
        <v>forest</v>
      </c>
      <c r="P399" s="2" t="s">
        <v>9</v>
      </c>
      <c r="Q399" s="2" t="s">
        <v>10</v>
      </c>
    </row>
    <row r="400" spans="1:17" x14ac:dyDescent="0.35">
      <c r="A400" s="2" t="s">
        <v>5884</v>
      </c>
      <c r="B400" s="2" t="s">
        <v>2000</v>
      </c>
      <c r="C400" s="2" t="s">
        <v>2001</v>
      </c>
      <c r="D400" s="2">
        <v>2018</v>
      </c>
      <c r="E400" s="2" t="s">
        <v>2002</v>
      </c>
      <c r="F400" s="2" t="s">
        <v>2003</v>
      </c>
      <c r="G400" s="2" t="s">
        <v>2004</v>
      </c>
      <c r="H400" s="2" t="s">
        <v>1859</v>
      </c>
      <c r="I400" s="2" t="str" cm="1">
        <f t="array" ref="I400">H400 &amp; _xlfn.REGEXEXTRACT(G400,"^[^_]+_\d{4}") &amp; ".pdf"</f>
        <v>https://www.ocf.berkeley.edu/~pkmendez/envsci/projects/2018final/NordahlS_2018.pdf</v>
      </c>
      <c r="J400" s="1" t="str">
        <f t="shared" si="6"/>
        <v>https://www.ocf.berkeley.edu/~pkmendez/envsci/projects/2018final/NordahlS_2018.pdf</v>
      </c>
      <c r="K400" s="2" t="str" cm="1">
        <f t="array" ref="K400:O400">_xlfn.TAKE(TRIM(_xlfn.TEXTSPLIT(F400,{",",";"})),,5)</f>
        <v>waste management</v>
      </c>
      <c r="L400" s="2" t="str">
        <v>energy recovery</v>
      </c>
      <c r="M400" s="2" t="str">
        <v>landfills</v>
      </c>
      <c r="N400" s="2" t="str">
        <v>compost</v>
      </c>
      <c r="O400" s="2" t="str">
        <v>life-cycle greenhouse gas emissions</v>
      </c>
      <c r="P400" s="2" t="s">
        <v>9</v>
      </c>
      <c r="Q400" s="2" t="s">
        <v>10</v>
      </c>
    </row>
    <row r="401" spans="1:17" x14ac:dyDescent="0.35">
      <c r="A401" s="2" t="s">
        <v>5884</v>
      </c>
      <c r="B401" s="2" t="s">
        <v>2005</v>
      </c>
      <c r="C401" s="2" t="s">
        <v>2006</v>
      </c>
      <c r="D401" s="2">
        <v>2018</v>
      </c>
      <c r="E401" s="2" t="s">
        <v>2007</v>
      </c>
      <c r="F401" s="2" t="s">
        <v>2008</v>
      </c>
      <c r="G401" s="2" t="s">
        <v>2009</v>
      </c>
      <c r="H401" s="2" t="s">
        <v>1859</v>
      </c>
      <c r="I401" s="2" t="str" cm="1">
        <f t="array" ref="I401">H401 &amp; _xlfn.REGEXEXTRACT(G401,"^[^_]+_\d{4}") &amp; ".pdf"</f>
        <v>https://www.ocf.berkeley.edu/~pkmendez/envsci/projects/2018final/OhanianL_2018.pdf</v>
      </c>
      <c r="J401" s="1" t="str">
        <f t="shared" si="6"/>
        <v>https://www.ocf.berkeley.edu/~pkmendez/envsci/projects/2018final/OhanianL_2018.pdf</v>
      </c>
      <c r="K401" s="2" t="str" cm="1">
        <f t="array" ref="K401:O401">_xlfn.TAKE(TRIM(_xlfn.TEXTSPLIT(F401,{",",";"})),,5)</f>
        <v>GIS</v>
      </c>
      <c r="L401" s="2" t="str">
        <v>chytridiomycosis</v>
      </c>
      <c r="M401" s="2" t="str">
        <v>spatial analysis</v>
      </c>
      <c r="N401" s="2" t="str">
        <v>disease</v>
      </c>
      <c r="O401" s="2" t="str">
        <v>suitability model</v>
      </c>
      <c r="P401" s="2" t="s">
        <v>9</v>
      </c>
      <c r="Q401" s="2" t="s">
        <v>10</v>
      </c>
    </row>
    <row r="402" spans="1:17" x14ac:dyDescent="0.35">
      <c r="A402" s="2" t="s">
        <v>5884</v>
      </c>
      <c r="B402" s="2" t="s">
        <v>2010</v>
      </c>
      <c r="C402" s="2" t="s">
        <v>2011</v>
      </c>
      <c r="D402" s="2">
        <v>2018</v>
      </c>
      <c r="E402" s="2" t="s">
        <v>2012</v>
      </c>
      <c r="F402" s="2" t="s">
        <v>2013</v>
      </c>
      <c r="G402" s="2" t="s">
        <v>2014</v>
      </c>
      <c r="H402" s="2" t="s">
        <v>1859</v>
      </c>
      <c r="I402" s="2" t="str" cm="1">
        <f t="array" ref="I402">H402 &amp; _xlfn.REGEXEXTRACT(G402,"^[^_]+_\d{4}") &amp; ".pdf"</f>
        <v>https://www.ocf.berkeley.edu/~pkmendez/envsci/projects/2018final/PeacockA_2018.pdf</v>
      </c>
      <c r="J402" s="1" t="str">
        <f t="shared" si="6"/>
        <v>https://www.ocf.berkeley.edu/~pkmendez/envsci/projects/2018final/PeacockA_2018.pdf</v>
      </c>
      <c r="K402" s="2" t="str" cm="1">
        <f t="array" ref="K402:O402">_xlfn.TAKE(TRIM(_xlfn.TEXTSPLIT(F402,{",",";"})),,5)</f>
        <v>GIS</v>
      </c>
      <c r="L402" s="2" t="str">
        <v>Spectral Vegetation Indices</v>
      </c>
      <c r="M402" s="2" t="str">
        <v>Change Detection</v>
      </c>
      <c r="N402" s="2" t="str">
        <v>Landscape Metrics</v>
      </c>
      <c r="O402" s="2" t="str">
        <v>NAIP</v>
      </c>
      <c r="P402" s="2" t="s">
        <v>9</v>
      </c>
      <c r="Q402" s="2" t="s">
        <v>10</v>
      </c>
    </row>
    <row r="403" spans="1:17" x14ac:dyDescent="0.35">
      <c r="A403" s="2" t="s">
        <v>5884</v>
      </c>
      <c r="B403" s="2" t="s">
        <v>2015</v>
      </c>
      <c r="C403" s="2" t="s">
        <v>2016</v>
      </c>
      <c r="D403" s="2">
        <v>2018</v>
      </c>
      <c r="E403" s="2" t="s">
        <v>2017</v>
      </c>
      <c r="F403" s="2" t="s">
        <v>2018</v>
      </c>
      <c r="G403" s="2" t="s">
        <v>2019</v>
      </c>
      <c r="H403" s="2" t="s">
        <v>1859</v>
      </c>
      <c r="I403" s="2" t="str" cm="1">
        <f t="array" ref="I403">H403 &amp; _xlfn.REGEXEXTRACT(G403,"^[^_]+_\d{4}") &amp; ".pdf"</f>
        <v>https://www.ocf.berkeley.edu/~pkmendez/envsci/projects/2018final/PridonoffB_2018.pdf</v>
      </c>
      <c r="J403" s="1" t="str">
        <f t="shared" si="6"/>
        <v>https://www.ocf.berkeley.edu/~pkmendez/envsci/projects/2018final/PridonoffB_2018.pdf</v>
      </c>
      <c r="K403" s="2" t="str" cm="1">
        <f t="array" ref="K403:O403">_xlfn.TAKE(TRIM(_xlfn.TEXTSPLIT(F403,{",",";"})),,5)</f>
        <v>Mountain lion</v>
      </c>
      <c r="L403" s="2" t="str">
        <v>diversity</v>
      </c>
      <c r="M403" s="2" t="str">
        <v>coyote</v>
      </c>
      <c r="N403" s="2" t="str">
        <v>mesopredator release</v>
      </c>
      <c r="O403" s="2" t="str">
        <v>occupancy modeling</v>
      </c>
      <c r="P403" s="2" t="s">
        <v>9</v>
      </c>
      <c r="Q403" s="2" t="s">
        <v>10</v>
      </c>
    </row>
    <row r="404" spans="1:17" x14ac:dyDescent="0.35">
      <c r="A404" s="2" t="s">
        <v>5884</v>
      </c>
      <c r="B404" s="2" t="s">
        <v>2020</v>
      </c>
      <c r="C404" s="2" t="s">
        <v>2021</v>
      </c>
      <c r="D404" s="2">
        <v>2018</v>
      </c>
      <c r="E404" s="2" t="s">
        <v>2022</v>
      </c>
      <c r="F404" s="2" t="s">
        <v>2023</v>
      </c>
      <c r="G404" s="2" t="s">
        <v>2024</v>
      </c>
      <c r="H404" s="2" t="s">
        <v>1859</v>
      </c>
      <c r="I404" s="2" t="str" cm="1">
        <f t="array" ref="I404">H404 &amp; _xlfn.REGEXEXTRACT(G404,"^[^_]+_\d{4}") &amp; ".pdf"</f>
        <v>https://www.ocf.berkeley.edu/~pkmendez/envsci/projects/2018final/QuintanaC_2018.pdf</v>
      </c>
      <c r="J404" s="1" t="str">
        <f t="shared" si="6"/>
        <v>https://www.ocf.berkeley.edu/~pkmendez/envsci/projects/2018final/QuintanaC_2018.pdf</v>
      </c>
      <c r="K404" s="2" t="str" cm="1">
        <f t="array" ref="K404:O404">_xlfn.TAKE(TRIM(_xlfn.TEXTSPLIT(F404,{",",";"})),,5)</f>
        <v>Carbon storage</v>
      </c>
      <c r="L404" s="2" t="str">
        <v>forest restoration</v>
      </c>
      <c r="M404" s="2" t="str">
        <v>managed fire</v>
      </c>
      <c r="N404" s="2" t="str">
        <v>mixed conifer</v>
      </c>
      <c r="O404" s="2" t="str">
        <v>Yosemite</v>
      </c>
      <c r="P404" s="2" t="s">
        <v>9</v>
      </c>
      <c r="Q404" s="2" t="s">
        <v>10</v>
      </c>
    </row>
    <row r="405" spans="1:17" x14ac:dyDescent="0.35">
      <c r="A405" s="2" t="s">
        <v>5884</v>
      </c>
      <c r="B405" s="2" t="s">
        <v>2025</v>
      </c>
      <c r="C405" s="2" t="s">
        <v>2026</v>
      </c>
      <c r="D405" s="2">
        <v>2018</v>
      </c>
      <c r="E405" s="2" t="s">
        <v>2027</v>
      </c>
      <c r="F405" s="2" t="s">
        <v>2028</v>
      </c>
      <c r="G405" s="2" t="s">
        <v>2029</v>
      </c>
      <c r="H405" s="2" t="s">
        <v>1859</v>
      </c>
      <c r="I405" s="2" t="str" cm="1">
        <f t="array" ref="I405">H405 &amp; _xlfn.REGEXEXTRACT(G405,"^[^_]+_\d{4}") &amp; ".pdf"</f>
        <v>https://www.ocf.berkeley.edu/~pkmendez/envsci/projects/2018final/ReddenJ_2018.pdf</v>
      </c>
      <c r="J405" s="1" t="str">
        <f t="shared" si="6"/>
        <v>https://www.ocf.berkeley.edu/~pkmendez/envsci/projects/2018final/ReddenJ_2018.pdf</v>
      </c>
      <c r="K405" s="2" t="str" cm="1">
        <f t="array" ref="K405:O405">_xlfn.TAKE(TRIM(_xlfn.TEXTSPLIT(F405,{",",";"})),,5)</f>
        <v>Greek system</v>
      </c>
      <c r="L405" s="2" t="str">
        <v>institutional barriers</v>
      </c>
      <c r="M405" s="2" t="str">
        <v>behavioral barriers</v>
      </c>
      <c r="N405" s="2" t="str">
        <v>value-action gap</v>
      </c>
      <c r="O405" s="2" t="str">
        <v>resource conservation</v>
      </c>
      <c r="P405" s="2" t="s">
        <v>9</v>
      </c>
      <c r="Q405" s="2" t="s">
        <v>10</v>
      </c>
    </row>
    <row r="406" spans="1:17" x14ac:dyDescent="0.35">
      <c r="A406" s="2" t="s">
        <v>5884</v>
      </c>
      <c r="B406" s="2" t="s">
        <v>2030</v>
      </c>
      <c r="C406" s="2" t="s">
        <v>2031</v>
      </c>
      <c r="D406" s="2">
        <v>2018</v>
      </c>
      <c r="E406" s="2" t="s">
        <v>2032</v>
      </c>
      <c r="F406" s="2" t="s">
        <v>2033</v>
      </c>
      <c r="G406" s="2" t="s">
        <v>2034</v>
      </c>
      <c r="H406" s="2" t="s">
        <v>1859</v>
      </c>
      <c r="I406" s="2" t="str" cm="1">
        <f t="array" ref="I406">H406 &amp; _xlfn.REGEXEXTRACT(G406,"^[^_]+_\d{4}") &amp; ".pdf"</f>
        <v>https://www.ocf.berkeley.edu/~pkmendez/envsci/projects/2018final/RiceK_2018.pdf</v>
      </c>
      <c r="J406" s="1" t="str">
        <f t="shared" si="6"/>
        <v>https://www.ocf.berkeley.edu/~pkmendez/envsci/projects/2018final/RiceK_2018.pdf</v>
      </c>
      <c r="K406" s="2" t="str" cm="1">
        <f t="array" ref="K406:O406">_xlfn.TAKE(TRIM(_xlfn.TEXTSPLIT(F406,{",",";"})),,5)</f>
        <v>Ecosystem-based marine management</v>
      </c>
      <c r="L406" s="2" t="str">
        <v>marine protected areas</v>
      </c>
      <c r="M406" s="2" t="str">
        <v>species inventory</v>
      </c>
      <c r="N406" s="2" t="str">
        <v>inventory development and design</v>
      </c>
      <c r="O406" s="2" t="str">
        <v>national marine sanctuaries</v>
      </c>
      <c r="P406" s="2" t="s">
        <v>9</v>
      </c>
      <c r="Q406" s="2" t="s">
        <v>10</v>
      </c>
    </row>
    <row r="407" spans="1:17" x14ac:dyDescent="0.35">
      <c r="A407" s="2" t="s">
        <v>5884</v>
      </c>
      <c r="B407" s="2" t="s">
        <v>2035</v>
      </c>
      <c r="C407" s="2" t="s">
        <v>2036</v>
      </c>
      <c r="D407" s="2">
        <v>2018</v>
      </c>
      <c r="E407" s="2" t="s">
        <v>2037</v>
      </c>
      <c r="F407" s="2" t="s">
        <v>2038</v>
      </c>
      <c r="G407" s="2" t="s">
        <v>2039</v>
      </c>
      <c r="H407" s="2" t="s">
        <v>1859</v>
      </c>
      <c r="I407" s="2" t="str" cm="1">
        <f t="array" ref="I407">H407 &amp; _xlfn.REGEXEXTRACT(G407,"^[^_]+_\d{4}") &amp; ".pdf"</f>
        <v>https://www.ocf.berkeley.edu/~pkmendez/envsci/projects/2018final/RomeroR_2018.pdf</v>
      </c>
      <c r="J407" s="1" t="str">
        <f t="shared" si="6"/>
        <v>https://www.ocf.berkeley.edu/~pkmendez/envsci/projects/2018final/RomeroR_2018.pdf</v>
      </c>
      <c r="K407" s="2" t="str" cm="1">
        <f t="array" ref="K407:O407">_xlfn.TAKE(TRIM(_xlfn.TEXTSPLIT(F407,{",",";"})),,5)</f>
        <v>climate science</v>
      </c>
      <c r="L407" s="2" t="str">
        <v>curriculum development</v>
      </c>
      <c r="M407" s="2" t="str">
        <v>K-12 pedagogy</v>
      </c>
      <c r="N407" s="2" t="str">
        <v>climate change mitigation</v>
      </c>
      <c r="O407" s="2" t="str">
        <v>after school education</v>
      </c>
      <c r="P407" s="2" t="s">
        <v>9</v>
      </c>
      <c r="Q407" s="2" t="s">
        <v>10</v>
      </c>
    </row>
    <row r="408" spans="1:17" x14ac:dyDescent="0.35">
      <c r="A408" s="2" t="s">
        <v>5884</v>
      </c>
      <c r="B408" s="2" t="s">
        <v>2040</v>
      </c>
      <c r="C408" s="2" t="s">
        <v>2041</v>
      </c>
      <c r="D408" s="2">
        <v>2018</v>
      </c>
      <c r="E408" s="2" t="s">
        <v>2042</v>
      </c>
      <c r="F408" s="2" t="s">
        <v>2043</v>
      </c>
      <c r="G408" s="2" t="s">
        <v>2044</v>
      </c>
      <c r="H408" s="2" t="s">
        <v>1859</v>
      </c>
      <c r="I408" s="2" t="str" cm="1">
        <f t="array" ref="I408">H408 &amp; _xlfn.REGEXEXTRACT(G408,"^[^_]+_\d{4}") &amp; ".pdf"</f>
        <v>https://www.ocf.berkeley.edu/~pkmendez/envsci/projects/2018final/SandovalV_2018.pdf</v>
      </c>
      <c r="J408" s="1" t="str">
        <f t="shared" si="6"/>
        <v>https://www.ocf.berkeley.edu/~pkmendez/envsci/projects/2018final/SandovalV_2018.pdf</v>
      </c>
      <c r="K408" s="2" t="str" cm="1">
        <f t="array" ref="K408:O408">_xlfn.TAKE(TRIM(_xlfn.TEXTSPLIT(F408,{",",";"})),,5)</f>
        <v>Green space</v>
      </c>
      <c r="L408" s="2" t="str">
        <v>Green gentrification</v>
      </c>
      <c r="M408" s="2" t="str">
        <v>East Bay Area</v>
      </c>
      <c r="N408" s="2" t="str">
        <v>displacement of communities of color</v>
      </c>
      <c r="O408" s="2" t="str">
        <v>urban planning</v>
      </c>
      <c r="P408" s="2" t="s">
        <v>9</v>
      </c>
      <c r="Q408" s="2" t="s">
        <v>10</v>
      </c>
    </row>
    <row r="409" spans="1:17" x14ac:dyDescent="0.35">
      <c r="A409" s="2" t="s">
        <v>5884</v>
      </c>
      <c r="B409" s="2" t="s">
        <v>2045</v>
      </c>
      <c r="C409" s="2" t="s">
        <v>2046</v>
      </c>
      <c r="D409" s="2">
        <v>2018</v>
      </c>
      <c r="E409" s="2" t="s">
        <v>2047</v>
      </c>
      <c r="F409" s="2" t="s">
        <v>2048</v>
      </c>
      <c r="G409" s="2" t="s">
        <v>2049</v>
      </c>
      <c r="H409" s="2" t="s">
        <v>1859</v>
      </c>
      <c r="I409" s="2" t="str" cm="1">
        <f t="array" ref="I409">H409 &amp; _xlfn.REGEXEXTRACT(G409,"^[^_]+_\d{4}") &amp; ".pdf"</f>
        <v>https://www.ocf.berkeley.edu/~pkmendez/envsci/projects/2018final/SchoolmeesterH_2018.pdf</v>
      </c>
      <c r="J409" s="1" t="str">
        <f t="shared" si="6"/>
        <v>https://www.ocf.berkeley.edu/~pkmendez/envsci/projects/2018final/SchoolmeesterH_2018.pdf</v>
      </c>
      <c r="K409" s="2" t="str" cm="1">
        <f t="array" ref="K409:N409">_xlfn.TAKE(TRIM(_xlfn.TEXTSPLIT(F409,{",",";"})),,5)</f>
        <v>Environmental education</v>
      </c>
      <c r="L409" s="2" t="str">
        <v>global warming</v>
      </c>
      <c r="M409" s="2" t="str">
        <v>childhood science narratives</v>
      </c>
      <c r="N409" s="2" t="str">
        <v>elementary science education</v>
      </c>
      <c r="P409" s="2" t="s">
        <v>9</v>
      </c>
      <c r="Q409" s="2" t="s">
        <v>10</v>
      </c>
    </row>
    <row r="410" spans="1:17" x14ac:dyDescent="0.35">
      <c r="A410" s="2" t="s">
        <v>5884</v>
      </c>
      <c r="B410" s="2" t="s">
        <v>2050</v>
      </c>
      <c r="C410" s="2" t="s">
        <v>2051</v>
      </c>
      <c r="D410" s="2">
        <v>2018</v>
      </c>
      <c r="E410" s="2" t="s">
        <v>2052</v>
      </c>
      <c r="F410" s="2" t="s">
        <v>2053</v>
      </c>
      <c r="G410" s="2" t="s">
        <v>2054</v>
      </c>
      <c r="H410" s="2" t="s">
        <v>1859</v>
      </c>
      <c r="I410" s="2" t="str" cm="1">
        <f t="array" ref="I410">H410 &amp; _xlfn.REGEXEXTRACT(G410,"^[^_]+_\d{4}") &amp; ".pdf"</f>
        <v>https://www.ocf.berkeley.edu/~pkmendez/envsci/projects/2018final/ShengL_2018.pdf</v>
      </c>
      <c r="J410" s="1" t="str">
        <f t="shared" si="6"/>
        <v>https://www.ocf.berkeley.edu/~pkmendez/envsci/projects/2018final/ShengL_2018.pdf</v>
      </c>
      <c r="K410" s="2" t="str" cm="1">
        <f t="array" ref="K410:O410">_xlfn.TAKE(TRIM(_xlfn.TEXTSPLIT(F410,{",",";"})),,5)</f>
        <v>urban landscape</v>
      </c>
      <c r="L410" s="2" t="str">
        <v>bird biodiversity</v>
      </c>
      <c r="M410" s="2" t="str">
        <v>urban parks</v>
      </c>
      <c r="N410" s="2" t="str">
        <v>GIS</v>
      </c>
      <c r="O410" s="2" t="str">
        <v>remote sensing</v>
      </c>
      <c r="P410" s="2" t="s">
        <v>9</v>
      </c>
      <c r="Q410" s="2" t="s">
        <v>10</v>
      </c>
    </row>
    <row r="411" spans="1:17" x14ac:dyDescent="0.35">
      <c r="A411" s="2" t="s">
        <v>5884</v>
      </c>
      <c r="B411" s="2" t="s">
        <v>2055</v>
      </c>
      <c r="C411" s="2" t="s">
        <v>2056</v>
      </c>
      <c r="D411" s="2">
        <v>2018</v>
      </c>
      <c r="E411" s="2" t="s">
        <v>2057</v>
      </c>
      <c r="F411" s="2" t="s">
        <v>2058</v>
      </c>
      <c r="G411" s="2" t="s">
        <v>2059</v>
      </c>
      <c r="H411" s="2" t="s">
        <v>1859</v>
      </c>
      <c r="I411" s="2" t="str" cm="1">
        <f t="array" ref="I411">H411 &amp; _xlfn.REGEXEXTRACT(G411,"^[^_]+_\d{4}") &amp; ".pdf"</f>
        <v>https://www.ocf.berkeley.edu/~pkmendez/envsci/projects/2018final/ShenY_2018.pdf</v>
      </c>
      <c r="J411" s="1" t="str">
        <f t="shared" si="6"/>
        <v>https://www.ocf.berkeley.edu/~pkmendez/envsci/projects/2018final/ShenY_2018.pdf</v>
      </c>
      <c r="K411" s="2" t="str" cm="1">
        <f t="array" ref="K411:O411">_xlfn.TAKE(TRIM(_xlfn.TEXTSPLIT(F411,{",",";"})),,5)</f>
        <v>embolism</v>
      </c>
      <c r="L411" s="2" t="str">
        <v>dieback</v>
      </c>
      <c r="M411" s="2" t="str">
        <v>conductivity</v>
      </c>
      <c r="N411" s="2" t="str">
        <v>predict</v>
      </c>
      <c r="O411" s="2" t="str">
        <v>variations</v>
      </c>
      <c r="P411" s="2" t="s">
        <v>9</v>
      </c>
      <c r="Q411" s="2" t="s">
        <v>10</v>
      </c>
    </row>
    <row r="412" spans="1:17" x14ac:dyDescent="0.35">
      <c r="A412" s="2" t="s">
        <v>5884</v>
      </c>
      <c r="B412" s="2" t="s">
        <v>2060</v>
      </c>
      <c r="C412" s="2" t="s">
        <v>2061</v>
      </c>
      <c r="D412" s="2">
        <v>2018</v>
      </c>
      <c r="E412" s="2" t="s">
        <v>2062</v>
      </c>
      <c r="F412" s="2" t="s">
        <v>2063</v>
      </c>
      <c r="G412" s="2" t="s">
        <v>2064</v>
      </c>
      <c r="H412" s="2" t="s">
        <v>1859</v>
      </c>
      <c r="I412" s="2" t="str" cm="1">
        <f t="array" ref="I412">H412 &amp; _xlfn.REGEXEXTRACT(G412,"^[^_]+_\d{4}") &amp; ".pdf"</f>
        <v>https://www.ocf.berkeley.edu/~pkmendez/envsci/projects/2018final/StraitJ_2018.pdf</v>
      </c>
      <c r="J412" s="1" t="str">
        <f t="shared" si="6"/>
        <v>https://www.ocf.berkeley.edu/~pkmendez/envsci/projects/2018final/StraitJ_2018.pdf</v>
      </c>
      <c r="K412" s="2" t="str" cm="1">
        <f t="array" ref="K412:O412">_xlfn.TAKE(TRIM(_xlfn.TEXTSPLIT(F412,{",",";"})),,5)</f>
        <v>California agriculture</v>
      </c>
      <c r="L412" s="2" t="str">
        <v>social-environmental systems</v>
      </c>
      <c r="M412" s="2" t="str">
        <v>climate communication</v>
      </c>
      <c r="N412" s="2" t="str">
        <v>climate denial</v>
      </c>
      <c r="O412" s="2" t="str">
        <v>political ecology</v>
      </c>
      <c r="P412" s="2" t="s">
        <v>9</v>
      </c>
      <c r="Q412" s="2" t="s">
        <v>10</v>
      </c>
    </row>
    <row r="413" spans="1:17" x14ac:dyDescent="0.35">
      <c r="A413" s="2" t="s">
        <v>5884</v>
      </c>
      <c r="B413" s="2" t="s">
        <v>2065</v>
      </c>
      <c r="C413" s="2" t="s">
        <v>2066</v>
      </c>
      <c r="D413" s="2">
        <v>2018</v>
      </c>
      <c r="E413" s="2" t="s">
        <v>2067</v>
      </c>
      <c r="F413" s="2" t="s">
        <v>2068</v>
      </c>
      <c r="G413" s="2" t="s">
        <v>2069</v>
      </c>
      <c r="H413" s="2" t="s">
        <v>1859</v>
      </c>
      <c r="I413" s="2" t="str" cm="1">
        <f t="array" ref="I413">H413 &amp; _xlfn.REGEXEXTRACT(G413,"^[^_]+_\d{4}") &amp; ".pdf"</f>
        <v>https://www.ocf.berkeley.edu/~pkmendez/envsci/projects/2018final/SuttonA_2018.pdf</v>
      </c>
      <c r="J413" s="1" t="str">
        <f t="shared" si="6"/>
        <v>https://www.ocf.berkeley.edu/~pkmendez/envsci/projects/2018final/SuttonA_2018.pdf</v>
      </c>
      <c r="K413" s="2" t="str" cm="1">
        <f t="array" ref="K413:O413">_xlfn.TAKE(TRIM(_xlfn.TEXTSPLIT(F413,{",",";"})),,5)</f>
        <v>Endocrine disruptors</v>
      </c>
      <c r="L413" s="2" t="str">
        <v>public health</v>
      </c>
      <c r="M413" s="2" t="str">
        <v>groundwater</v>
      </c>
      <c r="N413" s="2" t="str">
        <v>multi-variate regression</v>
      </c>
      <c r="O413" s="2" t="str">
        <v>wells</v>
      </c>
      <c r="P413" s="2" t="s">
        <v>9</v>
      </c>
      <c r="Q413" s="2" t="s">
        <v>10</v>
      </c>
    </row>
    <row r="414" spans="1:17" x14ac:dyDescent="0.35">
      <c r="A414" s="2" t="s">
        <v>5884</v>
      </c>
      <c r="B414" s="2" t="s">
        <v>2070</v>
      </c>
      <c r="C414" s="2" t="s">
        <v>2071</v>
      </c>
      <c r="D414" s="2">
        <v>2018</v>
      </c>
      <c r="E414" s="2" t="s">
        <v>2072</v>
      </c>
      <c r="F414" s="2" t="s">
        <v>2073</v>
      </c>
      <c r="G414" s="2" t="s">
        <v>2074</v>
      </c>
      <c r="H414" s="2" t="s">
        <v>1859</v>
      </c>
      <c r="I414" s="2" t="str" cm="1">
        <f t="array" ref="I414">H414 &amp; _xlfn.REGEXEXTRACT(G414,"^[^_]+_\d{4}") &amp; ".pdf"</f>
        <v>https://www.ocf.berkeley.edu/~pkmendez/envsci/projects/2018final/TranT_2018.pdf</v>
      </c>
      <c r="J414" s="1" t="str">
        <f t="shared" si="6"/>
        <v>https://www.ocf.berkeley.edu/~pkmendez/envsci/projects/2018final/TranT_2018.pdf</v>
      </c>
      <c r="K414" s="2" t="str" cm="1">
        <f t="array" ref="K414:O414">_xlfn.TAKE(TRIM(_xlfn.TEXTSPLIT(F414,{",",";"})),,5)</f>
        <v>waste</v>
      </c>
      <c r="L414" s="2" t="str">
        <v>recycling</v>
      </c>
      <c r="M414" s="2" t="str">
        <v>environmental knowledge</v>
      </c>
      <c r="N414" s="2" t="str">
        <v>behavior</v>
      </c>
      <c r="O414" s="2" t="str">
        <v>university</v>
      </c>
      <c r="P414" s="2" t="s">
        <v>9</v>
      </c>
      <c r="Q414" s="2" t="s">
        <v>10</v>
      </c>
    </row>
    <row r="415" spans="1:17" x14ac:dyDescent="0.35">
      <c r="A415" s="2" t="s">
        <v>5884</v>
      </c>
      <c r="B415" s="2" t="s">
        <v>2075</v>
      </c>
      <c r="C415" s="2" t="s">
        <v>2076</v>
      </c>
      <c r="D415" s="2">
        <v>2018</v>
      </c>
      <c r="E415" s="2" t="s">
        <v>2077</v>
      </c>
      <c r="F415" s="2" t="s">
        <v>2078</v>
      </c>
      <c r="G415" s="2" t="s">
        <v>2079</v>
      </c>
      <c r="H415" s="2" t="s">
        <v>1859</v>
      </c>
      <c r="I415" s="2" t="str" cm="1">
        <f t="array" ref="I415">H415 &amp; _xlfn.REGEXEXTRACT(G415,"^[^_]+_\d{4}") &amp; ".pdf"</f>
        <v>https://www.ocf.berkeley.edu/~pkmendez/envsci/projects/2018final/WhitworthR_2018.pdf</v>
      </c>
      <c r="J415" s="1" t="str">
        <f t="shared" si="6"/>
        <v>https://www.ocf.berkeley.edu/~pkmendez/envsci/projects/2018final/WhitworthR_2018.pdf</v>
      </c>
      <c r="K415" s="2" t="str" cm="1">
        <f t="array" ref="K415:O415">_xlfn.TAKE(TRIM(_xlfn.TEXTSPLIT(F415,{",",";"})),,5)</f>
        <v>Nuclear radiation</v>
      </c>
      <c r="L415" s="2" t="str">
        <v>Post-accident Fukushima</v>
      </c>
      <c r="M415" s="2" t="str">
        <v>Public health</v>
      </c>
      <c r="N415" s="2" t="str">
        <v>Risk Communication and Discourse Analysis</v>
      </c>
      <c r="O415" s="2" t="str">
        <v>the Great Tohoku</v>
      </c>
      <c r="P415" s="2" t="s">
        <v>9</v>
      </c>
      <c r="Q415" s="2" t="s">
        <v>10</v>
      </c>
    </row>
    <row r="416" spans="1:17" x14ac:dyDescent="0.35">
      <c r="A416" s="2" t="s">
        <v>5884</v>
      </c>
      <c r="B416" s="2" t="s">
        <v>2080</v>
      </c>
      <c r="C416" s="2" t="s">
        <v>2081</v>
      </c>
      <c r="D416" s="2">
        <v>2018</v>
      </c>
      <c r="E416" s="2" t="s">
        <v>2082</v>
      </c>
      <c r="F416" s="2" t="s">
        <v>2083</v>
      </c>
      <c r="G416" s="2" t="s">
        <v>2084</v>
      </c>
      <c r="H416" s="2" t="s">
        <v>1859</v>
      </c>
      <c r="I416" s="2" t="str" cm="1">
        <f t="array" ref="I416">H416 &amp; _xlfn.REGEXEXTRACT(G416,"^[^_]+_\d{4}") &amp; ".pdf"</f>
        <v>https://www.ocf.berkeley.edu/~pkmendez/envsci/projects/2018final/WongS_2018.pdf</v>
      </c>
      <c r="J416" s="1" t="str">
        <f t="shared" si="6"/>
        <v>https://www.ocf.berkeley.edu/~pkmendez/envsci/projects/2018final/WongS_2018.pdf</v>
      </c>
      <c r="K416" s="2" t="str" cm="1">
        <f t="array" ref="K416:O416">_xlfn.TAKE(TRIM(_xlfn.TEXTSPLIT(F416,{",",";"})),,5)</f>
        <v>global warming potential (GWP)</v>
      </c>
      <c r="L416" s="2" t="str">
        <v>concrete</v>
      </c>
      <c r="M416" s="2" t="str">
        <v>void formers</v>
      </c>
      <c r="N416" s="2" t="str">
        <v>high-density polyethylene (HDPE)</v>
      </c>
      <c r="O416" s="2" t="str">
        <v>steel bar reinforcement (rebar)</v>
      </c>
      <c r="P416" s="2" t="s">
        <v>9</v>
      </c>
      <c r="Q416" s="2" t="s">
        <v>10</v>
      </c>
    </row>
    <row r="417" spans="1:17" x14ac:dyDescent="0.35">
      <c r="A417" s="2" t="s">
        <v>5884</v>
      </c>
      <c r="B417" s="2" t="s">
        <v>2085</v>
      </c>
      <c r="C417" s="2" t="s">
        <v>2086</v>
      </c>
      <c r="D417" s="2">
        <v>2018</v>
      </c>
      <c r="E417" s="2" t="s">
        <v>2087</v>
      </c>
      <c r="F417" s="2" t="s">
        <v>2088</v>
      </c>
      <c r="G417" s="2" t="s">
        <v>2089</v>
      </c>
      <c r="H417" s="2" t="s">
        <v>1859</v>
      </c>
      <c r="I417" s="2" t="str" cm="1">
        <f t="array" ref="I417">H417 &amp; _xlfn.REGEXEXTRACT(G417,"^[^_]+_\d{4}") &amp; ".pdf"</f>
        <v>https://www.ocf.berkeley.edu/~pkmendez/envsci/projects/2018final/YatsuzukaK_2018.pdf</v>
      </c>
      <c r="J417" s="1" t="str">
        <f t="shared" si="6"/>
        <v>https://www.ocf.berkeley.edu/~pkmendez/envsci/projects/2018final/YatsuzukaK_2018.pdf</v>
      </c>
      <c r="K417" s="2" t="str" cm="1">
        <f t="array" ref="K417:O417">_xlfn.TAKE(TRIM(_xlfn.TEXTSPLIT(F417,{",",";"})),,5)</f>
        <v>invasive species</v>
      </c>
      <c r="L417" s="2" t="str">
        <v>potential distribution</v>
      </c>
      <c r="M417" s="2" t="str">
        <v>ecological niche modeling</v>
      </c>
      <c r="N417" s="2" t="str">
        <v>spatial scale</v>
      </c>
      <c r="O417" s="2" t="str">
        <v>climate</v>
      </c>
      <c r="P417" s="2" t="s">
        <v>9</v>
      </c>
      <c r="Q417" s="2" t="s">
        <v>10</v>
      </c>
    </row>
    <row r="418" spans="1:17" x14ac:dyDescent="0.35">
      <c r="A418" s="2" t="s">
        <v>5884</v>
      </c>
      <c r="B418" s="2" t="s">
        <v>2090</v>
      </c>
      <c r="C418" s="2" t="s">
        <v>2091</v>
      </c>
      <c r="D418" s="2">
        <v>2018</v>
      </c>
      <c r="E418" s="2" t="s">
        <v>2092</v>
      </c>
      <c r="F418" s="2" t="s">
        <v>2093</v>
      </c>
      <c r="G418" s="2" t="s">
        <v>2094</v>
      </c>
      <c r="H418" s="2" t="s">
        <v>1859</v>
      </c>
      <c r="I418" s="2" t="str" cm="1">
        <f t="array" ref="I418">H418 &amp; _xlfn.REGEXEXTRACT(G418,"^[^_]+_\d{4}") &amp; ".pdf"</f>
        <v>https://www.ocf.berkeley.edu/~pkmendez/envsci/projects/2018final/ZhangW_2018.pdf</v>
      </c>
      <c r="J418" s="1" t="str">
        <f t="shared" si="6"/>
        <v>https://www.ocf.berkeley.edu/~pkmendez/envsci/projects/2018final/ZhangW_2018.pdf</v>
      </c>
      <c r="K418" s="2" t="str" cm="1">
        <f t="array" ref="K418:N418">_xlfn.TAKE(TRIM(_xlfn.TEXTSPLIT(F418,{",",";"})),,5)</f>
        <v>Soil</v>
      </c>
      <c r="L418" s="2" t="str">
        <v>Phytoremediation</v>
      </c>
      <c r="M418" s="2" t="str">
        <v>Hyperaccumulation</v>
      </c>
      <c r="N418" s="2" t="str">
        <v>Chinese Brake Fern</v>
      </c>
      <c r="P418" s="2" t="s">
        <v>9</v>
      </c>
      <c r="Q418" s="2" t="s">
        <v>10</v>
      </c>
    </row>
    <row r="419" spans="1:17" x14ac:dyDescent="0.35">
      <c r="A419" s="2" t="s">
        <v>5884</v>
      </c>
      <c r="B419" s="2" t="s">
        <v>2095</v>
      </c>
      <c r="C419" s="2" t="s">
        <v>2096</v>
      </c>
      <c r="D419" s="2">
        <v>2018</v>
      </c>
      <c r="E419" s="2" t="s">
        <v>2097</v>
      </c>
      <c r="F419" s="2" t="s">
        <v>2098</v>
      </c>
      <c r="G419" s="2" t="s">
        <v>2099</v>
      </c>
      <c r="H419" s="2" t="s">
        <v>1859</v>
      </c>
      <c r="I419" s="2" t="str" cm="1">
        <f t="array" ref="I419">H419 &amp; _xlfn.REGEXEXTRACT(G419,"^[^_]+_\d{4}") &amp; ".pdf"</f>
        <v>https://www.ocf.berkeley.edu/~pkmendez/envsci/projects/2018final/ZhangY_2018.pdf</v>
      </c>
      <c r="J419" s="1" t="str">
        <f t="shared" si="6"/>
        <v>https://www.ocf.berkeley.edu/~pkmendez/envsci/projects/2018final/ZhangY_2018.pdf</v>
      </c>
      <c r="K419" s="2" t="str" cm="1">
        <f t="array" ref="K419:O419">_xlfn.TAKE(TRIM(_xlfn.TEXTSPLIT(F419,{",",";"})),,5)</f>
        <v>indoor environmental quality</v>
      </c>
      <c r="L419" s="2" t="str">
        <v>thermal comfort</v>
      </c>
      <c r="M419" s="2" t="str">
        <v>mixed-mode ventilation</v>
      </c>
      <c r="N419" s="2" t="str">
        <v>air conditioning ventilation</v>
      </c>
      <c r="O419" s="2" t="str">
        <v>window and fan usage</v>
      </c>
      <c r="P419" s="2" t="s">
        <v>9</v>
      </c>
      <c r="Q419" s="2" t="s">
        <v>10</v>
      </c>
    </row>
    <row r="420" spans="1:17" x14ac:dyDescent="0.35">
      <c r="A420" s="2" t="s">
        <v>5884</v>
      </c>
      <c r="B420" s="2" t="s">
        <v>2100</v>
      </c>
      <c r="C420" s="2" t="s">
        <v>2101</v>
      </c>
      <c r="D420" s="2">
        <v>2017</v>
      </c>
      <c r="E420" s="2" t="s">
        <v>2102</v>
      </c>
      <c r="F420" s="2" t="s">
        <v>2103</v>
      </c>
      <c r="G420" s="2" t="s">
        <v>2104</v>
      </c>
      <c r="H420" s="2" t="s">
        <v>2105</v>
      </c>
      <c r="I420" s="2" t="str" cm="1">
        <f t="array" ref="I420">H420 &amp; _xlfn.REGEXEXTRACT(G420,"^[^_]+_\d{4}") &amp; ".pdf"</f>
        <v>https://www.ocf.berkeley.edu/~pkmendez/envsci/projects/2017final/BursickJ_2017.pdf</v>
      </c>
      <c r="J420" s="1" t="str">
        <f t="shared" si="6"/>
        <v>https://www.ocf.berkeley.edu/~pkmendez/envsci/projects/2017final/BursickJ_2017.pdf</v>
      </c>
      <c r="K420" s="2" t="str" cm="1">
        <f t="array" ref="K420:O420">_xlfn.TAKE(TRIM(_xlfn.TEXTSPLIT(F420,{",",";"})),,5)</f>
        <v>Environmental law</v>
      </c>
      <c r="L420" s="2" t="str">
        <v>Richmond</v>
      </c>
      <c r="M420" s="2" t="str">
        <v>CA</v>
      </c>
      <c r="N420" s="2" t="str">
        <v>Chevron</v>
      </c>
      <c r="O420" s="2" t="str">
        <v>community</v>
      </c>
      <c r="P420" s="2" t="s">
        <v>9</v>
      </c>
      <c r="Q420" s="2" t="s">
        <v>10</v>
      </c>
    </row>
    <row r="421" spans="1:17" x14ac:dyDescent="0.35">
      <c r="A421" s="2" t="s">
        <v>5884</v>
      </c>
      <c r="B421" s="2" t="s">
        <v>2106</v>
      </c>
      <c r="C421" s="2" t="s">
        <v>2107</v>
      </c>
      <c r="D421" s="2">
        <v>2017</v>
      </c>
      <c r="E421" s="2" t="s">
        <v>2108</v>
      </c>
      <c r="F421" s="2" t="s">
        <v>2109</v>
      </c>
      <c r="G421" s="2" t="s">
        <v>2110</v>
      </c>
      <c r="H421" s="2" t="s">
        <v>2105</v>
      </c>
      <c r="I421" s="2" t="str" cm="1">
        <f t="array" ref="I421">H421 &amp; _xlfn.REGEXEXTRACT(G421,"^[^_]+_\d{4}") &amp; ".pdf"</f>
        <v>https://www.ocf.berkeley.edu/~pkmendez/envsci/projects/2017final/CarissaR_2017.pdf</v>
      </c>
      <c r="J421" s="1" t="str">
        <f t="shared" si="6"/>
        <v>https://www.ocf.berkeley.edu/~pkmendez/envsci/projects/2017final/CarissaR_2017.pdf</v>
      </c>
      <c r="K421" s="2" t="str" cm="1">
        <f t="array" ref="K421:O421">_xlfn.TAKE(TRIM(_xlfn.TEXTSPLIT(F421,{",",";"})),,5)</f>
        <v>biodiversity conservation</v>
      </c>
      <c r="L421" s="2" t="str">
        <v>invasive species</v>
      </c>
      <c r="M421" s="2" t="str">
        <v>urban forest</v>
      </c>
      <c r="N421" s="2" t="str">
        <v>ecological impact</v>
      </c>
      <c r="O421" s="2" t="str">
        <v>native vegetation</v>
      </c>
      <c r="P421" s="2" t="s">
        <v>9</v>
      </c>
      <c r="Q421" s="2" t="s">
        <v>10</v>
      </c>
    </row>
    <row r="422" spans="1:17" x14ac:dyDescent="0.35">
      <c r="A422" s="2" t="s">
        <v>5884</v>
      </c>
      <c r="B422" s="2" t="s">
        <v>2111</v>
      </c>
      <c r="C422" s="2" t="s">
        <v>2112</v>
      </c>
      <c r="D422" s="2">
        <v>2017</v>
      </c>
      <c r="E422" s="2" t="s">
        <v>2113</v>
      </c>
      <c r="F422" s="2" t="s">
        <v>2114</v>
      </c>
      <c r="G422" s="2" t="s">
        <v>2115</v>
      </c>
      <c r="H422" s="2" t="s">
        <v>2105</v>
      </c>
      <c r="I422" s="2" t="str" cm="1">
        <f t="array" ref="I422">H422 &amp; _xlfn.REGEXEXTRACT(G422,"^[^_]+_\d{4}") &amp; ".pdf"</f>
        <v>https://www.ocf.berkeley.edu/~pkmendez/envsci/projects/2017final/CenS_2017.pdf</v>
      </c>
      <c r="J422" s="1" t="str">
        <f t="shared" si="6"/>
        <v>https://www.ocf.berkeley.edu/~pkmendez/envsci/projects/2017final/CenS_2017.pdf</v>
      </c>
      <c r="K422" s="2" t="str" cm="1">
        <f t="array" ref="K422:N422">_xlfn.TAKE(TRIM(_xlfn.TEXTSPLIT(F422,{",",";"})),,5)</f>
        <v>Biocapacity</v>
      </c>
      <c r="L422" s="2" t="str">
        <v>Machine learning</v>
      </c>
      <c r="M422" s="2" t="str">
        <v>Linear Regression</v>
      </c>
      <c r="N422" s="2" t="str">
        <v>Artificial Neural Network</v>
      </c>
      <c r="P422" s="2" t="s">
        <v>9</v>
      </c>
      <c r="Q422" s="2" t="s">
        <v>10</v>
      </c>
    </row>
    <row r="423" spans="1:17" x14ac:dyDescent="0.35">
      <c r="A423" s="2" t="s">
        <v>5884</v>
      </c>
      <c r="B423" s="2" t="s">
        <v>2116</v>
      </c>
      <c r="C423" s="2" t="s">
        <v>2117</v>
      </c>
      <c r="D423" s="2">
        <v>2017</v>
      </c>
      <c r="E423" s="2" t="s">
        <v>2118</v>
      </c>
      <c r="F423" s="2" t="s">
        <v>2119</v>
      </c>
      <c r="G423" s="2" t="s">
        <v>2120</v>
      </c>
      <c r="H423" s="2" t="s">
        <v>2105</v>
      </c>
      <c r="I423" s="2" t="str" cm="1">
        <f t="array" ref="I423">H423 &amp; _xlfn.REGEXEXTRACT(G423,"^[^_]+_\d{4}") &amp; ".pdf"</f>
        <v>https://www.ocf.berkeley.edu/~pkmendez/envsci/projects/2017final/ChangS_2017.pdf</v>
      </c>
      <c r="J423" s="1" t="str">
        <f t="shared" si="6"/>
        <v>https://www.ocf.berkeley.edu/~pkmendez/envsci/projects/2017final/ChangS_2017.pdf</v>
      </c>
      <c r="K423" s="2" t="str" cm="1">
        <f t="array" ref="K423:O423">_xlfn.TAKE(TRIM(_xlfn.TEXTSPLIT(F423,{",",";"})),,5)</f>
        <v>Aethalometer</v>
      </c>
      <c r="L423" s="2" t="str">
        <v>Arduino</v>
      </c>
      <c r="M423" s="2" t="str">
        <v>black carbon</v>
      </c>
      <c r="N423" s="2" t="str">
        <v>ABCD</v>
      </c>
      <c r="O423" s="2" t="str">
        <v>concentration gradient</v>
      </c>
      <c r="P423" s="2" t="s">
        <v>9</v>
      </c>
      <c r="Q423" s="2" t="s">
        <v>10</v>
      </c>
    </row>
    <row r="424" spans="1:17" x14ac:dyDescent="0.35">
      <c r="A424" s="2" t="s">
        <v>5884</v>
      </c>
      <c r="B424" s="2" t="s">
        <v>2121</v>
      </c>
      <c r="C424" s="2" t="s">
        <v>2122</v>
      </c>
      <c r="D424" s="2">
        <v>2017</v>
      </c>
      <c r="E424" s="2" t="s">
        <v>2123</v>
      </c>
      <c r="F424" s="2" t="s">
        <v>2124</v>
      </c>
      <c r="G424" s="2" t="s">
        <v>2125</v>
      </c>
      <c r="H424" s="2" t="s">
        <v>2105</v>
      </c>
      <c r="I424" s="2" t="str" cm="1">
        <f t="array" ref="I424">H424 &amp; _xlfn.REGEXEXTRACT(G424,"^[^_]+_\d{4}") &amp; ".pdf"</f>
        <v>https://www.ocf.berkeley.edu/~pkmendez/envsci/projects/2017final/ConklinB_2017.pdf</v>
      </c>
      <c r="J424" s="1" t="str">
        <f t="shared" si="6"/>
        <v>https://www.ocf.berkeley.edu/~pkmendez/envsci/projects/2017final/ConklinB_2017.pdf</v>
      </c>
      <c r="K424" s="2" t="str" cm="1">
        <f t="array" ref="K424:O424">_xlfn.TAKE(TRIM(_xlfn.TEXTSPLIT(F424,{",",";"})),,5)</f>
        <v>sand</v>
      </c>
      <c r="L424" s="2" t="str">
        <v>beach morphology</v>
      </c>
      <c r="M424" s="2" t="str">
        <v>wave energy</v>
      </c>
      <c r="N424" s="2" t="str">
        <v>intertidal</v>
      </c>
      <c r="O424" s="2" t="str">
        <v>seasonal</v>
      </c>
      <c r="P424" s="2" t="s">
        <v>9</v>
      </c>
      <c r="Q424" s="2" t="s">
        <v>10</v>
      </c>
    </row>
    <row r="425" spans="1:17" x14ac:dyDescent="0.35">
      <c r="A425" s="2" t="s">
        <v>5884</v>
      </c>
      <c r="B425" s="2" t="s">
        <v>2126</v>
      </c>
      <c r="C425" s="2" t="s">
        <v>2127</v>
      </c>
      <c r="D425" s="2">
        <v>2017</v>
      </c>
      <c r="E425" s="2" t="s">
        <v>2128</v>
      </c>
      <c r="F425" s="2" t="s">
        <v>2129</v>
      </c>
      <c r="G425" s="2" t="s">
        <v>2130</v>
      </c>
      <c r="H425" s="2" t="s">
        <v>2105</v>
      </c>
      <c r="I425" s="2" t="str" cm="1">
        <f t="array" ref="I425">H425 &amp; _xlfn.REGEXEXTRACT(G425,"^[^_]+_\d{4}") &amp; ".pdf"</f>
        <v>https://www.ocf.berkeley.edu/~pkmendez/envsci/projects/2017final/DingY_2017.pdf</v>
      </c>
      <c r="J425" s="1" t="str">
        <f t="shared" si="6"/>
        <v>https://www.ocf.berkeley.edu/~pkmendez/envsci/projects/2017final/DingY_2017.pdf</v>
      </c>
      <c r="K425" s="2" t="str" cm="1">
        <f t="array" ref="K425:O425">_xlfn.TAKE(TRIM(_xlfn.TEXTSPLIT(F425,{",",";"})),,5)</f>
        <v>biological wastewater treatment process</v>
      </c>
      <c r="L425" s="2" t="str">
        <v>treatment efficiency</v>
      </c>
      <c r="M425" s="2" t="str">
        <v>ammonia oxidizing bacteria</v>
      </c>
      <c r="N425" s="2" t="str">
        <v>batch experiments</v>
      </c>
      <c r="O425" s="2" t="str">
        <v>ammonium removal rate</v>
      </c>
      <c r="P425" s="2" t="s">
        <v>9</v>
      </c>
      <c r="Q425" s="2" t="s">
        <v>10</v>
      </c>
    </row>
    <row r="426" spans="1:17" x14ac:dyDescent="0.35">
      <c r="A426" s="2" t="s">
        <v>5884</v>
      </c>
      <c r="B426" s="2" t="s">
        <v>2131</v>
      </c>
      <c r="C426" s="2" t="s">
        <v>2132</v>
      </c>
      <c r="D426" s="2">
        <v>2017</v>
      </c>
      <c r="E426" s="2" t="s">
        <v>2133</v>
      </c>
      <c r="F426" s="2" t="s">
        <v>2134</v>
      </c>
      <c r="G426" s="2" t="s">
        <v>2135</v>
      </c>
      <c r="H426" s="2" t="s">
        <v>2105</v>
      </c>
      <c r="I426" s="2" t="str" cm="1">
        <f t="array" ref="I426">H426 &amp; _xlfn.REGEXEXTRACT(G426,"^[^_]+_\d{4}") &amp; ".pdf"</f>
        <v>https://www.ocf.berkeley.edu/~pkmendez/envsci/projects/2017final/FarrellM_2017.pdf</v>
      </c>
      <c r="J426" s="1" t="str">
        <f t="shared" si="6"/>
        <v>https://www.ocf.berkeley.edu/~pkmendez/envsci/projects/2017final/FarrellM_2017.pdf</v>
      </c>
      <c r="K426" s="2" t="str" cm="1">
        <f t="array" ref="K426:O426">_xlfn.TAKE(TRIM(_xlfn.TEXTSPLIT(F426,{",",";"})),,5)</f>
        <v>Othering</v>
      </c>
      <c r="L426" s="2" t="str">
        <v>Emerging Diseases Worldview</v>
      </c>
      <c r="M426" s="2" t="str">
        <v>Gender</v>
      </c>
      <c r="N426" s="2" t="str">
        <v>Capitalism</v>
      </c>
      <c r="O426" s="2" t="str">
        <v>Medical Moment</v>
      </c>
      <c r="P426" s="2" t="s">
        <v>9</v>
      </c>
      <c r="Q426" s="2" t="s">
        <v>10</v>
      </c>
    </row>
    <row r="427" spans="1:17" x14ac:dyDescent="0.35">
      <c r="A427" s="2" t="s">
        <v>5884</v>
      </c>
      <c r="B427" s="2" t="s">
        <v>2136</v>
      </c>
      <c r="C427" s="2" t="s">
        <v>2137</v>
      </c>
      <c r="D427" s="2">
        <v>2017</v>
      </c>
      <c r="E427" s="2" t="s">
        <v>2138</v>
      </c>
      <c r="F427" s="2" t="s">
        <v>2139</v>
      </c>
      <c r="G427" s="2" t="s">
        <v>2140</v>
      </c>
      <c r="H427" s="2" t="s">
        <v>2105</v>
      </c>
      <c r="I427" s="2" t="str" cm="1">
        <f t="array" ref="I427">H427 &amp; _xlfn.REGEXEXTRACT(G427,"^[^_]+_\d{4}") &amp; ".pdf"</f>
        <v>https://www.ocf.berkeley.edu/~pkmendez/envsci/projects/2017final/FerriterM_2017.pdf</v>
      </c>
      <c r="J427" s="1" t="str">
        <f t="shared" si="6"/>
        <v>https://www.ocf.berkeley.edu/~pkmendez/envsci/projects/2017final/FerriterM_2017.pdf</v>
      </c>
      <c r="K427" s="2" t="str" cm="1">
        <f t="array" ref="K427:O427">_xlfn.TAKE(TRIM(_xlfn.TEXTSPLIT(F427,{",",";"})),,5)</f>
        <v>Remote sensing</v>
      </c>
      <c r="L427" s="2" t="str">
        <v>Google Earth Engine (GEE)</v>
      </c>
      <c r="M427" s="2" t="str">
        <v>NDVI</v>
      </c>
      <c r="N427" s="2" t="str">
        <v>fire frequency</v>
      </c>
      <c r="O427" s="2" t="str">
        <v>California ecosystems</v>
      </c>
      <c r="P427" s="2" t="s">
        <v>9</v>
      </c>
      <c r="Q427" s="2" t="s">
        <v>10</v>
      </c>
    </row>
    <row r="428" spans="1:17" x14ac:dyDescent="0.35">
      <c r="A428" s="2" t="s">
        <v>5884</v>
      </c>
      <c r="B428" s="2" t="s">
        <v>2141</v>
      </c>
      <c r="C428" s="2" t="s">
        <v>2142</v>
      </c>
      <c r="D428" s="2">
        <v>2017</v>
      </c>
      <c r="E428" s="2" t="s">
        <v>2143</v>
      </c>
      <c r="F428" s="2" t="s">
        <v>2144</v>
      </c>
      <c r="G428" s="2" t="s">
        <v>2145</v>
      </c>
      <c r="H428" s="2" t="s">
        <v>2105</v>
      </c>
      <c r="I428" s="2" t="str" cm="1">
        <f t="array" ref="I428">H428 &amp; _xlfn.REGEXEXTRACT(G428,"^[^_]+_\d{4}") &amp; ".pdf"</f>
        <v>https://www.ocf.berkeley.edu/~pkmendez/envsci/projects/2017final/FortneyA_2017.pdf</v>
      </c>
      <c r="J428" s="1" t="str">
        <f t="shared" si="6"/>
        <v>https://www.ocf.berkeley.edu/~pkmendez/envsci/projects/2017final/FortneyA_2017.pdf</v>
      </c>
      <c r="K428" s="2" t="str" cm="1">
        <f t="array" ref="K428:N428">_xlfn.TAKE(TRIM(_xlfn.TEXTSPLIT(F428,{",",";"})),,5)</f>
        <v>alternative food movement</v>
      </c>
      <c r="L428" s="2" t="str">
        <v>local produce</v>
      </c>
      <c r="M428" s="2" t="str">
        <v>suburban consumer</v>
      </c>
      <c r="N428" s="2" t="str">
        <v>family experience</v>
      </c>
      <c r="P428" s="2" t="s">
        <v>9</v>
      </c>
      <c r="Q428" s="2" t="s">
        <v>10</v>
      </c>
    </row>
    <row r="429" spans="1:17" x14ac:dyDescent="0.35">
      <c r="A429" s="2" t="s">
        <v>5884</v>
      </c>
      <c r="B429" s="2" t="s">
        <v>2146</v>
      </c>
      <c r="C429" s="2" t="s">
        <v>2147</v>
      </c>
      <c r="D429" s="2">
        <v>2017</v>
      </c>
      <c r="E429" s="2" t="s">
        <v>2148</v>
      </c>
      <c r="F429" s="2" t="s">
        <v>2149</v>
      </c>
      <c r="G429" s="2" t="s">
        <v>2150</v>
      </c>
      <c r="H429" s="2" t="s">
        <v>2105</v>
      </c>
      <c r="I429" s="2" t="str" cm="1">
        <f t="array" ref="I429">H429 &amp; _xlfn.REGEXEXTRACT(G429,"^[^_]+_\d{4}") &amp; ".pdf"</f>
        <v>https://www.ocf.berkeley.edu/~pkmendez/envsci/projects/2017final/FosterK_2017.pdf</v>
      </c>
      <c r="J429" s="1" t="str">
        <f t="shared" si="6"/>
        <v>https://www.ocf.berkeley.edu/~pkmendez/envsci/projects/2017final/FosterK_2017.pdf</v>
      </c>
      <c r="K429" s="2" t="str" cm="1">
        <f t="array" ref="K429:O429">_xlfn.TAKE(TRIM(_xlfn.TEXTSPLIT(F429,{",",";"})),,5)</f>
        <v>GIS</v>
      </c>
      <c r="L429" s="2" t="str">
        <v>FRAGSTATS</v>
      </c>
      <c r="M429" s="2" t="str">
        <v>spatial analysis</v>
      </c>
      <c r="N429" s="2" t="str">
        <v>landscape-scale restoration</v>
      </c>
      <c r="O429" s="2" t="str">
        <v>landscape metrics</v>
      </c>
      <c r="P429" s="2" t="s">
        <v>9</v>
      </c>
      <c r="Q429" s="2" t="s">
        <v>10</v>
      </c>
    </row>
    <row r="430" spans="1:17" x14ac:dyDescent="0.35">
      <c r="A430" s="2" t="s">
        <v>5884</v>
      </c>
      <c r="B430" s="2" t="s">
        <v>2151</v>
      </c>
      <c r="C430" s="2" t="s">
        <v>2152</v>
      </c>
      <c r="D430" s="2">
        <v>2017</v>
      </c>
      <c r="E430" s="2" t="s">
        <v>2153</v>
      </c>
      <c r="F430" s="2" t="s">
        <v>2154</v>
      </c>
      <c r="G430" s="2" t="s">
        <v>2155</v>
      </c>
      <c r="H430" s="2" t="s">
        <v>2105</v>
      </c>
      <c r="I430" s="2" t="str" cm="1">
        <f t="array" ref="I430">H430 &amp; _xlfn.REGEXEXTRACT(G430,"^[^_]+_\d{4}") &amp; ".pdf"</f>
        <v>https://www.ocf.berkeley.edu/~pkmendez/envsci/projects/2017final/GalassettiC_2017.pdf</v>
      </c>
      <c r="J430" s="1" t="str">
        <f t="shared" si="6"/>
        <v>https://www.ocf.berkeley.edu/~pkmendez/envsci/projects/2017final/GalassettiC_2017.pdf</v>
      </c>
      <c r="K430" s="2" t="str" cm="1">
        <f t="array" ref="K430:O430">_xlfn.TAKE(TRIM(_xlfn.TEXTSPLIT(F430,{",",";"})),,5)</f>
        <v>Native bees</v>
      </c>
      <c r="L430" s="2" t="str">
        <v>Megachilidae</v>
      </c>
      <c r="M430" s="2" t="str">
        <v>California agriculture</v>
      </c>
      <c r="N430" s="2" t="str">
        <v>pollinator biodiversity</v>
      </c>
      <c r="O430" s="2" t="str">
        <v>bee nesting seasonality</v>
      </c>
      <c r="P430" s="2" t="s">
        <v>9</v>
      </c>
      <c r="Q430" s="2" t="s">
        <v>10</v>
      </c>
    </row>
    <row r="431" spans="1:17" x14ac:dyDescent="0.35">
      <c r="A431" s="2" t="s">
        <v>5884</v>
      </c>
      <c r="B431" s="2" t="s">
        <v>2156</v>
      </c>
      <c r="C431" s="2" t="s">
        <v>2157</v>
      </c>
      <c r="D431" s="2">
        <v>2017</v>
      </c>
      <c r="E431" s="2" t="s">
        <v>2158</v>
      </c>
      <c r="F431" s="2" t="s">
        <v>2159</v>
      </c>
      <c r="G431" s="2" t="s">
        <v>2160</v>
      </c>
      <c r="H431" s="2" t="s">
        <v>2105</v>
      </c>
      <c r="I431" s="2" t="str" cm="1">
        <f t="array" ref="I431">H431 &amp; _xlfn.REGEXEXTRACT(G431,"^[^_]+_\d{4}") &amp; ".pdf"</f>
        <v>https://www.ocf.berkeley.edu/~pkmendez/envsci/projects/2017final/GoetzA_2017.pdf</v>
      </c>
      <c r="J431" s="1" t="str">
        <f t="shared" si="6"/>
        <v>https://www.ocf.berkeley.edu/~pkmendez/envsci/projects/2017final/GoetzA_2017.pdf</v>
      </c>
      <c r="K431" s="2" t="str" cm="1">
        <f t="array" ref="K431:O431">_xlfn.TAKE(TRIM(_xlfn.TEXTSPLIT(F431,{",",";"})),,5)</f>
        <v>Common aster</v>
      </c>
      <c r="L431" s="2" t="str">
        <v>red flowering currant</v>
      </c>
      <c r="M431" s="2" t="str">
        <v>novel ecosystems</v>
      </c>
      <c r="N431" s="2" t="str">
        <v>Strawberry Creek</v>
      </c>
      <c r="O431" s="2" t="str">
        <v>restoration ecology</v>
      </c>
      <c r="P431" s="2" t="s">
        <v>9</v>
      </c>
      <c r="Q431" s="2" t="s">
        <v>10</v>
      </c>
    </row>
    <row r="432" spans="1:17" x14ac:dyDescent="0.35">
      <c r="A432" s="2" t="s">
        <v>5884</v>
      </c>
      <c r="B432" s="2" t="s">
        <v>2161</v>
      </c>
      <c r="C432" s="2" t="s">
        <v>2162</v>
      </c>
      <c r="D432" s="2">
        <v>2017</v>
      </c>
      <c r="E432" s="2" t="s">
        <v>2163</v>
      </c>
      <c r="F432" s="2" t="s">
        <v>2164</v>
      </c>
      <c r="G432" s="2" t="s">
        <v>2165</v>
      </c>
      <c r="H432" s="2" t="s">
        <v>2105</v>
      </c>
      <c r="I432" s="2" t="str" cm="1">
        <f t="array" ref="I432">H432 &amp; _xlfn.REGEXEXTRACT(G432,"^[^_]+_\d{4}") &amp; ".pdf"</f>
        <v>https://www.ocf.berkeley.edu/~pkmendez/envsci/projects/2017final/HaddadA_2017.pdf</v>
      </c>
      <c r="J432" s="1" t="str">
        <f t="shared" si="6"/>
        <v>https://www.ocf.berkeley.edu/~pkmendez/envsci/projects/2017final/HaddadA_2017.pdf</v>
      </c>
      <c r="K432" s="2" t="str" cm="1">
        <f t="array" ref="K432:N432">_xlfn.TAKE(TRIM(_xlfn.TEXTSPLIT(F432,{",",";"})),,5)</f>
        <v>carbon sequestration</v>
      </c>
      <c r="L432" s="2" t="str">
        <v>climate change</v>
      </c>
      <c r="M432" s="2" t="str">
        <v>rangelands</v>
      </c>
      <c r="N432" s="2" t="str">
        <v>regression</v>
      </c>
      <c r="P432" s="2" t="s">
        <v>9</v>
      </c>
      <c r="Q432" s="2" t="s">
        <v>10</v>
      </c>
    </row>
    <row r="433" spans="1:17" x14ac:dyDescent="0.35">
      <c r="A433" s="2" t="s">
        <v>5884</v>
      </c>
      <c r="B433" s="2" t="s">
        <v>2166</v>
      </c>
      <c r="C433" s="2" t="s">
        <v>2167</v>
      </c>
      <c r="D433" s="2">
        <v>2017</v>
      </c>
      <c r="E433" s="2" t="s">
        <v>2168</v>
      </c>
      <c r="F433" s="2" t="s">
        <v>2169</v>
      </c>
      <c r="G433" s="2" t="s">
        <v>2170</v>
      </c>
      <c r="H433" s="2" t="s">
        <v>2105</v>
      </c>
      <c r="I433" s="2" t="str" cm="1">
        <f t="array" ref="I433">H433 &amp; _xlfn.REGEXEXTRACT(G433,"^[^_]+_\d{4}") &amp; ".pdf"</f>
        <v>https://www.ocf.berkeley.edu/~pkmendez/envsci/projects/2017final/HuangB_2017.pdf</v>
      </c>
      <c r="J433" s="1" t="str">
        <f t="shared" si="6"/>
        <v>https://www.ocf.berkeley.edu/~pkmendez/envsci/projects/2017final/HuangB_2017.pdf</v>
      </c>
      <c r="K433" s="2" t="str" cm="1">
        <f t="array" ref="K433:O433">_xlfn.TAKE(TRIM(_xlfn.TEXTSPLIT(F433,{",",";"})),,5)</f>
        <v>improved water</v>
      </c>
      <c r="L433" s="2" t="str">
        <v>aggregate data</v>
      </c>
      <c r="M433" s="2" t="str">
        <v>disaggregate data</v>
      </c>
      <c r="N433" s="2" t="str">
        <v>regional disparity</v>
      </c>
      <c r="O433" s="2" t="str">
        <v>Joint Monitoring Programme (JMP)</v>
      </c>
      <c r="P433" s="2" t="s">
        <v>9</v>
      </c>
      <c r="Q433" s="2" t="s">
        <v>10</v>
      </c>
    </row>
    <row r="434" spans="1:17" x14ac:dyDescent="0.35">
      <c r="A434" s="2" t="s">
        <v>5884</v>
      </c>
      <c r="B434" s="2" t="s">
        <v>2171</v>
      </c>
      <c r="C434" s="2" t="s">
        <v>2172</v>
      </c>
      <c r="D434" s="2">
        <v>2017</v>
      </c>
      <c r="E434" s="2" t="s">
        <v>2173</v>
      </c>
      <c r="F434" s="2" t="s">
        <v>2174</v>
      </c>
      <c r="G434" s="2" t="s">
        <v>2175</v>
      </c>
      <c r="H434" s="2" t="s">
        <v>2105</v>
      </c>
      <c r="I434" s="2" t="str" cm="1">
        <f t="array" ref="I434">H434 &amp; _xlfn.REGEXEXTRACT(G434,"^[^_]+_\d{4}") &amp; ".pdf"</f>
        <v>https://www.ocf.berkeley.edu/~pkmendez/envsci/projects/2017final/HuangR_2017.pdf</v>
      </c>
      <c r="J434" s="1" t="str">
        <f t="shared" si="6"/>
        <v>https://www.ocf.berkeley.edu/~pkmendez/envsci/projects/2017final/HuangR_2017.pdf</v>
      </c>
      <c r="K434" s="2" t="str" cm="1">
        <f t="array" ref="K434:N434">_xlfn.TAKE(TRIM(_xlfn.TEXTSPLIT(F434,{",",";"})),,5)</f>
        <v>recycling behavior</v>
      </c>
      <c r="L434" s="2" t="str">
        <v>college students</v>
      </c>
      <c r="M434" s="2" t="str">
        <v>framework</v>
      </c>
      <c r="N434" s="2" t="str">
        <v>factors of influence</v>
      </c>
      <c r="P434" s="2" t="s">
        <v>9</v>
      </c>
      <c r="Q434" s="2" t="s">
        <v>10</v>
      </c>
    </row>
    <row r="435" spans="1:17" x14ac:dyDescent="0.35">
      <c r="A435" s="2" t="s">
        <v>5884</v>
      </c>
      <c r="B435" s="2" t="s">
        <v>2176</v>
      </c>
      <c r="C435" s="2" t="s">
        <v>2177</v>
      </c>
      <c r="D435" s="2">
        <v>2017</v>
      </c>
      <c r="E435" s="2" t="s">
        <v>2178</v>
      </c>
      <c r="F435" s="2" t="s">
        <v>2179</v>
      </c>
      <c r="G435" s="2" t="s">
        <v>2180</v>
      </c>
      <c r="H435" s="2" t="s">
        <v>2105</v>
      </c>
      <c r="I435" s="2" t="str" cm="1">
        <f t="array" ref="I435">H435 &amp; _xlfn.REGEXEXTRACT(G435,"^[^_]+_\d{4}") &amp; ".pdf"</f>
        <v>https://www.ocf.berkeley.edu/~pkmendez/envsci/projects/2017final/HungK_2017.pdf</v>
      </c>
      <c r="J435" s="1" t="str">
        <f t="shared" si="6"/>
        <v>https://www.ocf.berkeley.edu/~pkmendez/envsci/projects/2017final/HungK_2017.pdf</v>
      </c>
      <c r="K435" s="2" t="str" cm="1">
        <f t="array" ref="K435:O435">_xlfn.TAKE(TRIM(_xlfn.TEXTSPLIT(F435,{",",";"})),,5)</f>
        <v>Urban Heat Island Effect (UHI)</v>
      </c>
      <c r="L435" s="2" t="str">
        <v>microclimate change</v>
      </c>
      <c r="M435" s="2" t="str">
        <v>heat-related illnesses</v>
      </c>
      <c r="N435" s="2" t="str">
        <v>cardiovascular diseases</v>
      </c>
      <c r="O435" s="2" t="str">
        <v>urban populations</v>
      </c>
      <c r="P435" s="2" t="s">
        <v>9</v>
      </c>
      <c r="Q435" s="2" t="s">
        <v>10</v>
      </c>
    </row>
    <row r="436" spans="1:17" x14ac:dyDescent="0.35">
      <c r="A436" s="2" t="s">
        <v>5884</v>
      </c>
      <c r="B436" s="2" t="s">
        <v>2181</v>
      </c>
      <c r="C436" s="2" t="s">
        <v>2182</v>
      </c>
      <c r="D436" s="2">
        <v>2017</v>
      </c>
      <c r="E436" s="2" t="s">
        <v>2183</v>
      </c>
      <c r="F436" s="2" t="s">
        <v>2184</v>
      </c>
      <c r="G436" s="2" t="s">
        <v>2185</v>
      </c>
      <c r="H436" s="2" t="s">
        <v>2105</v>
      </c>
      <c r="I436" s="2" t="str" cm="1">
        <f t="array" ref="I436">H436 &amp; _xlfn.REGEXEXTRACT(G436,"^[^_]+_\d{4}") &amp; ".pdf"</f>
        <v>https://www.ocf.berkeley.edu/~pkmendez/envsci/projects/2017final/JiJ_2017.pdf</v>
      </c>
      <c r="J436" s="1" t="str">
        <f t="shared" si="6"/>
        <v>https://www.ocf.berkeley.edu/~pkmendez/envsci/projects/2017final/JiJ_2017.pdf</v>
      </c>
      <c r="K436" s="2" t="str" cm="1">
        <f t="array" ref="K436:O436">_xlfn.TAKE(TRIM(_xlfn.TEXTSPLIT(F436,{",",";"})),,5)</f>
        <v>renewable energy economics</v>
      </c>
      <c r="L436" s="2" t="str">
        <v>cost-benefit analysis</v>
      </c>
      <c r="M436" s="2" t="str">
        <v>renewable energy policy</v>
      </c>
      <c r="N436" s="2" t="str">
        <v>social costs of carbon</v>
      </c>
      <c r="O436" s="2" t="str">
        <v>renewable energy</v>
      </c>
      <c r="P436" s="2" t="s">
        <v>9</v>
      </c>
      <c r="Q436" s="2" t="s">
        <v>10</v>
      </c>
    </row>
    <row r="437" spans="1:17" x14ac:dyDescent="0.35">
      <c r="A437" s="2" t="s">
        <v>5884</v>
      </c>
      <c r="B437" s="2" t="s">
        <v>2186</v>
      </c>
      <c r="C437" s="2" t="s">
        <v>2187</v>
      </c>
      <c r="D437" s="2">
        <v>2017</v>
      </c>
      <c r="E437" s="2" t="s">
        <v>2188</v>
      </c>
      <c r="F437" s="2" t="s">
        <v>2189</v>
      </c>
      <c r="G437" s="2" t="s">
        <v>2190</v>
      </c>
      <c r="H437" s="2" t="s">
        <v>2105</v>
      </c>
      <c r="I437" s="2" t="str" cm="1">
        <f t="array" ref="I437">H437 &amp; _xlfn.REGEXEXTRACT(G437,"^[^_]+_\d{4}") &amp; ".pdf"</f>
        <v>https://www.ocf.berkeley.edu/~pkmendez/envsci/projects/2017final/KarnchanapimonkulP_2017.pdf</v>
      </c>
      <c r="J437" s="1" t="str">
        <f t="shared" si="6"/>
        <v>https://www.ocf.berkeley.edu/~pkmendez/envsci/projects/2017final/KarnchanapimonkulP_2017.pdf</v>
      </c>
      <c r="K437" s="2" t="str" cm="1">
        <f t="array" ref="K437:O437">_xlfn.TAKE(TRIM(_xlfn.TEXTSPLIT(F437,{",",";"})),,5)</f>
        <v>sustainable consumption</v>
      </c>
      <c r="L437" s="2" t="str">
        <v>combined intervention</v>
      </c>
      <c r="M437" s="2" t="str">
        <v>priming</v>
      </c>
      <c r="N437" s="2" t="str">
        <v>quantitative surveys</v>
      </c>
      <c r="O437" s="2" t="str">
        <v>college students</v>
      </c>
      <c r="P437" s="2" t="s">
        <v>9</v>
      </c>
      <c r="Q437" s="2" t="s">
        <v>10</v>
      </c>
    </row>
    <row r="438" spans="1:17" x14ac:dyDescent="0.35">
      <c r="A438" s="2" t="s">
        <v>5884</v>
      </c>
      <c r="B438" s="2" t="s">
        <v>2191</v>
      </c>
      <c r="C438" s="2" t="s">
        <v>2192</v>
      </c>
      <c r="D438" s="2">
        <v>2017</v>
      </c>
      <c r="E438" s="2" t="s">
        <v>2193</v>
      </c>
      <c r="F438" s="2" t="s">
        <v>2194</v>
      </c>
      <c r="G438" s="2" t="s">
        <v>2195</v>
      </c>
      <c r="H438" s="2" t="s">
        <v>2105</v>
      </c>
      <c r="I438" s="2" t="str" cm="1">
        <f t="array" ref="I438">H438 &amp; _xlfn.REGEXEXTRACT(G438,"^[^_]+_\d{4}") &amp; ".pdf"</f>
        <v>https://www.ocf.berkeley.edu/~pkmendez/envsci/projects/2017final/KaurR_2017.pdf</v>
      </c>
      <c r="J438" s="1" t="str">
        <f t="shared" si="6"/>
        <v>https://www.ocf.berkeley.edu/~pkmendez/envsci/projects/2017final/KaurR_2017.pdf</v>
      </c>
      <c r="K438" s="2" t="str" cm="1">
        <f t="array" ref="K438:O438">_xlfn.TAKE(TRIM(_xlfn.TEXTSPLIT(F438,{",",";"})),,5)</f>
        <v>stunted growth</v>
      </c>
      <c r="L438" s="2" t="str">
        <v>children</v>
      </c>
      <c r="M438" s="2" t="str">
        <v>drinking water quality</v>
      </c>
      <c r="N438" s="2" t="str">
        <v>diet</v>
      </c>
      <c r="O438" s="2" t="str">
        <v>slums</v>
      </c>
      <c r="P438" s="2" t="s">
        <v>9</v>
      </c>
      <c r="Q438" s="2" t="s">
        <v>10</v>
      </c>
    </row>
    <row r="439" spans="1:17" x14ac:dyDescent="0.35">
      <c r="A439" s="2" t="s">
        <v>5884</v>
      </c>
      <c r="B439" s="2" t="s">
        <v>2196</v>
      </c>
      <c r="C439" s="2" t="s">
        <v>2197</v>
      </c>
      <c r="D439" s="2">
        <v>2017</v>
      </c>
      <c r="E439" s="2" t="s">
        <v>2198</v>
      </c>
      <c r="F439" s="2" t="s">
        <v>2199</v>
      </c>
      <c r="G439" s="2" t="s">
        <v>2200</v>
      </c>
      <c r="H439" s="2" t="s">
        <v>2105</v>
      </c>
      <c r="I439" s="2" t="str" cm="1">
        <f t="array" ref="I439">H439 &amp; _xlfn.REGEXEXTRACT(G439,"^[^_]+_\d{4}") &amp; ".pdf"</f>
        <v>https://www.ocf.berkeley.edu/~pkmendez/envsci/projects/2017final/KeumE_2017.pdf</v>
      </c>
      <c r="J439" s="1" t="str">
        <f t="shared" si="6"/>
        <v>https://www.ocf.berkeley.edu/~pkmendez/envsci/projects/2017final/KeumE_2017.pdf</v>
      </c>
      <c r="K439" s="2" t="str" cm="1">
        <f t="array" ref="K439:O439">_xlfn.TAKE(TRIM(_xlfn.TEXTSPLIT(F439,{",",";"})),,5)</f>
        <v>Agricultural Technology</v>
      </c>
      <c r="L439" s="2" t="str">
        <v>Dissemination</v>
      </c>
      <c r="M439" s="2" t="str">
        <v>Livestock Waste</v>
      </c>
      <c r="N439" s="2" t="str">
        <v>Organic Fertilizer</v>
      </c>
      <c r="O439" s="2" t="str">
        <v>Greenhouse Gases</v>
      </c>
      <c r="P439" s="2" t="s">
        <v>9</v>
      </c>
      <c r="Q439" s="2" t="s">
        <v>10</v>
      </c>
    </row>
    <row r="440" spans="1:17" x14ac:dyDescent="0.35">
      <c r="A440" s="2" t="s">
        <v>5884</v>
      </c>
      <c r="B440" s="2" t="s">
        <v>2201</v>
      </c>
      <c r="C440" s="2" t="s">
        <v>2202</v>
      </c>
      <c r="D440" s="2">
        <v>2017</v>
      </c>
      <c r="E440" s="2" t="s">
        <v>2203</v>
      </c>
      <c r="F440" s="2" t="s">
        <v>2204</v>
      </c>
      <c r="G440" s="2" t="s">
        <v>2205</v>
      </c>
      <c r="H440" s="2" t="s">
        <v>2105</v>
      </c>
      <c r="I440" s="2" t="str" cm="1">
        <f t="array" ref="I440">H440 &amp; _xlfn.REGEXEXTRACT(G440,"^[^_]+_\d{4}") &amp; ".pdf"</f>
        <v>https://www.ocf.berkeley.edu/~pkmendez/envsci/projects/2017final/KillmonA_2017.pdf</v>
      </c>
      <c r="J440" s="1" t="str">
        <f t="shared" si="6"/>
        <v>https://www.ocf.berkeley.edu/~pkmendez/envsci/projects/2017final/KillmonA_2017.pdf</v>
      </c>
      <c r="K440" s="2" t="str" cm="1">
        <f t="array" ref="K440:O440">_xlfn.TAKE(TRIM(_xlfn.TEXTSPLIT(F440,{",",";"})),,5)</f>
        <v>bioswale</v>
      </c>
      <c r="L440" s="2" t="str">
        <v>bioretention system</v>
      </c>
      <c r="M440" s="2" t="str">
        <v>vegetation</v>
      </c>
      <c r="N440" s="2" t="str">
        <v>urban landscape element</v>
      </c>
      <c r="O440" s="2" t="str">
        <v>vegetation maintenance</v>
      </c>
      <c r="P440" s="2" t="s">
        <v>9</v>
      </c>
      <c r="Q440" s="2" t="s">
        <v>10</v>
      </c>
    </row>
    <row r="441" spans="1:17" x14ac:dyDescent="0.35">
      <c r="A441" s="2" t="s">
        <v>5884</v>
      </c>
      <c r="B441" s="2" t="s">
        <v>2206</v>
      </c>
      <c r="C441" s="2" t="s">
        <v>2207</v>
      </c>
      <c r="D441" s="2">
        <v>2017</v>
      </c>
      <c r="E441" s="2" t="s">
        <v>2208</v>
      </c>
      <c r="F441" s="2" t="s">
        <v>2209</v>
      </c>
      <c r="G441" s="2" t="s">
        <v>2210</v>
      </c>
      <c r="H441" s="2" t="s">
        <v>2105</v>
      </c>
      <c r="I441" s="2" t="str" cm="1">
        <f t="array" ref="I441">H441 &amp; _xlfn.REGEXEXTRACT(G441,"^[^_]+_\d{4}") &amp; ".pdf"</f>
        <v>https://www.ocf.berkeley.edu/~pkmendez/envsci/projects/2017final/KimJ_2017.pdf</v>
      </c>
      <c r="J441" s="1" t="str">
        <f t="shared" si="6"/>
        <v>https://www.ocf.berkeley.edu/~pkmendez/envsci/projects/2017final/KimJ_2017.pdf</v>
      </c>
      <c r="K441" s="2" t="str" cm="1">
        <f t="array" ref="K441:O441">_xlfn.TAKE(TRIM(_xlfn.TEXTSPLIT(F441,{",",";"})),,5)</f>
        <v>Taste and ecology</v>
      </c>
      <c r="L441" s="2" t="str">
        <v>mutualistic symbiont</v>
      </c>
      <c r="M441" s="2" t="str">
        <v>agriculture practices</v>
      </c>
      <c r="N441" s="2" t="str">
        <v>environmental health</v>
      </c>
      <c r="O441" s="2" t="str">
        <v>nurseries and farmers</v>
      </c>
      <c r="P441" s="2" t="s">
        <v>9</v>
      </c>
      <c r="Q441" s="2" t="s">
        <v>10</v>
      </c>
    </row>
    <row r="442" spans="1:17" x14ac:dyDescent="0.35">
      <c r="A442" s="2" t="s">
        <v>5884</v>
      </c>
      <c r="B442" s="2" t="s">
        <v>2211</v>
      </c>
      <c r="C442" s="2" t="s">
        <v>2212</v>
      </c>
      <c r="D442" s="2">
        <v>2017</v>
      </c>
      <c r="E442" s="2" t="s">
        <v>2213</v>
      </c>
      <c r="F442" s="2" t="s">
        <v>2214</v>
      </c>
      <c r="G442" s="2" t="s">
        <v>2215</v>
      </c>
      <c r="H442" s="2" t="s">
        <v>2105</v>
      </c>
      <c r="I442" s="2" t="str" cm="1">
        <f t="array" ref="I442">H442 &amp; _xlfn.REGEXEXTRACT(G442,"^[^_]+_\d{4}") &amp; ".pdf"</f>
        <v>https://www.ocf.berkeley.edu/~pkmendez/envsci/projects/2017final/KleinS_2017.pdf</v>
      </c>
      <c r="J442" s="1" t="str">
        <f t="shared" si="6"/>
        <v>https://www.ocf.berkeley.edu/~pkmendez/envsci/projects/2017final/KleinS_2017.pdf</v>
      </c>
      <c r="K442" s="2" t="str" cm="1">
        <f t="array" ref="K442:O442">_xlfn.TAKE(TRIM(_xlfn.TEXTSPLIT(F442,{",",";"})),,5)</f>
        <v>Marine mammals</v>
      </c>
      <c r="L442" s="2" t="str">
        <v>fishing regimes</v>
      </c>
      <c r="M442" s="2" t="str">
        <v>bycatch</v>
      </c>
      <c r="N442" s="2" t="str">
        <v>feeding association</v>
      </c>
      <c r="O442" s="2" t="str">
        <v>mortality</v>
      </c>
      <c r="P442" s="2" t="s">
        <v>9</v>
      </c>
      <c r="Q442" s="2" t="s">
        <v>2216</v>
      </c>
    </row>
    <row r="443" spans="1:17" x14ac:dyDescent="0.35">
      <c r="A443" s="2" t="s">
        <v>5884</v>
      </c>
      <c r="B443" s="2" t="s">
        <v>2217</v>
      </c>
      <c r="C443" s="2" t="s">
        <v>2218</v>
      </c>
      <c r="D443" s="2">
        <v>2017</v>
      </c>
      <c r="E443" s="2" t="s">
        <v>2219</v>
      </c>
      <c r="F443" s="2" t="s">
        <v>2220</v>
      </c>
      <c r="G443" s="2" t="s">
        <v>2221</v>
      </c>
      <c r="H443" s="2" t="s">
        <v>2105</v>
      </c>
      <c r="I443" s="2" t="str" cm="1">
        <f t="array" ref="I443">H443 &amp; _xlfn.REGEXEXTRACT(G443,"^[^_]+_\d{4}") &amp; ".pdf"</f>
        <v>https://www.ocf.berkeley.edu/~pkmendez/envsci/projects/2017final/KuskulisE_2017.pdf</v>
      </c>
      <c r="J443" s="1" t="str">
        <f t="shared" si="6"/>
        <v>https://www.ocf.berkeley.edu/~pkmendez/envsci/projects/2017final/KuskulisE_2017.pdf</v>
      </c>
      <c r="K443" s="2" t="str" cm="1">
        <f t="array" ref="K443:O443">_xlfn.TAKE(TRIM(_xlfn.TEXTSPLIT(F443,{",",";"})),,5)</f>
        <v>silviculture</v>
      </c>
      <c r="L443" s="2" t="str">
        <v>forest pathology</v>
      </c>
      <c r="M443" s="2" t="str">
        <v>invasive species</v>
      </c>
      <c r="N443" s="2" t="str">
        <v>mortality</v>
      </c>
      <c r="O443" s="2" t="str">
        <v>growth and yield</v>
      </c>
      <c r="P443" s="2" t="s">
        <v>9</v>
      </c>
      <c r="Q443" s="2" t="s">
        <v>10</v>
      </c>
    </row>
    <row r="444" spans="1:17" x14ac:dyDescent="0.35">
      <c r="A444" s="2" t="s">
        <v>5884</v>
      </c>
      <c r="B444" s="2" t="s">
        <v>2222</v>
      </c>
      <c r="C444" s="2" t="s">
        <v>2223</v>
      </c>
      <c r="D444" s="2">
        <v>2017</v>
      </c>
      <c r="E444" s="2" t="s">
        <v>2224</v>
      </c>
      <c r="F444" s="2" t="s">
        <v>2225</v>
      </c>
      <c r="G444" s="2" t="s">
        <v>2226</v>
      </c>
      <c r="H444" s="2" t="s">
        <v>2105</v>
      </c>
      <c r="I444" s="2" t="str" cm="1">
        <f t="array" ref="I444">H444 &amp; _xlfn.REGEXEXTRACT(G444,"^[^_]+_\d{4}") &amp; ".pdf"</f>
        <v>https://www.ocf.berkeley.edu/~pkmendez/envsci/projects/2017final/LalorA_2017.pdf</v>
      </c>
      <c r="J444" s="1" t="str">
        <f t="shared" si="6"/>
        <v>https://www.ocf.berkeley.edu/~pkmendez/envsci/projects/2017final/LalorA_2017.pdf</v>
      </c>
      <c r="K444" s="2" t="str" cm="1">
        <f t="array" ref="K444:O444">_xlfn.TAKE(TRIM(_xlfn.TEXTSPLIT(F444,{",",";"})),,5)</f>
        <v>grassland</v>
      </c>
      <c r="L444" s="2" t="str">
        <v>shrubland</v>
      </c>
      <c r="M444" s="2" t="str">
        <v>plant diversity</v>
      </c>
      <c r="N444" s="2" t="str">
        <v>ranching</v>
      </c>
      <c r="O444" s="2" t="str">
        <v>National Parks Service</v>
      </c>
      <c r="P444" s="2" t="s">
        <v>9</v>
      </c>
      <c r="Q444" s="2" t="s">
        <v>10</v>
      </c>
    </row>
    <row r="445" spans="1:17" x14ac:dyDescent="0.35">
      <c r="A445" s="2" t="s">
        <v>5884</v>
      </c>
      <c r="B445" s="2" t="s">
        <v>2227</v>
      </c>
      <c r="C445" s="2" t="s">
        <v>2228</v>
      </c>
      <c r="D445" s="2">
        <v>2017</v>
      </c>
      <c r="E445" s="2" t="s">
        <v>2229</v>
      </c>
      <c r="F445" s="2" t="s">
        <v>2230</v>
      </c>
      <c r="G445" s="2" t="s">
        <v>2231</v>
      </c>
      <c r="H445" s="2" t="s">
        <v>2105</v>
      </c>
      <c r="I445" s="2" t="str" cm="1">
        <f t="array" ref="I445">H445 &amp; _xlfn.REGEXEXTRACT(G445,"^[^_]+_\d{4}") &amp; ".pdf"</f>
        <v>https://www.ocf.berkeley.edu/~pkmendez/envsci/projects/2017final/LeeJ_2017.pdf</v>
      </c>
      <c r="J445" s="1" t="str">
        <f t="shared" si="6"/>
        <v>https://www.ocf.berkeley.edu/~pkmendez/envsci/projects/2017final/LeeJ_2017.pdf</v>
      </c>
      <c r="K445" s="2" t="str" cm="1">
        <f t="array" ref="K445:O445">_xlfn.TAKE(TRIM(_xlfn.TEXTSPLIT(F445,{",",";"})),,5)</f>
        <v>Environmental engineering</v>
      </c>
      <c r="L445" s="2" t="str">
        <v>wastewater treatment</v>
      </c>
      <c r="M445" s="2" t="str">
        <v>microbiology</v>
      </c>
      <c r="N445" s="2" t="str">
        <v>nitrogen removal</v>
      </c>
      <c r="O445" s="2" t="str">
        <v>water quality</v>
      </c>
      <c r="P445" s="2" t="s">
        <v>9</v>
      </c>
      <c r="Q445" s="2" t="s">
        <v>10</v>
      </c>
    </row>
    <row r="446" spans="1:17" x14ac:dyDescent="0.35">
      <c r="A446" s="2" t="s">
        <v>5884</v>
      </c>
      <c r="B446" s="2" t="s">
        <v>2232</v>
      </c>
      <c r="C446" s="2" t="s">
        <v>2233</v>
      </c>
      <c r="D446" s="2">
        <v>2017</v>
      </c>
      <c r="E446" s="2" t="s">
        <v>2234</v>
      </c>
      <c r="F446" s="2" t="s">
        <v>2235</v>
      </c>
      <c r="G446" s="2" t="s">
        <v>2236</v>
      </c>
      <c r="H446" s="2" t="s">
        <v>2105</v>
      </c>
      <c r="I446" s="2" t="str" cm="1">
        <f t="array" ref="I446">H446 &amp; _xlfn.REGEXEXTRACT(G446,"^[^_]+_\d{4}") &amp; ".pdf"</f>
        <v>https://www.ocf.berkeley.edu/~pkmendez/envsci/projects/2017final/LeeY_2017.pdf</v>
      </c>
      <c r="J446" s="1" t="str">
        <f t="shared" si="6"/>
        <v>https://www.ocf.berkeley.edu/~pkmendez/envsci/projects/2017final/LeeY_2017.pdf</v>
      </c>
      <c r="K446" s="2" t="s">
        <v>2237</v>
      </c>
      <c r="L446" s="2" t="s">
        <v>2238</v>
      </c>
      <c r="N446" s="2" t="s">
        <v>2239</v>
      </c>
      <c r="O446" s="2" t="s">
        <v>2240</v>
      </c>
      <c r="P446" s="2" t="s">
        <v>2241</v>
      </c>
      <c r="Q446" s="2" t="s">
        <v>10</v>
      </c>
    </row>
    <row r="447" spans="1:17" x14ac:dyDescent="0.35">
      <c r="A447" s="2" t="s">
        <v>5884</v>
      </c>
      <c r="B447" s="2" t="s">
        <v>2242</v>
      </c>
      <c r="C447" s="2" t="s">
        <v>2243</v>
      </c>
      <c r="D447" s="2">
        <v>2017</v>
      </c>
      <c r="E447" s="2" t="s">
        <v>2244</v>
      </c>
      <c r="F447" s="2" t="s">
        <v>2245</v>
      </c>
      <c r="G447" s="2" t="s">
        <v>2246</v>
      </c>
      <c r="H447" s="2" t="s">
        <v>2105</v>
      </c>
      <c r="I447" s="2" t="str" cm="1">
        <f t="array" ref="I447">H447 &amp; _xlfn.REGEXEXTRACT(G447,"^[^_]+_\d{4}") &amp; ".pdf"</f>
        <v>https://www.ocf.berkeley.edu/~pkmendez/envsci/projects/2017final/LiM_2017.pdf</v>
      </c>
      <c r="J447" s="1" t="str">
        <f t="shared" si="6"/>
        <v>https://www.ocf.berkeley.edu/~pkmendez/envsci/projects/2017final/LiM_2017.pdf</v>
      </c>
      <c r="K447" s="2" t="str" cm="1">
        <f t="array" ref="K447:O447">_xlfn.TAKE(TRIM(_xlfn.TEXTSPLIT(F447,{",",";"})),,5)</f>
        <v>city managers</v>
      </c>
      <c r="L447" s="2" t="str">
        <v>city planning</v>
      </c>
      <c r="M447" s="2" t="str">
        <v>perception survey</v>
      </c>
      <c r="N447" s="2" t="str">
        <v>arborists</v>
      </c>
      <c r="O447" s="2" t="str">
        <v>urban tree health</v>
      </c>
      <c r="P447" s="2" t="s">
        <v>9</v>
      </c>
      <c r="Q447" s="2" t="s">
        <v>10</v>
      </c>
    </row>
    <row r="448" spans="1:17" x14ac:dyDescent="0.35">
      <c r="A448" s="2" t="s">
        <v>5884</v>
      </c>
      <c r="B448" s="2" t="s">
        <v>2247</v>
      </c>
      <c r="C448" s="2" t="s">
        <v>2248</v>
      </c>
      <c r="D448" s="2">
        <v>2017</v>
      </c>
      <c r="E448" s="2" t="s">
        <v>2249</v>
      </c>
      <c r="F448" s="2" t="s">
        <v>2250</v>
      </c>
      <c r="G448" s="2" t="s">
        <v>2251</v>
      </c>
      <c r="H448" s="2" t="s">
        <v>2105</v>
      </c>
      <c r="I448" s="2" t="str" cm="1">
        <f t="array" ref="I448">H448 &amp; _xlfn.REGEXEXTRACT(G448,"^[^_]+_\d{4}") &amp; ".pdf"</f>
        <v>https://www.ocf.berkeley.edu/~pkmendez/envsci/projects/2017final/LimD_2017.pdf</v>
      </c>
      <c r="J448" s="1" t="str">
        <f t="shared" si="6"/>
        <v>https://www.ocf.berkeley.edu/~pkmendez/envsci/projects/2017final/LimD_2017.pdf</v>
      </c>
      <c r="K448" s="2" t="str" cm="1">
        <f t="array" ref="K448:O448">_xlfn.TAKE(TRIM(_xlfn.TEXTSPLIT(F448,{",",";"})),,5)</f>
        <v>DICE model</v>
      </c>
      <c r="L448" s="2" t="str">
        <v>climate change economics</v>
      </c>
      <c r="M448" s="2" t="str">
        <v>global temperature</v>
      </c>
      <c r="N448" s="2" t="str">
        <v>emission control rate projections</v>
      </c>
      <c r="O448" s="2" t="str">
        <v>pure rate of time preference (PTRP)</v>
      </c>
      <c r="P448" s="2" t="s">
        <v>9</v>
      </c>
      <c r="Q448" s="2" t="s">
        <v>10</v>
      </c>
    </row>
    <row r="449" spans="1:17" x14ac:dyDescent="0.35">
      <c r="A449" s="2" t="s">
        <v>5884</v>
      </c>
      <c r="B449" s="2" t="s">
        <v>2252</v>
      </c>
      <c r="C449" s="2" t="s">
        <v>2253</v>
      </c>
      <c r="D449" s="2">
        <v>2017</v>
      </c>
      <c r="E449" s="2" t="s">
        <v>2254</v>
      </c>
      <c r="F449" s="2" t="s">
        <v>2255</v>
      </c>
      <c r="G449" s="2" t="s">
        <v>2256</v>
      </c>
      <c r="H449" s="2" t="s">
        <v>2105</v>
      </c>
      <c r="I449" s="2" t="str" cm="1">
        <f t="array" ref="I449">H449 &amp; _xlfn.REGEXEXTRACT(G449,"^[^_]+_\d{4}") &amp; ".pdf"</f>
        <v>https://www.ocf.berkeley.edu/~pkmendez/envsci/projects/2017final/MalisE_2017.pdf</v>
      </c>
      <c r="J449" s="1" t="str">
        <f t="shared" si="6"/>
        <v>https://www.ocf.berkeley.edu/~pkmendez/envsci/projects/2017final/MalisE_2017.pdf</v>
      </c>
      <c r="K449" s="2" t="str" cm="1">
        <f t="array" ref="K449:O449">_xlfn.TAKE(TRIM(_xlfn.TEXTSPLIT(F449,{",",";"})),,5)</f>
        <v>wetland</v>
      </c>
      <c r="L449" s="2" t="str">
        <v>tidal marsh</v>
      </c>
      <c r="M449" s="2" t="str">
        <v>restoration</v>
      </c>
      <c r="N449" s="2" t="str">
        <v>transition zone</v>
      </c>
      <c r="O449" s="2" t="str">
        <v>vegetation</v>
      </c>
      <c r="P449" s="2" t="s">
        <v>9</v>
      </c>
      <c r="Q449" s="2" t="s">
        <v>10</v>
      </c>
    </row>
    <row r="450" spans="1:17" x14ac:dyDescent="0.35">
      <c r="A450" s="2" t="s">
        <v>5884</v>
      </c>
      <c r="B450" s="2" t="s">
        <v>2257</v>
      </c>
      <c r="C450" s="2" t="s">
        <v>2258</v>
      </c>
      <c r="D450" s="2">
        <v>2017</v>
      </c>
      <c r="E450" s="2" t="s">
        <v>2259</v>
      </c>
      <c r="F450" s="2" t="s">
        <v>2260</v>
      </c>
      <c r="G450" s="2" t="s">
        <v>2261</v>
      </c>
      <c r="H450" s="2" t="s">
        <v>2105</v>
      </c>
      <c r="I450" s="2" t="str" cm="1">
        <f t="array" ref="I450">H450 &amp; _xlfn.REGEXEXTRACT(G450,"^[^_]+_\d{4}") &amp; ".pdf"</f>
        <v>https://www.ocf.berkeley.edu/~pkmendez/envsci/projects/2017final/MartinezC_2017.pdf</v>
      </c>
      <c r="J450" s="1" t="str">
        <f t="shared" si="6"/>
        <v>https://www.ocf.berkeley.edu/~pkmendez/envsci/projects/2017final/MartinezC_2017.pdf</v>
      </c>
      <c r="K450" s="2" t="str" cm="1">
        <f t="array" ref="K450:O450">_xlfn.TAKE(TRIM(_xlfn.TEXTSPLIT(F450,{",",";"})),,5)</f>
        <v>Chinese Brake fern</v>
      </c>
      <c r="L450" s="2" t="str">
        <v>hyperaccumulator</v>
      </c>
      <c r="M450" s="2" t="str">
        <v>phytoextraction</v>
      </c>
      <c r="N450" s="2" t="str">
        <v>phytoremediation</v>
      </c>
      <c r="O450" s="2" t="str">
        <v>temporal replicate</v>
      </c>
      <c r="P450" s="2" t="s">
        <v>9</v>
      </c>
      <c r="Q450" s="2" t="s">
        <v>10</v>
      </c>
    </row>
    <row r="451" spans="1:17" x14ac:dyDescent="0.35">
      <c r="A451" s="2" t="s">
        <v>5884</v>
      </c>
      <c r="B451" s="2" t="s">
        <v>2262</v>
      </c>
      <c r="C451" s="2" t="s">
        <v>2263</v>
      </c>
      <c r="D451" s="2">
        <v>2017</v>
      </c>
      <c r="E451" s="2" t="s">
        <v>2264</v>
      </c>
      <c r="F451" s="2" t="s">
        <v>2265</v>
      </c>
      <c r="G451" s="2" t="s">
        <v>2266</v>
      </c>
      <c r="H451" s="2" t="s">
        <v>2105</v>
      </c>
      <c r="I451" s="2" t="str" cm="1">
        <f t="array" ref="I451">H451 &amp; _xlfn.REGEXEXTRACT(G451,"^[^_]+_\d{4}") &amp; ".pdf"</f>
        <v>https://www.ocf.berkeley.edu/~pkmendez/envsci/projects/2017final/MenzaD_2017.pdf</v>
      </c>
      <c r="J451" s="1" t="str">
        <f t="shared" ref="J451:J500" si="7">HYPERLINK(I451, I451)</f>
        <v>https://www.ocf.berkeley.edu/~pkmendez/envsci/projects/2017final/MenzaD_2017.pdf</v>
      </c>
      <c r="K451" s="2" t="str" cm="1">
        <f t="array" ref="K451:N451">_xlfn.TAKE(TRIM(_xlfn.TEXTSPLIT(F451,{",",";"})),,5)</f>
        <v>Environmental justice</v>
      </c>
      <c r="L451" s="2" t="str">
        <v>PM 2.5</v>
      </c>
      <c r="M451" s="2" t="str">
        <v>sulfur dioxide</v>
      </c>
      <c r="N451" s="2" t="str">
        <v>environmental health disparity</v>
      </c>
      <c r="P451" s="2" t="s">
        <v>9</v>
      </c>
      <c r="Q451" s="2" t="s">
        <v>10</v>
      </c>
    </row>
    <row r="452" spans="1:17" x14ac:dyDescent="0.35">
      <c r="A452" s="2" t="s">
        <v>5884</v>
      </c>
      <c r="B452" s="2" t="s">
        <v>2267</v>
      </c>
      <c r="C452" s="2" t="s">
        <v>2268</v>
      </c>
      <c r="D452" s="2">
        <v>2017</v>
      </c>
      <c r="E452" s="2" t="s">
        <v>2269</v>
      </c>
      <c r="F452" s="2" t="s">
        <v>2270</v>
      </c>
      <c r="G452" s="2" t="s">
        <v>2271</v>
      </c>
      <c r="H452" s="2" t="s">
        <v>2105</v>
      </c>
      <c r="I452" s="2" t="str" cm="1">
        <f t="array" ref="I452">H452 &amp; _xlfn.REGEXEXTRACT(G452,"^[^_]+_\d{4}") &amp; ".pdf"</f>
        <v>https://www.ocf.berkeley.edu/~pkmendez/envsci/projects/2017final/MoralesM_2017.pdf</v>
      </c>
      <c r="J452" s="1" t="str">
        <f t="shared" si="7"/>
        <v>https://www.ocf.berkeley.edu/~pkmendez/envsci/projects/2017final/MoralesM_2017.pdf</v>
      </c>
      <c r="K452" s="2" t="str" cm="1">
        <f t="array" ref="K452:O452">_xlfn.TAKE(TRIM(_xlfn.TEXTSPLIT(F452,{",",";"})),,5)</f>
        <v>Eucalyptus</v>
      </c>
      <c r="L452" s="2" t="str">
        <v>invasive species</v>
      </c>
      <c r="M452" s="2" t="str">
        <v>fuel management</v>
      </c>
      <c r="N452" s="2" t="str">
        <v>habitat</v>
      </c>
      <c r="O452" s="2" t="str">
        <v>mesopredator</v>
      </c>
      <c r="P452" s="2" t="s">
        <v>9</v>
      </c>
      <c r="Q452" s="2" t="s">
        <v>10</v>
      </c>
    </row>
    <row r="453" spans="1:17" x14ac:dyDescent="0.35">
      <c r="A453" s="2" t="s">
        <v>5884</v>
      </c>
      <c r="B453" s="2" t="s">
        <v>2272</v>
      </c>
      <c r="C453" s="2" t="s">
        <v>2273</v>
      </c>
      <c r="D453" s="2">
        <v>2017</v>
      </c>
      <c r="E453" s="2" t="s">
        <v>2274</v>
      </c>
      <c r="F453" s="2" t="s">
        <v>2275</v>
      </c>
      <c r="G453" s="2" t="s">
        <v>2276</v>
      </c>
      <c r="H453" s="2" t="s">
        <v>2105</v>
      </c>
      <c r="I453" s="2" t="str" cm="1">
        <f t="array" ref="I453">H453 &amp; _xlfn.REGEXEXTRACT(G453,"^[^_]+_\d{4}") &amp; ".pdf"</f>
        <v>https://www.ocf.berkeley.edu/~pkmendez/envsci/projects/2017final/MorganK_2017.pdf</v>
      </c>
      <c r="J453" s="1" t="str">
        <f t="shared" si="7"/>
        <v>https://www.ocf.berkeley.edu/~pkmendez/envsci/projects/2017final/MorganK_2017.pdf</v>
      </c>
      <c r="K453" s="2" t="str" cm="1">
        <f t="array" ref="K453:O453">_xlfn.TAKE(TRIM(_xlfn.TEXTSPLIT(F453,{",",";"})),,5)</f>
        <v>carbon footprint</v>
      </c>
      <c r="L453" s="2" t="str">
        <v>Cool Climate Calculator</v>
      </c>
      <c r="M453" s="2" t="str">
        <v>student behavior</v>
      </c>
      <c r="N453" s="2" t="str">
        <v>values</v>
      </c>
      <c r="O453" s="2" t="str">
        <v>knowledge</v>
      </c>
      <c r="P453" s="2" t="s">
        <v>9</v>
      </c>
      <c r="Q453" s="2" t="s">
        <v>10</v>
      </c>
    </row>
    <row r="454" spans="1:17" x14ac:dyDescent="0.35">
      <c r="A454" s="2" t="s">
        <v>5884</v>
      </c>
      <c r="B454" s="2" t="s">
        <v>2277</v>
      </c>
      <c r="C454" s="2" t="s">
        <v>2278</v>
      </c>
      <c r="D454" s="2">
        <v>2017</v>
      </c>
      <c r="E454" s="2" t="s">
        <v>2279</v>
      </c>
      <c r="F454" s="2" t="s">
        <v>2275</v>
      </c>
      <c r="G454" s="2" t="s">
        <v>2280</v>
      </c>
      <c r="H454" s="2" t="s">
        <v>2105</v>
      </c>
      <c r="I454" s="2" t="str" cm="1">
        <f t="array" ref="I454">H454 &amp; _xlfn.REGEXEXTRACT(G454,"^[^_]+_\d{4}") &amp; ".pdf"</f>
        <v>https://www.ocf.berkeley.edu/~pkmendez/envsci/projects/2017final/NabagloK_2017.pdf</v>
      </c>
      <c r="J454" s="1" t="str">
        <f t="shared" si="7"/>
        <v>https://www.ocf.berkeley.edu/~pkmendez/envsci/projects/2017final/NabagloK_2017.pdf</v>
      </c>
      <c r="K454" s="2" t="str" cm="1">
        <f t="array" ref="K454:O454">_xlfn.TAKE(TRIM(_xlfn.TEXTSPLIT(F454,{",",";"})),,5)</f>
        <v>carbon footprint</v>
      </c>
      <c r="L454" s="2" t="str">
        <v>Cool Climate Calculator</v>
      </c>
      <c r="M454" s="2" t="str">
        <v>student behavior</v>
      </c>
      <c r="N454" s="2" t="str">
        <v>values</v>
      </c>
      <c r="O454" s="2" t="str">
        <v>knowledge</v>
      </c>
      <c r="P454" s="2" t="s">
        <v>9</v>
      </c>
      <c r="Q454" s="2" t="s">
        <v>10</v>
      </c>
    </row>
    <row r="455" spans="1:17" x14ac:dyDescent="0.35">
      <c r="A455" s="2" t="s">
        <v>5884</v>
      </c>
      <c r="B455" s="2" t="s">
        <v>2281</v>
      </c>
      <c r="C455" s="2" t="s">
        <v>2282</v>
      </c>
      <c r="D455" s="2">
        <v>2017</v>
      </c>
      <c r="E455" s="2" t="s">
        <v>2283</v>
      </c>
      <c r="F455" s="2" t="s">
        <v>2284</v>
      </c>
      <c r="G455" s="2" t="s">
        <v>2285</v>
      </c>
      <c r="H455" s="2" t="s">
        <v>2105</v>
      </c>
      <c r="I455" s="2" t="str" cm="1">
        <f t="array" ref="I455">H455 &amp; _xlfn.REGEXEXTRACT(G455,"^[^_]+_\d{4}") &amp; ".pdf"</f>
        <v>https://www.ocf.berkeley.edu/~pkmendez/envsci/projects/2017final/NguyenJ_2017.pdf</v>
      </c>
      <c r="J455" s="1" t="str">
        <f t="shared" si="7"/>
        <v>https://www.ocf.berkeley.edu/~pkmendez/envsci/projects/2017final/NguyenJ_2017.pdf</v>
      </c>
      <c r="K455" s="2" t="str" cm="1">
        <f t="array" ref="K455:O455">_xlfn.TAKE(TRIM(_xlfn.TEXTSPLIT(F455,{",",";"})),,5)</f>
        <v>Landscape fire</v>
      </c>
      <c r="L455" s="2" t="str">
        <v>eCognition</v>
      </c>
      <c r="M455" s="2" t="str">
        <v>ERDAS Imagine</v>
      </c>
      <c r="N455" s="2" t="str">
        <v>heterogeneity</v>
      </c>
      <c r="O455" s="2" t="str">
        <v>plant diversity</v>
      </c>
      <c r="P455" s="2" t="s">
        <v>9</v>
      </c>
      <c r="Q455" s="2" t="s">
        <v>10</v>
      </c>
    </row>
    <row r="456" spans="1:17" x14ac:dyDescent="0.35">
      <c r="A456" s="2" t="s">
        <v>5884</v>
      </c>
      <c r="B456" s="2" t="s">
        <v>2286</v>
      </c>
      <c r="C456" s="2" t="s">
        <v>2287</v>
      </c>
      <c r="D456" s="2">
        <v>2017</v>
      </c>
      <c r="E456" s="2" t="s">
        <v>2288</v>
      </c>
      <c r="F456" s="2" t="s">
        <v>2289</v>
      </c>
      <c r="G456" s="2" t="s">
        <v>2290</v>
      </c>
      <c r="H456" s="2" t="s">
        <v>2105</v>
      </c>
      <c r="I456" s="2" t="str" cm="1">
        <f t="array" ref="I456">H456 &amp; _xlfn.REGEXEXTRACT(G456,"^[^_]+_\d{4}") &amp; ".pdf"</f>
        <v>https://www.ocf.berkeley.edu/~pkmendez/envsci/projects/2017final/OngK_2017.pdf</v>
      </c>
      <c r="J456" s="1" t="str">
        <f t="shared" si="7"/>
        <v>https://www.ocf.berkeley.edu/~pkmendez/envsci/projects/2017final/OngK_2017.pdf</v>
      </c>
      <c r="K456" s="2" t="str" cm="1">
        <f t="array" ref="K456:O456">_xlfn.TAKE(TRIM(_xlfn.TEXTSPLIT(F456,{",",";"})),,5)</f>
        <v>energy storage mandate</v>
      </c>
      <c r="L456" s="2" t="str">
        <v>feed-in tariff</v>
      </c>
      <c r="M456" s="2" t="str">
        <v>direct technological subsidy</v>
      </c>
      <c r="N456" s="2" t="str">
        <v>renewable energy generation</v>
      </c>
      <c r="O456" s="2" t="str">
        <v>electrical energy storage</v>
      </c>
      <c r="P456" s="2" t="s">
        <v>9</v>
      </c>
      <c r="Q456" s="2" t="s">
        <v>10</v>
      </c>
    </row>
    <row r="457" spans="1:17" x14ac:dyDescent="0.35">
      <c r="A457" s="2" t="s">
        <v>5884</v>
      </c>
      <c r="B457" s="2" t="s">
        <v>2291</v>
      </c>
      <c r="C457" s="2" t="s">
        <v>2292</v>
      </c>
      <c r="D457" s="2">
        <v>2017</v>
      </c>
      <c r="E457" s="2" t="s">
        <v>2293</v>
      </c>
      <c r="F457" s="2" t="s">
        <v>2294</v>
      </c>
      <c r="G457" s="2" t="s">
        <v>2295</v>
      </c>
      <c r="H457" s="2" t="s">
        <v>2105</v>
      </c>
      <c r="I457" s="2" t="str" cm="1">
        <f t="array" ref="I457">H457 &amp; _xlfn.REGEXEXTRACT(G457,"^[^_]+_\d{4}") &amp; ".pdf"</f>
        <v>https://www.ocf.berkeley.edu/~pkmendez/envsci/projects/2017final/PakI_2017.pdf</v>
      </c>
      <c r="J457" s="1" t="str">
        <f t="shared" si="7"/>
        <v>https://www.ocf.berkeley.edu/~pkmendez/envsci/projects/2017final/PakI_2017.pdf</v>
      </c>
      <c r="K457" s="2" t="str" cm="1">
        <f t="array" ref="K457:O457">_xlfn.TAKE(TRIM(_xlfn.TEXTSPLIT(F457,{",",";"})),,5)</f>
        <v>benthic macroinvertebrates</v>
      </c>
      <c r="L457" s="2" t="str">
        <v>carbonate chemistry</v>
      </c>
      <c r="M457" s="2" t="str">
        <v>calcification</v>
      </c>
      <c r="N457" s="2" t="str">
        <v>CO2</v>
      </c>
      <c r="O457" s="2" t="str">
        <v>species composition</v>
      </c>
      <c r="P457" s="2" t="s">
        <v>9</v>
      </c>
      <c r="Q457" s="2" t="s">
        <v>10</v>
      </c>
    </row>
    <row r="458" spans="1:17" x14ac:dyDescent="0.35">
      <c r="A458" s="2" t="s">
        <v>5884</v>
      </c>
      <c r="B458" s="2" t="s">
        <v>2296</v>
      </c>
      <c r="C458" s="2" t="s">
        <v>2297</v>
      </c>
      <c r="D458" s="2">
        <v>2017</v>
      </c>
      <c r="E458" s="2" t="s">
        <v>2298</v>
      </c>
      <c r="F458" s="2" t="s">
        <v>2299</v>
      </c>
      <c r="G458" s="2" t="s">
        <v>2300</v>
      </c>
      <c r="H458" s="2" t="s">
        <v>2105</v>
      </c>
      <c r="I458" s="2" t="str" cm="1">
        <f t="array" ref="I458">H458 &amp; _xlfn.REGEXEXTRACT(G458,"^[^_]+_\d{4}") &amp; ".pdf"</f>
        <v>https://www.ocf.berkeley.edu/~pkmendez/envsci/projects/2017final/PytowskiD_2017.pdf</v>
      </c>
      <c r="J458" s="1" t="str">
        <f t="shared" si="7"/>
        <v>https://www.ocf.berkeley.edu/~pkmendez/envsci/projects/2017final/PytowskiD_2017.pdf</v>
      </c>
      <c r="K458" s="2" t="str" cm="1">
        <f t="array" ref="K458:O458">_xlfn.TAKE(TRIM(_xlfn.TEXTSPLIT(F458,{",",";"})),,5)</f>
        <v>Distributed Generation</v>
      </c>
      <c r="L458" s="2" t="str">
        <v>Duck Curve</v>
      </c>
      <c r="M458" s="2" t="str">
        <v>Consumer Behavior</v>
      </c>
      <c r="N458" s="2" t="str">
        <v>Solar</v>
      </c>
      <c r="O458" s="2" t="str">
        <v>Renewable Energy</v>
      </c>
      <c r="P458" s="2" t="s">
        <v>9</v>
      </c>
      <c r="Q458" s="2" t="s">
        <v>10</v>
      </c>
    </row>
    <row r="459" spans="1:17" x14ac:dyDescent="0.35">
      <c r="A459" s="2" t="s">
        <v>5884</v>
      </c>
      <c r="B459" s="2" t="s">
        <v>2301</v>
      </c>
      <c r="C459" s="2" t="s">
        <v>2302</v>
      </c>
      <c r="D459" s="2">
        <v>2017</v>
      </c>
      <c r="E459" s="2" t="s">
        <v>2303</v>
      </c>
      <c r="F459" s="2" t="s">
        <v>2304</v>
      </c>
      <c r="G459" s="2" t="s">
        <v>2305</v>
      </c>
      <c r="H459" s="2" t="s">
        <v>2105</v>
      </c>
      <c r="I459" s="2" t="str" cm="1">
        <f t="array" ref="I459">H459 &amp; _xlfn.REGEXEXTRACT(G459,"^[^_]+_\d{4}") &amp; ".pdf"</f>
        <v>https://www.ocf.berkeley.edu/~pkmendez/envsci/projects/2017final/SaberiS_2017.pdf</v>
      </c>
      <c r="J459" s="1" t="str">
        <f t="shared" si="7"/>
        <v>https://www.ocf.berkeley.edu/~pkmendez/envsci/projects/2017final/SaberiS_2017.pdf</v>
      </c>
      <c r="K459" s="2" t="str" cm="1">
        <f t="array" ref="K459:O459">_xlfn.TAKE(TRIM(_xlfn.TEXTSPLIT(F459,{",",";"})),,5)</f>
        <v>Remote sensing</v>
      </c>
      <c r="L459" s="2" t="str">
        <v>GLEON</v>
      </c>
      <c r="M459" s="2" t="str">
        <v>MODIS</v>
      </c>
      <c r="N459" s="2" t="str">
        <v>global lakes</v>
      </c>
      <c r="O459" s="2" t="str">
        <v>algal blooms</v>
      </c>
      <c r="P459" s="2" t="s">
        <v>9</v>
      </c>
      <c r="Q459" s="2" t="s">
        <v>10</v>
      </c>
    </row>
    <row r="460" spans="1:17" x14ac:dyDescent="0.35">
      <c r="A460" s="2" t="s">
        <v>5884</v>
      </c>
      <c r="B460" s="2" t="s">
        <v>2306</v>
      </c>
      <c r="C460" s="2" t="s">
        <v>2307</v>
      </c>
      <c r="D460" s="2">
        <v>2017</v>
      </c>
      <c r="E460" s="2" t="s">
        <v>2308</v>
      </c>
      <c r="F460" s="2" t="s">
        <v>2309</v>
      </c>
      <c r="G460" s="2" t="s">
        <v>2310</v>
      </c>
      <c r="H460" s="2" t="s">
        <v>2105</v>
      </c>
      <c r="I460" s="2" t="str" cm="1">
        <f t="array" ref="I460">H460 &amp; _xlfn.REGEXEXTRACT(G460,"^[^_]+_\d{4}") &amp; ".pdf"</f>
        <v>https://www.ocf.berkeley.edu/~pkmendez/envsci/projects/2017final/SeritanI_2017.pdf</v>
      </c>
      <c r="J460" s="1" t="str">
        <f t="shared" si="7"/>
        <v>https://www.ocf.berkeley.edu/~pkmendez/envsci/projects/2017final/SeritanI_2017.pdf</v>
      </c>
      <c r="K460" s="2" t="str" cm="1">
        <f t="array" ref="K460:O460">_xlfn.TAKE(TRIM(_xlfn.TEXTSPLIT(F460,{",",";"})),,5)</f>
        <v>environmentalism</v>
      </c>
      <c r="L460" s="2" t="str">
        <v>grass-roots activism</v>
      </c>
      <c r="M460" s="2" t="str">
        <v>gender role socialization</v>
      </c>
      <c r="N460" s="2" t="str">
        <v>ecofeminism</v>
      </c>
      <c r="O460" s="2" t="str">
        <v>environmental justice</v>
      </c>
      <c r="P460" s="2" t="s">
        <v>9</v>
      </c>
      <c r="Q460" s="2" t="s">
        <v>10</v>
      </c>
    </row>
    <row r="461" spans="1:17" x14ac:dyDescent="0.35">
      <c r="A461" s="2" t="s">
        <v>5884</v>
      </c>
      <c r="B461" s="2" t="s">
        <v>2311</v>
      </c>
      <c r="C461" s="2" t="s">
        <v>2312</v>
      </c>
      <c r="D461" s="2">
        <v>2017</v>
      </c>
      <c r="E461" s="2" t="s">
        <v>2313</v>
      </c>
      <c r="F461" s="2" t="s">
        <v>2314</v>
      </c>
      <c r="G461" s="2" t="s">
        <v>2315</v>
      </c>
      <c r="H461" s="2" t="s">
        <v>2105</v>
      </c>
      <c r="I461" s="2" t="str" cm="1">
        <f t="array" ref="I461">H461 &amp; _xlfn.REGEXEXTRACT(G461,"^[^_]+_\d{4}") &amp; ".pdf"</f>
        <v>https://www.ocf.berkeley.edu/~pkmendez/envsci/projects/2017final/ShaefferC_2017.pdf</v>
      </c>
      <c r="J461" s="1" t="str">
        <f t="shared" si="7"/>
        <v>https://www.ocf.berkeley.edu/~pkmendez/envsci/projects/2017final/ShaefferC_2017.pdf</v>
      </c>
      <c r="K461" s="2" t="str" cm="1">
        <f t="array" ref="K461:O461">_xlfn.TAKE(TRIM(_xlfn.TEXTSPLIT(F461,{",",";"})),,5)</f>
        <v>Thermal biology</v>
      </c>
      <c r="L461" s="2" t="str">
        <v>Helisoma</v>
      </c>
      <c r="M461" s="2" t="str">
        <v>Physella</v>
      </c>
      <c r="N461" s="2" t="str">
        <v>freshwater gastropods</v>
      </c>
      <c r="O461" s="2" t="str">
        <v>pulmonate snails</v>
      </c>
      <c r="P461" s="2" t="s">
        <v>9</v>
      </c>
      <c r="Q461" s="2" t="s">
        <v>10</v>
      </c>
    </row>
    <row r="462" spans="1:17" x14ac:dyDescent="0.35">
      <c r="A462" s="2" t="s">
        <v>5884</v>
      </c>
      <c r="B462" s="2" t="s">
        <v>2316</v>
      </c>
      <c r="C462" s="2" t="s">
        <v>2317</v>
      </c>
      <c r="D462" s="2">
        <v>2017</v>
      </c>
      <c r="E462" s="2" t="s">
        <v>2318</v>
      </c>
      <c r="F462" s="2" t="s">
        <v>2319</v>
      </c>
      <c r="G462" s="2" t="s">
        <v>2320</v>
      </c>
      <c r="H462" s="2" t="s">
        <v>2105</v>
      </c>
      <c r="I462" s="2" t="str" cm="1">
        <f t="array" ref="I462">H462 &amp; _xlfn.REGEXEXTRACT(G462,"^[^_]+_\d{4}") &amp; ".pdf"</f>
        <v>https://www.ocf.berkeley.edu/~pkmendez/envsci/projects/2017final/ShimM_2017.pdf</v>
      </c>
      <c r="J462" s="1" t="str">
        <f t="shared" si="7"/>
        <v>https://www.ocf.berkeley.edu/~pkmendez/envsci/projects/2017final/ShimM_2017.pdf</v>
      </c>
      <c r="K462" s="2" t="str" cm="1">
        <f t="array" ref="K462:O462">_xlfn.TAKE(TRIM(_xlfn.TEXTSPLIT(F462,{",",";"})),,5)</f>
        <v>albedo</v>
      </c>
      <c r="L462" s="2" t="str">
        <v>ambient temperature</v>
      </c>
      <c r="M462" s="2" t="str">
        <v>regression analysis</v>
      </c>
      <c r="N462" s="2" t="str">
        <v>building design</v>
      </c>
      <c r="O462" s="2" t="str">
        <v>city and regional planning</v>
      </c>
      <c r="P462" s="2" t="s">
        <v>9</v>
      </c>
      <c r="Q462" s="2" t="s">
        <v>10</v>
      </c>
    </row>
    <row r="463" spans="1:17" x14ac:dyDescent="0.35">
      <c r="A463" s="2" t="s">
        <v>5884</v>
      </c>
      <c r="B463" s="2" t="s">
        <v>2321</v>
      </c>
      <c r="C463" s="2" t="s">
        <v>2322</v>
      </c>
      <c r="D463" s="2">
        <v>2017</v>
      </c>
      <c r="E463" s="2" t="s">
        <v>2323</v>
      </c>
      <c r="F463" s="2" t="s">
        <v>2324</v>
      </c>
      <c r="G463" s="2" t="s">
        <v>2325</v>
      </c>
      <c r="H463" s="2" t="s">
        <v>2105</v>
      </c>
      <c r="I463" s="2" t="str" cm="1">
        <f t="array" ref="I463">H463 &amp; _xlfn.REGEXEXTRACT(G463,"^[^_]+_\d{4}") &amp; ".pdf"</f>
        <v>https://www.ocf.berkeley.edu/~pkmendez/envsci/projects/2017final/SpadoneV_2017.pdf</v>
      </c>
      <c r="J463" s="1" t="str">
        <f t="shared" si="7"/>
        <v>https://www.ocf.berkeley.edu/~pkmendez/envsci/projects/2017final/SpadoneV_2017.pdf</v>
      </c>
      <c r="K463" s="2" t="str" cm="1">
        <f t="array" ref="K463:O463">_xlfn.TAKE(TRIM(_xlfn.TEXTSPLIT(F463,{",",";"})),,5)</f>
        <v>behavioral interactions</v>
      </c>
      <c r="L463" s="2" t="str">
        <v>Neochetina bruchi</v>
      </c>
      <c r="M463" s="2" t="str">
        <v>Megamelus scutellaris</v>
      </c>
      <c r="N463" s="2" t="str">
        <v>competition</v>
      </c>
      <c r="O463" s="2" t="str">
        <v>California San-Joaquin River Delta</v>
      </c>
      <c r="P463" s="2" t="s">
        <v>9</v>
      </c>
      <c r="Q463" s="2" t="s">
        <v>10</v>
      </c>
    </row>
    <row r="464" spans="1:17" x14ac:dyDescent="0.35">
      <c r="A464" s="2" t="s">
        <v>5884</v>
      </c>
      <c r="B464" s="2" t="s">
        <v>2326</v>
      </c>
      <c r="C464" s="2" t="s">
        <v>2327</v>
      </c>
      <c r="D464" s="2">
        <v>2017</v>
      </c>
      <c r="E464" s="2" t="s">
        <v>2328</v>
      </c>
      <c r="F464" s="2" t="s">
        <v>2329</v>
      </c>
      <c r="G464" s="2" t="s">
        <v>2330</v>
      </c>
      <c r="H464" s="2" t="s">
        <v>2105</v>
      </c>
      <c r="I464" s="2" t="str" cm="1">
        <f t="array" ref="I464">H464 &amp; _xlfn.REGEXEXTRACT(G464,"^[^_]+_\d{4}") &amp; ".pdf"</f>
        <v>https://www.ocf.berkeley.edu/~pkmendez/envsci/projects/2017final/ThoenenM_2017.pdf</v>
      </c>
      <c r="J464" s="1" t="str">
        <f t="shared" si="7"/>
        <v>https://www.ocf.berkeley.edu/~pkmendez/envsci/projects/2017final/ThoenenM_2017.pdf</v>
      </c>
      <c r="K464" s="2" t="str" cm="1">
        <f t="array" ref="K464:O464">_xlfn.TAKE(TRIM(_xlfn.TEXTSPLIT(F464,{",",";"})),,5)</f>
        <v>Invasion ecology</v>
      </c>
      <c r="L464" s="2" t="str">
        <v>Argentine ants</v>
      </c>
      <c r="M464" s="2" t="str">
        <v>trail pheromones</v>
      </c>
      <c r="N464" s="2" t="str">
        <v>defensive compounds</v>
      </c>
      <c r="O464" s="2" t="str">
        <v>foraging suppression</v>
      </c>
      <c r="P464" s="2" t="s">
        <v>9</v>
      </c>
      <c r="Q464" s="2" t="s">
        <v>10</v>
      </c>
    </row>
    <row r="465" spans="1:17" x14ac:dyDescent="0.35">
      <c r="A465" s="2" t="s">
        <v>5884</v>
      </c>
      <c r="B465" s="2" t="s">
        <v>2331</v>
      </c>
      <c r="C465" s="2" t="s">
        <v>2332</v>
      </c>
      <c r="D465" s="2">
        <v>2017</v>
      </c>
      <c r="E465" s="2" t="s">
        <v>2333</v>
      </c>
      <c r="F465" s="2" t="s">
        <v>2334</v>
      </c>
      <c r="G465" s="2" t="s">
        <v>2335</v>
      </c>
      <c r="H465" s="2" t="s">
        <v>2105</v>
      </c>
      <c r="I465" s="2" t="str" cm="1">
        <f t="array" ref="I465">H465 &amp; _xlfn.REGEXEXTRACT(G465,"^[^_]+_\d{4}") &amp; ".pdf"</f>
        <v>https://www.ocf.berkeley.edu/~pkmendez/envsci/projects/2017final/TonC_2017.pdf</v>
      </c>
      <c r="J465" s="1" t="str">
        <f t="shared" si="7"/>
        <v>https://www.ocf.berkeley.edu/~pkmendez/envsci/projects/2017final/TonC_2017.pdf</v>
      </c>
      <c r="K465" s="2" t="str" cm="1">
        <f t="array" ref="K465:O465">_xlfn.TAKE(TRIM(_xlfn.TEXTSPLIT(F465,{",",";"})),,5)</f>
        <v>Disinfection byproduct</v>
      </c>
      <c r="L465" s="2" t="str">
        <v>Stage 2 Disinfectant and Disinfectant Byproduct Rule</v>
      </c>
      <c r="M465" s="2" t="str">
        <v>trend analysis</v>
      </c>
      <c r="N465" s="2" t="str">
        <v>chlorine</v>
      </c>
      <c r="O465" s="2" t="str">
        <v>maximum contaminant level</v>
      </c>
      <c r="P465" s="2" t="s">
        <v>9</v>
      </c>
      <c r="Q465" s="2" t="s">
        <v>10</v>
      </c>
    </row>
    <row r="466" spans="1:17" x14ac:dyDescent="0.35">
      <c r="A466" s="2" t="s">
        <v>5884</v>
      </c>
      <c r="B466" s="2" t="s">
        <v>2336</v>
      </c>
      <c r="C466" s="2" t="s">
        <v>2337</v>
      </c>
      <c r="D466" s="2">
        <v>2017</v>
      </c>
      <c r="E466" s="2" t="s">
        <v>2338</v>
      </c>
      <c r="F466" s="2" t="s">
        <v>2339</v>
      </c>
      <c r="G466" s="2" t="s">
        <v>2340</v>
      </c>
      <c r="H466" s="2" t="s">
        <v>2105</v>
      </c>
      <c r="I466" s="2" t="str" cm="1">
        <f t="array" ref="I466">H466 &amp; _xlfn.REGEXEXTRACT(G466,"^[^_]+_\d{4}") &amp; ".pdf"</f>
        <v>https://www.ocf.berkeley.edu/~pkmendez/envsci/projects/2017final/WangY_2017.pdf</v>
      </c>
      <c r="J466" s="1" t="str">
        <f t="shared" si="7"/>
        <v>https://www.ocf.berkeley.edu/~pkmendez/envsci/projects/2017final/WangY_2017.pdf</v>
      </c>
      <c r="K466" s="2" t="str" cm="1">
        <f t="array" ref="K466:N466">_xlfn.TAKE(TRIM(_xlfn.TEXTSPLIT(F466,{",",";"})),,5)</f>
        <v>chemical oxygen demand (COD)</v>
      </c>
      <c r="L466" s="2" t="str">
        <v>electricity consumption</v>
      </c>
      <c r="M466" s="2" t="str">
        <v>seasonality</v>
      </c>
      <c r="N466" s="2" t="str">
        <v>ammonia nitrogen</v>
      </c>
      <c r="P466" s="2" t="s">
        <v>9</v>
      </c>
      <c r="Q466" s="2" t="s">
        <v>10</v>
      </c>
    </row>
    <row r="467" spans="1:17" x14ac:dyDescent="0.35">
      <c r="A467" s="2" t="s">
        <v>5884</v>
      </c>
      <c r="B467" s="2" t="s">
        <v>2341</v>
      </c>
      <c r="C467" s="2" t="s">
        <v>2342</v>
      </c>
      <c r="D467" s="2">
        <v>2017</v>
      </c>
      <c r="E467" s="2" t="s">
        <v>2343</v>
      </c>
      <c r="F467" s="2" t="s">
        <v>2344</v>
      </c>
      <c r="G467" s="2" t="s">
        <v>2345</v>
      </c>
      <c r="H467" s="2" t="s">
        <v>2105</v>
      </c>
      <c r="I467" s="2" t="str" cm="1">
        <f t="array" ref="I467">H467 &amp; _xlfn.REGEXEXTRACT(G467,"^[^_]+_\d{4}") &amp; ".pdf"</f>
        <v>https://www.ocf.berkeley.edu/~pkmendez/envsci/projects/2017final/YamamotoK_2017.pdf</v>
      </c>
      <c r="J467" s="1" t="str">
        <f t="shared" si="7"/>
        <v>https://www.ocf.berkeley.edu/~pkmendez/envsci/projects/2017final/YamamotoK_2017.pdf</v>
      </c>
      <c r="K467" s="2" t="str" cm="1">
        <f t="array" ref="K467:O467">_xlfn.TAKE(TRIM(_xlfn.TEXTSPLIT(F467,{",",";"})),,5)</f>
        <v>microbial decomposition</v>
      </c>
      <c r="L467" s="2" t="str">
        <v>spatial heterogeneity</v>
      </c>
      <c r="M467" s="2" t="str">
        <v>carbon dioxide</v>
      </c>
      <c r="N467" s="2" t="str">
        <v>methane</v>
      </c>
      <c r="O467" s="2" t="str">
        <v>nitrous oxide</v>
      </c>
      <c r="P467" s="2" t="s">
        <v>9</v>
      </c>
      <c r="Q467" s="2" t="s">
        <v>10</v>
      </c>
    </row>
    <row r="468" spans="1:17" x14ac:dyDescent="0.35">
      <c r="A468" s="2" t="s">
        <v>5884</v>
      </c>
      <c r="B468" s="2" t="s">
        <v>2346</v>
      </c>
      <c r="C468" s="2" t="s">
        <v>2347</v>
      </c>
      <c r="D468" s="2">
        <v>2017</v>
      </c>
      <c r="E468" s="2" t="s">
        <v>2348</v>
      </c>
      <c r="F468" s="2" t="s">
        <v>2349</v>
      </c>
      <c r="G468" s="2" t="s">
        <v>2350</v>
      </c>
      <c r="H468" s="2" t="s">
        <v>2105</v>
      </c>
      <c r="I468" s="2" t="str" cm="1">
        <f t="array" ref="I468">H468 &amp; _xlfn.REGEXEXTRACT(G468,"^[^_]+_\d{4}") &amp; ".pdf"</f>
        <v>https://www.ocf.berkeley.edu/~pkmendez/envsci/projects/2017final/YipA_2017.pdf</v>
      </c>
      <c r="J468" s="1" t="str">
        <f t="shared" si="7"/>
        <v>https://www.ocf.berkeley.edu/~pkmendez/envsci/projects/2017final/YipA_2017.pdf</v>
      </c>
      <c r="K468" s="2" t="str" cm="1">
        <f t="array" ref="K468:O468">_xlfn.TAKE(TRIM(_xlfn.TEXTSPLIT(F468,{",",";"})),,5)</f>
        <v>recycling</v>
      </c>
      <c r="L468" s="2" t="str">
        <v>composting</v>
      </c>
      <c r="M468" s="2" t="str">
        <v>diversion rate</v>
      </c>
      <c r="N468" s="2" t="str">
        <v>zero waste by 2020</v>
      </c>
      <c r="O468" s="2" t="str">
        <v>waste reduction</v>
      </c>
      <c r="P468" s="2" t="s">
        <v>9</v>
      </c>
      <c r="Q468" s="2" t="s">
        <v>10</v>
      </c>
    </row>
    <row r="469" spans="1:17" x14ac:dyDescent="0.35">
      <c r="A469" s="2" t="s">
        <v>5884</v>
      </c>
      <c r="B469" s="2" t="s">
        <v>2351</v>
      </c>
      <c r="C469" s="2" t="s">
        <v>2352</v>
      </c>
      <c r="D469" s="2">
        <v>2017</v>
      </c>
      <c r="G469" s="2" t="s">
        <v>2353</v>
      </c>
      <c r="H469" s="2" t="s">
        <v>2105</v>
      </c>
      <c r="I469" s="2" t="str" cm="1">
        <f t="array" ref="I469">H469 &amp; _xlfn.REGEXEXTRACT(G469,"^[^_]+_\d{4}") &amp; ".pdf"</f>
        <v>https://www.ocf.berkeley.edu/~pkmendez/envsci/projects/2017final/ZayasA_2017.pdf</v>
      </c>
      <c r="J469" s="1" t="str">
        <f t="shared" si="7"/>
        <v>https://www.ocf.berkeley.edu/~pkmendez/envsci/projects/2017final/ZayasA_2017.pdf</v>
      </c>
      <c r="K469" s="2" t="e" cm="1">
        <f t="array" ref="K469">_xlfn.TAKE(TRIM(_xlfn.TEXTSPLIT(F469,{",",";"})),,5)</f>
        <v>#VALUE!</v>
      </c>
      <c r="P469" s="2" t="s">
        <v>9</v>
      </c>
      <c r="Q469" s="2" t="s">
        <v>10</v>
      </c>
    </row>
    <row r="470" spans="1:17" x14ac:dyDescent="0.35">
      <c r="A470" s="2" t="s">
        <v>5884</v>
      </c>
      <c r="B470" s="2" t="s">
        <v>2354</v>
      </c>
      <c r="C470" s="2" t="s">
        <v>2355</v>
      </c>
      <c r="D470" s="2">
        <v>2017</v>
      </c>
      <c r="E470" s="2" t="s">
        <v>2356</v>
      </c>
      <c r="F470" s="2" t="s">
        <v>2357</v>
      </c>
      <c r="G470" s="2" t="s">
        <v>2358</v>
      </c>
      <c r="H470" s="2" t="s">
        <v>2105</v>
      </c>
      <c r="I470" s="2" t="str" cm="1">
        <f t="array" ref="I470">H470 &amp; _xlfn.REGEXEXTRACT(G470,"^[^_]+_\d{4}") &amp; ".pdf"</f>
        <v>https://www.ocf.berkeley.edu/~pkmendez/envsci/projects/2017final/ZhangN_2017.pdf</v>
      </c>
      <c r="J470" s="1" t="str">
        <f t="shared" si="7"/>
        <v>https://www.ocf.berkeley.edu/~pkmendez/envsci/projects/2017final/ZhangN_2017.pdf</v>
      </c>
      <c r="K470" s="2" t="str" cm="1">
        <f t="array" ref="K470:O470">_xlfn.TAKE(TRIM(_xlfn.TEXTSPLIT(F470,{",",";"})),,5)</f>
        <v>Iron-sulfur coupled cycling</v>
      </c>
      <c r="L470" s="2" t="str">
        <v>dissolved organic carbon</v>
      </c>
      <c r="M470" s="2" t="str">
        <v>soil organic matter</v>
      </c>
      <c r="N470" s="2" t="str">
        <v>subalpine watersheds</v>
      </c>
      <c r="O470" s="2" t="str">
        <v>wetland biogeochemistry</v>
      </c>
      <c r="P470" s="2" t="s">
        <v>9</v>
      </c>
      <c r="Q470" s="2" t="s">
        <v>10</v>
      </c>
    </row>
    <row r="471" spans="1:17" x14ac:dyDescent="0.35">
      <c r="A471" s="2" t="s">
        <v>5884</v>
      </c>
      <c r="B471" s="2" t="s">
        <v>2359</v>
      </c>
      <c r="C471" s="2" t="s">
        <v>2360</v>
      </c>
      <c r="D471" s="2">
        <v>2016</v>
      </c>
      <c r="E471" s="2" t="s">
        <v>2361</v>
      </c>
      <c r="F471" s="2" t="s">
        <v>2362</v>
      </c>
      <c r="G471" s="2" t="s">
        <v>2363</v>
      </c>
      <c r="H471" s="2" t="s">
        <v>2364</v>
      </c>
      <c r="I471" s="2" t="str" cm="1">
        <f t="array" ref="I471">H471 &amp; _xlfn.REGEXEXTRACT(G471,"^[^_]+_\d{4}") &amp; ".pdf"</f>
        <v>https://www.ocf.berkeley.edu/~pkmendez/envsci/projects/2016final/AgnewL_2016.pdf</v>
      </c>
      <c r="J471" s="1" t="str">
        <f t="shared" si="7"/>
        <v>https://www.ocf.berkeley.edu/~pkmendez/envsci/projects/2016final/AgnewL_2016.pdf</v>
      </c>
      <c r="K471" s="2" t="str" cm="1">
        <f t="array" ref="K471:O471">_xlfn.TAKE(TRIM(_xlfn.TEXTSPLIT(F471,{",",";"})),,5)</f>
        <v>phylogenetic signal</v>
      </c>
      <c r="L471" s="2" t="str">
        <v>phenotypic plasticity</v>
      </c>
      <c r="M471" s="2" t="str">
        <v>leaf division</v>
      </c>
      <c r="N471" s="2" t="str">
        <v>Polypodiales</v>
      </c>
      <c r="O471" s="2" t="str">
        <v>pteridophytes</v>
      </c>
      <c r="P471" s="2" t="s">
        <v>9</v>
      </c>
      <c r="Q471" s="2" t="s">
        <v>10</v>
      </c>
    </row>
    <row r="472" spans="1:17" x14ac:dyDescent="0.35">
      <c r="A472" s="2" t="s">
        <v>5884</v>
      </c>
      <c r="B472" s="2" t="s">
        <v>2365</v>
      </c>
      <c r="C472" s="2" t="s">
        <v>2366</v>
      </c>
      <c r="D472" s="2">
        <v>2016</v>
      </c>
      <c r="E472" s="2" t="s">
        <v>2367</v>
      </c>
      <c r="F472" s="2" t="s">
        <v>2368</v>
      </c>
      <c r="G472" s="2" t="s">
        <v>2369</v>
      </c>
      <c r="H472" s="2" t="s">
        <v>2364</v>
      </c>
      <c r="I472" s="2" t="str" cm="1">
        <f t="array" ref="I472">H472 &amp; _xlfn.REGEXEXTRACT(G472,"^[^_]+_\d{4}") &amp; ".pdf"</f>
        <v>https://www.ocf.berkeley.edu/~pkmendez/envsci/projects/2016final/AtkinsonS_2016.pdf</v>
      </c>
      <c r="J472" s="1" t="str">
        <f t="shared" si="7"/>
        <v>https://www.ocf.berkeley.edu/~pkmendez/envsci/projects/2016final/AtkinsonS_2016.pdf</v>
      </c>
      <c r="K472" s="2" t="str" cm="1">
        <f t="array" ref="K472:O472">_xlfn.TAKE(TRIM(_xlfn.TEXTSPLIT(F472,{",",";"})),,5)</f>
        <v>Food insecurity</v>
      </c>
      <c r="L472" s="2" t="str">
        <v>food justice</v>
      </c>
      <c r="M472" s="2" t="str">
        <v>food access</v>
      </c>
      <c r="N472" s="2" t="str">
        <v>social justice</v>
      </c>
      <c r="O472" s="2" t="str">
        <v>racial justice</v>
      </c>
      <c r="P472" s="2" t="s">
        <v>9</v>
      </c>
      <c r="Q472" s="2" t="s">
        <v>10</v>
      </c>
    </row>
    <row r="473" spans="1:17" x14ac:dyDescent="0.35">
      <c r="A473" s="2" t="s">
        <v>5884</v>
      </c>
      <c r="B473" s="2" t="s">
        <v>2370</v>
      </c>
      <c r="C473" s="2" t="s">
        <v>2371</v>
      </c>
      <c r="D473" s="2">
        <v>2016</v>
      </c>
      <c r="E473" s="2" t="s">
        <v>2372</v>
      </c>
      <c r="F473" s="2" t="s">
        <v>2373</v>
      </c>
      <c r="G473" s="2" t="s">
        <v>2374</v>
      </c>
      <c r="H473" s="2" t="s">
        <v>2364</v>
      </c>
      <c r="I473" s="2" t="str" cm="1">
        <f t="array" ref="I473">H473 &amp; _xlfn.REGEXEXTRACT(G473,"^[^_]+_\d{4}") &amp; ".pdf"</f>
        <v>https://www.ocf.berkeley.edu/~pkmendez/envsci/projects/2016final/AuM_2016.pdf</v>
      </c>
      <c r="J473" s="1" t="str">
        <f t="shared" si="7"/>
        <v>https://www.ocf.berkeley.edu/~pkmendez/envsci/projects/2016final/AuM_2016.pdf</v>
      </c>
      <c r="K473" s="2" t="str" cm="1">
        <f t="array" ref="K473:O473">_xlfn.TAKE(TRIM(_xlfn.TEXTSPLIT(F473,{",",";"})),,5)</f>
        <v>Remote Sensing</v>
      </c>
      <c r="L473" s="2" t="str">
        <v>Object Based Image Analysis</v>
      </c>
      <c r="M473" s="2" t="str">
        <v>San Francisco Bay</v>
      </c>
      <c r="N473" s="2" t="str">
        <v>Wetland Restoration</v>
      </c>
      <c r="O473" s="2" t="str">
        <v>Adaptive Management</v>
      </c>
      <c r="P473" s="2" t="s">
        <v>9</v>
      </c>
      <c r="Q473" s="2" t="s">
        <v>10</v>
      </c>
    </row>
    <row r="474" spans="1:17" x14ac:dyDescent="0.35">
      <c r="A474" s="2" t="s">
        <v>5884</v>
      </c>
      <c r="B474" s="2" t="s">
        <v>2375</v>
      </c>
      <c r="C474" s="2" t="s">
        <v>2376</v>
      </c>
      <c r="D474" s="2">
        <v>2016</v>
      </c>
      <c r="E474" s="2" t="s">
        <v>2377</v>
      </c>
      <c r="F474" s="2" t="s">
        <v>2378</v>
      </c>
      <c r="G474" s="2" t="s">
        <v>2379</v>
      </c>
      <c r="H474" s="2" t="s">
        <v>2364</v>
      </c>
      <c r="I474" s="2" t="str" cm="1">
        <f t="array" ref="I474">H474 &amp; _xlfn.REGEXEXTRACT(G474,"^[^_]+_\d{4}") &amp; ".pdf"</f>
        <v>https://www.ocf.berkeley.edu/~pkmendez/envsci/projects/2016final/AveryR_2016.pdf</v>
      </c>
      <c r="J474" s="1" t="str">
        <f t="shared" si="7"/>
        <v>https://www.ocf.berkeley.edu/~pkmendez/envsci/projects/2016final/AveryR_2016.pdf</v>
      </c>
      <c r="K474" s="2" t="str" cm="1">
        <f t="array" ref="K474:O474">_xlfn.TAKE(TRIM(_xlfn.TEXTSPLIT(F474,{",",";"})),,5)</f>
        <v>elevation</v>
      </c>
      <c r="L474" s="2" t="str">
        <v>flow accumulation</v>
      </c>
      <c r="M474" s="2" t="str">
        <v>figure of merit</v>
      </c>
      <c r="N474" s="2" t="str">
        <v>ASTER</v>
      </c>
      <c r="O474" s="2" t="str">
        <v>spatial analysis</v>
      </c>
      <c r="P474" s="2" t="s">
        <v>9</v>
      </c>
      <c r="Q474" s="2" t="s">
        <v>10</v>
      </c>
    </row>
    <row r="475" spans="1:17" x14ac:dyDescent="0.35">
      <c r="A475" s="2" t="s">
        <v>5884</v>
      </c>
      <c r="B475" s="2" t="s">
        <v>2380</v>
      </c>
      <c r="C475" s="2" t="s">
        <v>2381</v>
      </c>
      <c r="D475" s="2">
        <v>2016</v>
      </c>
      <c r="E475" s="2" t="s">
        <v>2382</v>
      </c>
      <c r="F475" s="2" t="s">
        <v>2383</v>
      </c>
      <c r="G475" s="2" t="s">
        <v>2384</v>
      </c>
      <c r="H475" s="2" t="s">
        <v>2364</v>
      </c>
      <c r="I475" s="2" t="str" cm="1">
        <f t="array" ref="I475">H475 &amp; _xlfn.REGEXEXTRACT(G475,"^[^_]+_\d{4}") &amp; ".pdf"</f>
        <v>https://www.ocf.berkeley.edu/~pkmendez/envsci/projects/2016final/BertoletB_2016.pdf</v>
      </c>
      <c r="J475" s="1" t="str">
        <f t="shared" si="7"/>
        <v>https://www.ocf.berkeley.edu/~pkmendez/envsci/projects/2016final/BertoletB_2016.pdf</v>
      </c>
      <c r="K475" s="2" t="str" cm="1">
        <f t="array" ref="K475:O475">_xlfn.TAKE(TRIM(_xlfn.TEXTSPLIT(F475,{",",";"})),,5)</f>
        <v>climate change</v>
      </c>
      <c r="L475" s="2" t="str">
        <v>carbon cycling</v>
      </c>
      <c r="M475" s="2" t="str">
        <v>freshwater biogeochemistry</v>
      </c>
      <c r="N475" s="2" t="str">
        <v>ecosystem change</v>
      </c>
      <c r="O475" s="2" t="str">
        <v>lake browning</v>
      </c>
      <c r="P475" s="2" t="s">
        <v>9</v>
      </c>
      <c r="Q475" s="2" t="s">
        <v>10</v>
      </c>
    </row>
    <row r="476" spans="1:17" x14ac:dyDescent="0.35">
      <c r="A476" s="2" t="s">
        <v>5884</v>
      </c>
      <c r="B476" s="2" t="s">
        <v>2385</v>
      </c>
      <c r="C476" s="2" t="s">
        <v>2386</v>
      </c>
      <c r="D476" s="2">
        <v>2016</v>
      </c>
      <c r="E476" s="2" t="s">
        <v>2387</v>
      </c>
      <c r="F476" s="2" t="s">
        <v>2388</v>
      </c>
      <c r="G476" s="2" t="s">
        <v>2389</v>
      </c>
      <c r="H476" s="2" t="s">
        <v>2364</v>
      </c>
      <c r="I476" s="2" t="str" cm="1">
        <f t="array" ref="I476">H476 &amp; _xlfn.REGEXEXTRACT(G476,"^[^_]+_\d{4}") &amp; ".pdf"</f>
        <v>https://www.ocf.berkeley.edu/~pkmendez/envsci/projects/2016final/BuntaraH_2016.pdf</v>
      </c>
      <c r="J476" s="1" t="str">
        <f t="shared" si="7"/>
        <v>https://www.ocf.berkeley.edu/~pkmendez/envsci/projects/2016final/BuntaraH_2016.pdf</v>
      </c>
      <c r="K476" s="2" t="str" cm="1">
        <f t="array" ref="K476:O476">_xlfn.TAKE(TRIM(_xlfn.TEXTSPLIT(F476,{",",";"})),,5)</f>
        <v>Urban environment</v>
      </c>
      <c r="L476" s="2" t="str">
        <v>urban planning</v>
      </c>
      <c r="M476" s="2" t="str">
        <v>water management</v>
      </c>
      <c r="N476" s="2" t="str">
        <v>flooding</v>
      </c>
      <c r="O476" s="2" t="str">
        <v>foreign aid policy</v>
      </c>
      <c r="P476" s="2" t="s">
        <v>9</v>
      </c>
      <c r="Q476" s="2" t="s">
        <v>10</v>
      </c>
    </row>
    <row r="477" spans="1:17" x14ac:dyDescent="0.35">
      <c r="A477" s="2" t="s">
        <v>5884</v>
      </c>
      <c r="B477" s="2" t="s">
        <v>2390</v>
      </c>
      <c r="C477" s="2" t="s">
        <v>2391</v>
      </c>
      <c r="D477" s="2">
        <v>2016</v>
      </c>
      <c r="E477" s="2" t="s">
        <v>2392</v>
      </c>
      <c r="F477" s="2" t="s">
        <v>2393</v>
      </c>
      <c r="G477" s="2" t="s">
        <v>2394</v>
      </c>
      <c r="H477" s="2" t="s">
        <v>2364</v>
      </c>
      <c r="I477" s="2" t="str" cm="1">
        <f t="array" ref="I477">H477 &amp; _xlfn.REGEXEXTRACT(G477,"^[^_]+_\d{4}") &amp; ".pdf"</f>
        <v>https://www.ocf.berkeley.edu/~pkmendez/envsci/projects/2016final/ChanW_2016.pdf</v>
      </c>
      <c r="J477" s="1" t="str">
        <f t="shared" si="7"/>
        <v>https://www.ocf.berkeley.edu/~pkmendez/envsci/projects/2016final/ChanW_2016.pdf</v>
      </c>
      <c r="K477" s="2" t="str" cm="1">
        <f t="array" ref="K477:O477">_xlfn.TAKE(TRIM(_xlfn.TEXTSPLIT(F477,{",",";"})),,5)</f>
        <v>Life Cycle Assessment</v>
      </c>
      <c r="L477" s="2" t="str">
        <v>GREET model</v>
      </c>
      <c r="M477" s="2" t="str">
        <v>Carbon Emissions</v>
      </c>
      <c r="N477" s="2" t="str">
        <v>Air Pollution</v>
      </c>
      <c r="O477" s="2" t="str">
        <v>Transportation</v>
      </c>
      <c r="P477" s="2" t="s">
        <v>9</v>
      </c>
      <c r="Q477" s="2" t="s">
        <v>10</v>
      </c>
    </row>
    <row r="478" spans="1:17" x14ac:dyDescent="0.35">
      <c r="A478" s="2" t="s">
        <v>5884</v>
      </c>
      <c r="B478" s="2" t="s">
        <v>2395</v>
      </c>
      <c r="C478" s="2" t="s">
        <v>2396</v>
      </c>
      <c r="D478" s="2">
        <v>2016</v>
      </c>
      <c r="E478" s="2" t="s">
        <v>2397</v>
      </c>
      <c r="F478" s="2" t="s">
        <v>2398</v>
      </c>
      <c r="G478" s="2" t="s">
        <v>2399</v>
      </c>
      <c r="H478" s="2" t="s">
        <v>2364</v>
      </c>
      <c r="I478" s="2" t="str" cm="1">
        <f t="array" ref="I478">H478 &amp; _xlfn.REGEXEXTRACT(G478,"^[^_]+_\d{4}") &amp; ".pdf"</f>
        <v>https://www.ocf.berkeley.edu/~pkmendez/envsci/projects/2016final/ChengJ_2016.pdf</v>
      </c>
      <c r="J478" s="1" t="str">
        <f t="shared" si="7"/>
        <v>https://www.ocf.berkeley.edu/~pkmendez/envsci/projects/2016final/ChengJ_2016.pdf</v>
      </c>
      <c r="K478" s="2" t="str" cm="1">
        <f t="array" ref="K478:O478">_xlfn.TAKE(TRIM(_xlfn.TEXTSPLIT(F478,{",",";"})),,5)</f>
        <v>Tesla Model III</v>
      </c>
      <c r="L478" s="2" t="str">
        <v>Travel Range</v>
      </c>
      <c r="M478" s="2" t="str">
        <v>Econometric Analysis</v>
      </c>
      <c r="N478" s="2" t="str">
        <v>Travel Range Anxiety</v>
      </c>
      <c r="O478" s="2" t="str">
        <v>Vehicle Adoption</v>
      </c>
      <c r="P478" s="2" t="s">
        <v>9</v>
      </c>
      <c r="Q478" s="2" t="s">
        <v>10</v>
      </c>
    </row>
    <row r="479" spans="1:17" x14ac:dyDescent="0.35">
      <c r="A479" s="2" t="s">
        <v>5884</v>
      </c>
      <c r="B479" s="2" t="s">
        <v>2400</v>
      </c>
      <c r="C479" s="2" t="s">
        <v>2401</v>
      </c>
      <c r="D479" s="2">
        <v>2016</v>
      </c>
      <c r="E479" s="2" t="s">
        <v>2402</v>
      </c>
      <c r="F479" s="2" t="s">
        <v>2403</v>
      </c>
      <c r="G479" s="2" t="s">
        <v>2404</v>
      </c>
      <c r="H479" s="2" t="s">
        <v>2364</v>
      </c>
      <c r="I479" s="2" t="str" cm="1">
        <f t="array" ref="I479">H479 &amp; _xlfn.REGEXEXTRACT(G479,"^[^_]+_\d{4}") &amp; ".pdf"</f>
        <v>https://www.ocf.berkeley.edu/~pkmendez/envsci/projects/2016final/ChenJ_2016.pdf</v>
      </c>
      <c r="J479" s="1" t="str">
        <f t="shared" si="7"/>
        <v>https://www.ocf.berkeley.edu/~pkmendez/envsci/projects/2016final/ChenJ_2016.pdf</v>
      </c>
      <c r="K479" s="2" t="str" cm="1">
        <f t="array" ref="K479:O479">_xlfn.TAKE(TRIM(_xlfn.TEXTSPLIT(F479,{",",";"})),,5)</f>
        <v>species distribution modeling</v>
      </c>
      <c r="L479" s="2" t="str">
        <v>EPT species</v>
      </c>
      <c r="M479" s="2" t="str">
        <v>water quality</v>
      </c>
      <c r="N479" s="2" t="str">
        <v>Maxent</v>
      </c>
      <c r="O479" s="2" t="str">
        <v>climate change</v>
      </c>
      <c r="P479" s="2" t="s">
        <v>9</v>
      </c>
      <c r="Q479" s="2" t="s">
        <v>10</v>
      </c>
    </row>
    <row r="480" spans="1:17" x14ac:dyDescent="0.35">
      <c r="A480" s="2" t="s">
        <v>5884</v>
      </c>
      <c r="B480" s="2" t="s">
        <v>2405</v>
      </c>
      <c r="C480" s="2" t="s">
        <v>2406</v>
      </c>
      <c r="D480" s="2">
        <v>2016</v>
      </c>
      <c r="E480" s="2" t="s">
        <v>2407</v>
      </c>
      <c r="F480" s="2" t="s">
        <v>2408</v>
      </c>
      <c r="G480" s="2" t="s">
        <v>2409</v>
      </c>
      <c r="H480" s="2" t="s">
        <v>2364</v>
      </c>
      <c r="I480" s="2" t="str" cm="1">
        <f t="array" ref="I480">H480 &amp; _xlfn.REGEXEXTRACT(G480,"^[^_]+_\d{4}") &amp; ".pdf"</f>
        <v>https://www.ocf.berkeley.edu/~pkmendez/envsci/projects/2016final/DunnJ_2016.pdf</v>
      </c>
      <c r="J480" s="1" t="str">
        <f t="shared" si="7"/>
        <v>https://www.ocf.berkeley.edu/~pkmendez/envsci/projects/2016final/DunnJ_2016.pdf</v>
      </c>
      <c r="K480" s="2" t="str" cm="1">
        <f t="array" ref="K480:O480">_xlfn.TAKE(TRIM(_xlfn.TEXTSPLIT(F480,{",",";"})),,5)</f>
        <v>allocation method</v>
      </c>
      <c r="L480" s="2" t="str">
        <v>input-output</v>
      </c>
      <c r="M480" s="2" t="str">
        <v>demographic analysis</v>
      </c>
      <c r="N480" s="2" t="str">
        <v>population composition</v>
      </c>
      <c r="O480" s="2" t="str">
        <v>household consumption</v>
      </c>
      <c r="P480" s="2" t="s">
        <v>9</v>
      </c>
      <c r="Q480" s="2" t="s">
        <v>10</v>
      </c>
    </row>
    <row r="481" spans="1:17" x14ac:dyDescent="0.35">
      <c r="A481" s="2" t="s">
        <v>5884</v>
      </c>
      <c r="B481" s="2" t="s">
        <v>2410</v>
      </c>
      <c r="C481" s="2" t="s">
        <v>2411</v>
      </c>
      <c r="D481" s="2">
        <v>2016</v>
      </c>
      <c r="E481" s="2" t="s">
        <v>2412</v>
      </c>
      <c r="F481" s="2" t="s">
        <v>2413</v>
      </c>
      <c r="G481" s="2" t="s">
        <v>2414</v>
      </c>
      <c r="H481" s="2" t="s">
        <v>2364</v>
      </c>
      <c r="I481" s="2" t="str" cm="1">
        <f t="array" ref="I481">H481 &amp; _xlfn.REGEXEXTRACT(G481,"^[^_]+_\d{4}") &amp; ".pdf"</f>
        <v>https://www.ocf.berkeley.edu/~pkmendez/envsci/projects/2016final/FedorovaV_2016.pdf</v>
      </c>
      <c r="J481" s="1" t="str">
        <f t="shared" si="7"/>
        <v>https://www.ocf.berkeley.edu/~pkmendez/envsci/projects/2016final/FedorovaV_2016.pdf</v>
      </c>
      <c r="K481" s="2" t="str" cm="1">
        <f t="array" ref="K481:O481">_xlfn.TAKE(TRIM(_xlfn.TEXTSPLIT(F481,{",",";"})),,5)</f>
        <v>Char</v>
      </c>
      <c r="L481" s="2" t="str">
        <v>scorch</v>
      </c>
      <c r="M481" s="2" t="str">
        <v>logistic model</v>
      </c>
      <c r="N481" s="2" t="str">
        <v>disturbance ecology</v>
      </c>
      <c r="O481" s="2" t="str">
        <v>Sierra Nevada</v>
      </c>
      <c r="P481" s="2" t="s">
        <v>9</v>
      </c>
      <c r="Q481" s="2" t="s">
        <v>10</v>
      </c>
    </row>
    <row r="482" spans="1:17" x14ac:dyDescent="0.35">
      <c r="A482" s="2" t="s">
        <v>5884</v>
      </c>
      <c r="B482" s="2" t="s">
        <v>2415</v>
      </c>
      <c r="C482" s="2" t="s">
        <v>2416</v>
      </c>
      <c r="D482" s="2">
        <v>2016</v>
      </c>
      <c r="E482" s="2" t="s">
        <v>2417</v>
      </c>
      <c r="F482" s="2" t="s">
        <v>2418</v>
      </c>
      <c r="G482" s="2" t="s">
        <v>2419</v>
      </c>
      <c r="H482" s="2" t="s">
        <v>2364</v>
      </c>
      <c r="I482" s="2" t="str" cm="1">
        <f t="array" ref="I482">H482 &amp; _xlfn.REGEXEXTRACT(G482,"^[^_]+_\d{4}") &amp; ".pdf"</f>
        <v>https://www.ocf.berkeley.edu/~pkmendez/envsci/projects/2016final/FischerT_2016.pdf</v>
      </c>
      <c r="J482" s="1" t="str">
        <f t="shared" si="7"/>
        <v>https://www.ocf.berkeley.edu/~pkmendez/envsci/projects/2016final/FischerT_2016.pdf</v>
      </c>
      <c r="K482" s="2" t="str" cm="1">
        <f t="array" ref="K482:M482">_xlfn.TAKE(TRIM(_xlfn.TEXTSPLIT(F482,{",",";"})),,5)</f>
        <v>Alarm pheromone</v>
      </c>
      <c r="L482" s="2" t="str">
        <v>aphid stress</v>
      </c>
      <c r="M482" s="2" t="str">
        <v>specialization</v>
      </c>
      <c r="P482" s="2" t="s">
        <v>9</v>
      </c>
      <c r="Q482" s="2" t="s">
        <v>10</v>
      </c>
    </row>
    <row r="483" spans="1:17" x14ac:dyDescent="0.35">
      <c r="A483" s="2" t="s">
        <v>5884</v>
      </c>
      <c r="B483" s="2" t="s">
        <v>2420</v>
      </c>
      <c r="C483" s="2" t="s">
        <v>2421</v>
      </c>
      <c r="D483" s="2">
        <v>2016</v>
      </c>
      <c r="E483" s="2" t="s">
        <v>2422</v>
      </c>
      <c r="F483" s="2" t="s">
        <v>2423</v>
      </c>
      <c r="G483" s="2" t="s">
        <v>2424</v>
      </c>
      <c r="H483" s="2" t="s">
        <v>2364</v>
      </c>
      <c r="I483" s="2" t="str" cm="1">
        <f t="array" ref="I483">H483 &amp; _xlfn.REGEXEXTRACT(G483,"^[^_]+_\d{4}") &amp; ".pdf"</f>
        <v>https://www.ocf.berkeley.edu/~pkmendez/envsci/projects/2016final/HagenH_2016.pdf</v>
      </c>
      <c r="J483" s="1" t="str">
        <f t="shared" si="7"/>
        <v>https://www.ocf.berkeley.edu/~pkmendez/envsci/projects/2016final/HagenH_2016.pdf</v>
      </c>
      <c r="K483" s="2" t="str" cm="1">
        <f t="array" ref="K483:O483">_xlfn.TAKE(TRIM(_xlfn.TEXTSPLIT(F483,{",",";"})),,5)</f>
        <v>Cloud-resolving model</v>
      </c>
      <c r="L483" s="2" t="str">
        <v>numerical analysis</v>
      </c>
      <c r="M483" s="2" t="str">
        <v>WENO schemes</v>
      </c>
      <c r="N483" s="2" t="str">
        <v>marine stratocumulus</v>
      </c>
      <c r="O483" s="2" t="str">
        <v>large eddy simulation (LES)</v>
      </c>
      <c r="P483" s="2" t="s">
        <v>9</v>
      </c>
      <c r="Q483" s="2" t="s">
        <v>10</v>
      </c>
    </row>
    <row r="484" spans="1:17" x14ac:dyDescent="0.35">
      <c r="A484" s="2" t="s">
        <v>5884</v>
      </c>
      <c r="B484" s="2" t="s">
        <v>2425</v>
      </c>
      <c r="C484" s="2" t="s">
        <v>2426</v>
      </c>
      <c r="D484" s="2">
        <v>2016</v>
      </c>
      <c r="E484" s="2" t="s">
        <v>2427</v>
      </c>
      <c r="F484" s="2" t="s">
        <v>2428</v>
      </c>
      <c r="G484" s="2" t="s">
        <v>2429</v>
      </c>
      <c r="H484" s="2" t="s">
        <v>2364</v>
      </c>
      <c r="I484" s="2" t="str" cm="1">
        <f t="array" ref="I484">H484 &amp; _xlfn.REGEXEXTRACT(G484,"^[^_]+_\d{4}") &amp; ".pdf"</f>
        <v>https://www.ocf.berkeley.edu/~pkmendez/envsci/projects/2016final/KellerJ_2016.pdf</v>
      </c>
      <c r="J484" s="1" t="str">
        <f t="shared" si="7"/>
        <v>https://www.ocf.berkeley.edu/~pkmendez/envsci/projects/2016final/KellerJ_2016.pdf</v>
      </c>
      <c r="K484" s="2" t="str" cm="1">
        <f t="array" ref="K484:O484">_xlfn.TAKE(TRIM(_xlfn.TEXTSPLIT(F484,{",",";"})),,5)</f>
        <v>Clear-cut</v>
      </c>
      <c r="L484" s="2" t="str">
        <v>group selection</v>
      </c>
      <c r="M484" s="2" t="str">
        <v>carbon sequestration and capture</v>
      </c>
      <c r="N484" s="2" t="str">
        <v>Jenkins equation</v>
      </c>
      <c r="O484" s="2" t="str">
        <v>life cycle analysis</v>
      </c>
      <c r="P484" s="2" t="s">
        <v>9</v>
      </c>
      <c r="Q484" s="2" t="s">
        <v>10</v>
      </c>
    </row>
    <row r="485" spans="1:17" x14ac:dyDescent="0.35">
      <c r="A485" s="2" t="s">
        <v>5884</v>
      </c>
      <c r="B485" s="2" t="s">
        <v>2430</v>
      </c>
      <c r="C485" s="2" t="s">
        <v>2431</v>
      </c>
      <c r="D485" s="2">
        <v>2016</v>
      </c>
      <c r="E485" s="2" t="s">
        <v>2432</v>
      </c>
      <c r="F485" s="2" t="s">
        <v>2433</v>
      </c>
      <c r="G485" s="2" t="s">
        <v>2434</v>
      </c>
      <c r="H485" s="2" t="s">
        <v>2364</v>
      </c>
      <c r="I485" s="2" t="str" cm="1">
        <f t="array" ref="I485">H485 &amp; _xlfn.REGEXEXTRACT(G485,"^[^_]+_\d{4}") &amp; ".pdf"</f>
        <v>https://www.ocf.berkeley.edu/~pkmendez/envsci/projects/2016final/KrovetzH_2016.pdf</v>
      </c>
      <c r="J485" s="1" t="str">
        <f t="shared" si="7"/>
        <v>https://www.ocf.berkeley.edu/~pkmendez/envsci/projects/2016final/KrovetzH_2016.pdf</v>
      </c>
      <c r="K485" s="2" t="str" cm="1">
        <f t="array" ref="K485:O485">_xlfn.TAKE(TRIM(_xlfn.TEXTSPLIT(F485,{",",";"})),,5)</f>
        <v>choice experiment</v>
      </c>
      <c r="L485" s="2" t="str">
        <v>willingness to pay</v>
      </c>
      <c r="M485" s="2" t="str">
        <v>water efficiency</v>
      </c>
      <c r="N485" s="2" t="str">
        <v>food</v>
      </c>
      <c r="O485" s="2" t="str">
        <v>California agriculture</v>
      </c>
      <c r="P485" s="2" t="s">
        <v>9</v>
      </c>
      <c r="Q485" s="2" t="s">
        <v>10</v>
      </c>
    </row>
    <row r="486" spans="1:17" x14ac:dyDescent="0.35">
      <c r="A486" s="2" t="s">
        <v>5884</v>
      </c>
      <c r="B486" s="2" t="s">
        <v>2435</v>
      </c>
      <c r="C486" s="2" t="s">
        <v>2436</v>
      </c>
      <c r="D486" s="2">
        <v>2016</v>
      </c>
      <c r="E486" s="2" t="s">
        <v>2437</v>
      </c>
      <c r="F486" s="2" t="s">
        <v>2438</v>
      </c>
      <c r="G486" s="2" t="s">
        <v>2439</v>
      </c>
      <c r="H486" s="2" t="s">
        <v>2364</v>
      </c>
      <c r="I486" s="2" t="str" cm="1">
        <f t="array" ref="I486">H486 &amp; _xlfn.REGEXEXTRACT(G486,"^[^_]+_\d{4}") &amp; ".pdf"</f>
        <v>https://www.ocf.berkeley.edu/~pkmendez/envsci/projects/2016final/KumarP_2016.pdf</v>
      </c>
      <c r="J486" s="1" t="str">
        <f t="shared" si="7"/>
        <v>https://www.ocf.berkeley.edu/~pkmendez/envsci/projects/2016final/KumarP_2016.pdf</v>
      </c>
      <c r="K486" s="2" t="str" cm="1">
        <f t="array" ref="K486:O486">_xlfn.TAKE(TRIM(_xlfn.TEXTSPLIT(F486,{",",";"})),,5)</f>
        <v>global warming skepticism</v>
      </c>
      <c r="L486" s="2" t="str">
        <v>science communication</v>
      </c>
      <c r="M486" s="2" t="str">
        <v>belief revision</v>
      </c>
      <c r="N486" s="2" t="str">
        <v>attitude change</v>
      </c>
      <c r="O486" s="2" t="str">
        <v>climate literacy</v>
      </c>
      <c r="P486" s="2" t="s">
        <v>9</v>
      </c>
      <c r="Q486" s="2" t="s">
        <v>10</v>
      </c>
    </row>
    <row r="487" spans="1:17" x14ac:dyDescent="0.35">
      <c r="A487" s="2" t="s">
        <v>5884</v>
      </c>
      <c r="B487" s="2" t="s">
        <v>2440</v>
      </c>
      <c r="C487" s="2" t="s">
        <v>2441</v>
      </c>
      <c r="D487" s="2">
        <v>2016</v>
      </c>
      <c r="E487" s="2" t="s">
        <v>2442</v>
      </c>
      <c r="F487" s="2" t="s">
        <v>2443</v>
      </c>
      <c r="G487" s="2" t="s">
        <v>2444</v>
      </c>
      <c r="H487" s="2" t="s">
        <v>2364</v>
      </c>
      <c r="I487" s="2" t="str" cm="1">
        <f t="array" ref="I487">H487 &amp; _xlfn.REGEXEXTRACT(G487,"^[^_]+_\d{4}") &amp; ".pdf"</f>
        <v>https://www.ocf.berkeley.edu/~pkmendez/envsci/projects/2016final/LamW_2016.pdf</v>
      </c>
      <c r="J487" s="1" t="str">
        <f t="shared" si="7"/>
        <v>https://www.ocf.berkeley.edu/~pkmendez/envsci/projects/2016final/LamW_2016.pdf</v>
      </c>
      <c r="K487" s="2" t="str" cm="1">
        <f t="array" ref="K487:O487">_xlfn.TAKE(TRIM(_xlfn.TEXTSPLIT(F487,{",",";"})),,5)</f>
        <v>hydrogen production</v>
      </c>
      <c r="L487" s="2" t="str">
        <v>gasoline</v>
      </c>
      <c r="M487" s="2" t="str">
        <v>transportation</v>
      </c>
      <c r="N487" s="2" t="str">
        <v>emission</v>
      </c>
      <c r="O487" s="2" t="str">
        <v>fossil fuel energy</v>
      </c>
      <c r="P487" s="2" t="s">
        <v>9</v>
      </c>
      <c r="Q487" s="2" t="s">
        <v>10</v>
      </c>
    </row>
    <row r="488" spans="1:17" x14ac:dyDescent="0.35">
      <c r="A488" s="2" t="s">
        <v>5884</v>
      </c>
      <c r="B488" s="2" t="s">
        <v>2445</v>
      </c>
      <c r="C488" s="2" t="s">
        <v>2446</v>
      </c>
      <c r="D488" s="2">
        <v>2016</v>
      </c>
      <c r="E488" s="2" t="s">
        <v>2447</v>
      </c>
      <c r="F488" s="2" t="s">
        <v>2448</v>
      </c>
      <c r="G488" s="2" t="s">
        <v>2449</v>
      </c>
      <c r="H488" s="2" t="s">
        <v>2364</v>
      </c>
      <c r="I488" s="2" t="str" cm="1">
        <f t="array" ref="I488">H488 &amp; _xlfn.REGEXEXTRACT(G488,"^[^_]+_\d{4}") &amp; ".pdf"</f>
        <v>https://www.ocf.berkeley.edu/~pkmendez/envsci/projects/2016final/LeeA_2016.pdf</v>
      </c>
      <c r="J488" s="1" t="str">
        <f t="shared" si="7"/>
        <v>https://www.ocf.berkeley.edu/~pkmendez/envsci/projects/2016final/LeeA_2016.pdf</v>
      </c>
      <c r="K488" s="2" t="str" cm="1">
        <f t="array" ref="K488:O488">_xlfn.TAKE(TRIM(_xlfn.TEXTSPLIT(F488,{",",";"})),,5)</f>
        <v>Park Strip</v>
      </c>
      <c r="L488" s="2" t="str">
        <v>Monolithic Sidewalk</v>
      </c>
      <c r="M488" s="2" t="str">
        <v>marginal sidewalk</v>
      </c>
      <c r="N488" s="2" t="str">
        <v>street trees</v>
      </c>
      <c r="O488" s="2" t="str">
        <v>tree-sidewalk conflict</v>
      </c>
      <c r="P488" s="2" t="s">
        <v>9</v>
      </c>
      <c r="Q488" s="2" t="s">
        <v>10</v>
      </c>
    </row>
    <row r="489" spans="1:17" x14ac:dyDescent="0.35">
      <c r="A489" s="2" t="s">
        <v>5884</v>
      </c>
      <c r="B489" s="2" t="s">
        <v>2450</v>
      </c>
      <c r="C489" s="2" t="s">
        <v>2451</v>
      </c>
      <c r="D489" s="2">
        <v>2016</v>
      </c>
      <c r="E489" s="2" t="s">
        <v>2452</v>
      </c>
      <c r="F489" s="2" t="s">
        <v>2453</v>
      </c>
      <c r="G489" s="2" t="s">
        <v>2454</v>
      </c>
      <c r="H489" s="2" t="s">
        <v>2364</v>
      </c>
      <c r="I489" s="2" t="str" cm="1">
        <f t="array" ref="I489">H489 &amp; _xlfn.REGEXEXTRACT(G489,"^[^_]+_\d{4}") &amp; ".pdf"</f>
        <v>https://www.ocf.berkeley.edu/~pkmendez/envsci/projects/2016final/LeungH_2016.pdf</v>
      </c>
      <c r="J489" s="1" t="str">
        <f t="shared" si="7"/>
        <v>https://www.ocf.berkeley.edu/~pkmendez/envsci/projects/2016final/LeungH_2016.pdf</v>
      </c>
      <c r="K489" s="2" t="str" cm="1">
        <f t="array" ref="K489:O489">_xlfn.TAKE(TRIM(_xlfn.TEXTSPLIT(F489,{",",";"})),,5)</f>
        <v>River restoration</v>
      </c>
      <c r="L489" s="2" t="str">
        <v>bioassessment</v>
      </c>
      <c r="M489" s="2" t="str">
        <v>habitat complexity</v>
      </c>
      <c r="N489" s="2" t="str">
        <v>geomorphology</v>
      </c>
      <c r="O489" s="2" t="str">
        <v>urbanization</v>
      </c>
      <c r="P489" s="2" t="s">
        <v>9</v>
      </c>
      <c r="Q489" s="2" t="s">
        <v>10</v>
      </c>
    </row>
    <row r="490" spans="1:17" x14ac:dyDescent="0.35">
      <c r="A490" s="2" t="s">
        <v>5884</v>
      </c>
      <c r="B490" s="2" t="s">
        <v>2455</v>
      </c>
      <c r="C490" s="2" t="s">
        <v>2456</v>
      </c>
      <c r="D490" s="2">
        <v>2016</v>
      </c>
      <c r="E490" s="2" t="s">
        <v>2457</v>
      </c>
      <c r="F490" s="2" t="s">
        <v>2458</v>
      </c>
      <c r="G490" s="2" t="s">
        <v>2459</v>
      </c>
      <c r="H490" s="2" t="s">
        <v>2364</v>
      </c>
      <c r="I490" s="2" t="str" cm="1">
        <f t="array" ref="I490">H490 &amp; _xlfn.REGEXEXTRACT(G490,"^[^_]+_\d{4}") &amp; ".pdf"</f>
        <v>https://www.ocf.berkeley.edu/~pkmendez/envsci/projects/2016final/MakabehA_2016.pdf</v>
      </c>
      <c r="J490" s="1" t="str">
        <f t="shared" si="7"/>
        <v>https://www.ocf.berkeley.edu/~pkmendez/envsci/projects/2016final/MakabehA_2016.pdf</v>
      </c>
      <c r="K490" s="2" t="str" cm="1">
        <f t="array" ref="K490:O490">_xlfn.TAKE(TRIM(_xlfn.TEXTSPLIT(F490,{",",";"})),,5)</f>
        <v>watersheds</v>
      </c>
      <c r="L490" s="2" t="str">
        <v>creeks</v>
      </c>
      <c r="M490" s="2" t="str">
        <v>water quality</v>
      </c>
      <c r="N490" s="2" t="str">
        <v>detergents</v>
      </c>
      <c r="O490" s="2" t="str">
        <v>optical brighteners</v>
      </c>
      <c r="P490" s="2" t="s">
        <v>9</v>
      </c>
      <c r="Q490" s="2" t="s">
        <v>10</v>
      </c>
    </row>
    <row r="491" spans="1:17" x14ac:dyDescent="0.35">
      <c r="A491" s="2" t="s">
        <v>5884</v>
      </c>
      <c r="B491" s="2" t="s">
        <v>2460</v>
      </c>
      <c r="C491" s="2" t="s">
        <v>2461</v>
      </c>
      <c r="D491" s="2">
        <v>2016</v>
      </c>
      <c r="E491" s="2" t="s">
        <v>2462</v>
      </c>
      <c r="F491" s="2" t="s">
        <v>2463</v>
      </c>
      <c r="G491" s="2" t="s">
        <v>2464</v>
      </c>
      <c r="H491" s="2" t="s">
        <v>2364</v>
      </c>
      <c r="I491" s="2" t="str" cm="1">
        <f t="array" ref="I491">H491 &amp; _xlfn.REGEXEXTRACT(G491,"^[^_]+_\d{4}") &amp; ".pdf"</f>
        <v>https://www.ocf.berkeley.edu/~pkmendez/envsci/projects/2016final/MinA_2016.pdf</v>
      </c>
      <c r="J491" s="1" t="str">
        <f t="shared" si="7"/>
        <v>https://www.ocf.berkeley.edu/~pkmendez/envsci/projects/2016final/MinA_2016.pdf</v>
      </c>
      <c r="K491" s="2" t="str" cm="1">
        <f t="array" ref="K491:O491">_xlfn.TAKE(TRIM(_xlfn.TEXTSPLIT(F491,{",",";"})),,5)</f>
        <v>Land cover change</v>
      </c>
      <c r="L491" s="2" t="str">
        <v>ENVI</v>
      </c>
      <c r="M491" s="2" t="str">
        <v>Amhara</v>
      </c>
      <c r="N491" s="2" t="str">
        <v>church forest</v>
      </c>
      <c r="O491" s="2" t="str">
        <v>eucalyptus</v>
      </c>
      <c r="P491" s="2" t="s">
        <v>9</v>
      </c>
      <c r="Q491" s="2" t="s">
        <v>10</v>
      </c>
    </row>
    <row r="492" spans="1:17" x14ac:dyDescent="0.35">
      <c r="A492" s="2" t="s">
        <v>5884</v>
      </c>
      <c r="B492" s="2" t="s">
        <v>2465</v>
      </c>
      <c r="C492" s="2" t="s">
        <v>2466</v>
      </c>
      <c r="D492" s="2">
        <v>2016</v>
      </c>
      <c r="E492" s="2" t="s">
        <v>2467</v>
      </c>
      <c r="F492" s="2" t="s">
        <v>2468</v>
      </c>
      <c r="G492" s="2" t="s">
        <v>2469</v>
      </c>
      <c r="H492" s="2" t="s">
        <v>2364</v>
      </c>
      <c r="I492" s="2" t="str" cm="1">
        <f t="array" ref="I492">H492 &amp; _xlfn.REGEXEXTRACT(G492,"^[^_]+_\d{4}") &amp; ".pdf"</f>
        <v>https://www.ocf.berkeley.edu/~pkmendez/envsci/projects/2016final/MurphyN_2016.pdf</v>
      </c>
      <c r="J492" s="1" t="str">
        <f t="shared" si="7"/>
        <v>https://www.ocf.berkeley.edu/~pkmendez/envsci/projects/2016final/MurphyN_2016.pdf</v>
      </c>
      <c r="K492" s="2" t="str" cm="1">
        <f t="array" ref="K492:O492">_xlfn.TAKE(TRIM(_xlfn.TEXTSPLIT(F492,{",",";"})),,5)</f>
        <v>soil</v>
      </c>
      <c r="L492" s="2" t="str">
        <v>Berkeley</v>
      </c>
      <c r="M492" s="2" t="str">
        <v>urban garden</v>
      </c>
      <c r="N492" s="2" t="str">
        <v>heavy metal</v>
      </c>
      <c r="O492" s="2" t="str">
        <v>contamination</v>
      </c>
      <c r="P492" s="2" t="s">
        <v>9</v>
      </c>
      <c r="Q492" s="2" t="s">
        <v>10</v>
      </c>
    </row>
    <row r="493" spans="1:17" x14ac:dyDescent="0.35">
      <c r="A493" s="2" t="s">
        <v>5884</v>
      </c>
      <c r="B493" s="2" t="s">
        <v>2470</v>
      </c>
      <c r="C493" s="2" t="s">
        <v>2471</v>
      </c>
      <c r="D493" s="2">
        <v>2016</v>
      </c>
      <c r="E493" s="2" t="s">
        <v>2472</v>
      </c>
      <c r="F493" s="2" t="s">
        <v>2473</v>
      </c>
      <c r="G493" s="2" t="s">
        <v>2474</v>
      </c>
      <c r="H493" s="2" t="s">
        <v>2364</v>
      </c>
      <c r="I493" s="2" t="str" cm="1">
        <f t="array" ref="I493">H493 &amp; _xlfn.REGEXEXTRACT(G493,"^[^_]+_\d{4}") &amp; ".pdf"</f>
        <v>https://www.ocf.berkeley.edu/~pkmendez/envsci/projects/2016final/OuyangY_2016.pdf</v>
      </c>
      <c r="J493" s="1" t="str">
        <f t="shared" si="7"/>
        <v>https://www.ocf.berkeley.edu/~pkmendez/envsci/projects/2016final/OuyangY_2016.pdf</v>
      </c>
      <c r="K493" s="2" t="str" cm="1">
        <f t="array" ref="K493:O493">_xlfn.TAKE(TRIM(_xlfn.TEXTSPLIT(F493,{",",";"})),,5)</f>
        <v>Soil bacteria</v>
      </c>
      <c r="L493" s="2" t="str">
        <v>soil fungi</v>
      </c>
      <c r="M493" s="2" t="str">
        <v>soil organisms</v>
      </c>
      <c r="N493" s="2" t="str">
        <v>soil pore size</v>
      </c>
      <c r="O493" s="2" t="str">
        <v>soil aggregates stability</v>
      </c>
      <c r="P493" s="2" t="s">
        <v>9</v>
      </c>
      <c r="Q493" s="2" t="s">
        <v>10</v>
      </c>
    </row>
    <row r="494" spans="1:17" x14ac:dyDescent="0.35">
      <c r="A494" s="2" t="s">
        <v>5884</v>
      </c>
      <c r="B494" s="2" t="s">
        <v>2475</v>
      </c>
      <c r="C494" s="2" t="s">
        <v>2476</v>
      </c>
      <c r="D494" s="2">
        <v>2016</v>
      </c>
      <c r="E494" s="2" t="s">
        <v>2477</v>
      </c>
      <c r="F494" s="2" t="s">
        <v>2478</v>
      </c>
      <c r="G494" s="2" t="s">
        <v>2479</v>
      </c>
      <c r="H494" s="2" t="s">
        <v>2364</v>
      </c>
      <c r="I494" s="2" t="str" cm="1">
        <f t="array" ref="I494">H494 &amp; _xlfn.REGEXEXTRACT(G494,"^[^_]+_\d{4}") &amp; ".pdf"</f>
        <v>https://www.ocf.berkeley.edu/~pkmendez/envsci/projects/2016final/OvS_2016.pdf</v>
      </c>
      <c r="J494" s="1" t="str">
        <f t="shared" si="7"/>
        <v>https://www.ocf.berkeley.edu/~pkmendez/envsci/projects/2016final/OvS_2016.pdf</v>
      </c>
      <c r="K494" s="2" t="str" cm="1">
        <f t="array" ref="K494:O494">_xlfn.TAKE(TRIM(_xlfn.TEXTSPLIT(F494,{",",";"})),,5)</f>
        <v>urban farms</v>
      </c>
      <c r="L494" s="2" t="str">
        <v>food justice</v>
      </c>
      <c r="M494" s="2" t="str">
        <v>land access</v>
      </c>
      <c r="N494" s="2" t="str">
        <v>urban agriculture policy</v>
      </c>
      <c r="O494" s="2" t="str">
        <v>food policy</v>
      </c>
      <c r="P494" s="2" t="s">
        <v>9</v>
      </c>
      <c r="Q494" s="2" t="s">
        <v>10</v>
      </c>
    </row>
    <row r="495" spans="1:17" x14ac:dyDescent="0.35">
      <c r="A495" s="2" t="s">
        <v>5884</v>
      </c>
      <c r="B495" s="2" t="s">
        <v>2480</v>
      </c>
      <c r="C495" s="2" t="s">
        <v>2481</v>
      </c>
      <c r="D495" s="2">
        <v>2016</v>
      </c>
      <c r="E495" s="2" t="s">
        <v>2482</v>
      </c>
      <c r="F495" s="2" t="s">
        <v>2483</v>
      </c>
      <c r="G495" s="2" t="s">
        <v>2484</v>
      </c>
      <c r="H495" s="2" t="s">
        <v>2364</v>
      </c>
      <c r="I495" s="2" t="str" cm="1">
        <f t="array" ref="I495">H495 &amp; _xlfn.REGEXEXTRACT(G495,"^[^_]+_\d{4}") &amp; ".pdf"</f>
        <v>https://www.ocf.berkeley.edu/~pkmendez/envsci/projects/2016final/PagnonS_2016.pdf</v>
      </c>
      <c r="J495" s="1" t="str">
        <f t="shared" si="7"/>
        <v>https://www.ocf.berkeley.edu/~pkmendez/envsci/projects/2016final/PagnonS_2016.pdf</v>
      </c>
      <c r="K495" s="2" t="str" cm="1">
        <f t="array" ref="K495:O495">_xlfn.TAKE(TRIM(_xlfn.TEXTSPLIT(F495,{",",";"})),,5)</f>
        <v>relative growth rate</v>
      </c>
      <c r="L495" s="2" t="str">
        <v>riparian vegetation</v>
      </c>
      <c r="M495" s="2" t="str">
        <v>Strawberry Creek</v>
      </c>
      <c r="N495" s="2" t="str">
        <v>multiple regression analysis</v>
      </c>
      <c r="O495" s="2" t="str">
        <v>primary productivity</v>
      </c>
      <c r="P495" s="2" t="s">
        <v>9</v>
      </c>
      <c r="Q495" s="2" t="s">
        <v>10</v>
      </c>
    </row>
    <row r="496" spans="1:17" x14ac:dyDescent="0.35">
      <c r="A496" s="2" t="s">
        <v>5884</v>
      </c>
      <c r="B496" s="2" t="s">
        <v>2485</v>
      </c>
      <c r="C496" s="2" t="s">
        <v>2486</v>
      </c>
      <c r="D496" s="2">
        <v>2016</v>
      </c>
      <c r="E496" s="2" t="s">
        <v>2487</v>
      </c>
      <c r="F496" s="2" t="s">
        <v>2488</v>
      </c>
      <c r="G496" s="2" t="s">
        <v>2489</v>
      </c>
      <c r="H496" s="2" t="s">
        <v>2364</v>
      </c>
      <c r="I496" s="2" t="str" cm="1">
        <f t="array" ref="I496">H496 &amp; _xlfn.REGEXEXTRACT(G496,"^[^_]+_\d{4}") &amp; ".pdf"</f>
        <v>https://www.ocf.berkeley.edu/~pkmendez/envsci/projects/2016final/PasrichaR_2016.pdf</v>
      </c>
      <c r="J496" s="1" t="str">
        <f t="shared" si="7"/>
        <v>https://www.ocf.berkeley.edu/~pkmendez/envsci/projects/2016final/PasrichaR_2016.pdf</v>
      </c>
      <c r="K496" s="2" t="str" cm="1">
        <f t="array" ref="K496:O496">_xlfn.TAKE(TRIM(_xlfn.TEXTSPLIT(F496,{",",";"})),,5)</f>
        <v>Drought tolerance</v>
      </c>
      <c r="L496" s="2" t="str">
        <v>alternative crop</v>
      </c>
      <c r="M496" s="2" t="str">
        <v>whole grain</v>
      </c>
      <c r="N496" s="2" t="str">
        <v>gluten –free</v>
      </c>
      <c r="O496" s="2" t="str">
        <v>California microclimate</v>
      </c>
      <c r="P496" s="2" t="s">
        <v>9</v>
      </c>
      <c r="Q496" s="2" t="s">
        <v>10</v>
      </c>
    </row>
    <row r="497" spans="1:17" x14ac:dyDescent="0.35">
      <c r="A497" s="2" t="s">
        <v>5884</v>
      </c>
      <c r="B497" s="2" t="s">
        <v>2490</v>
      </c>
      <c r="C497" s="2" t="s">
        <v>2491</v>
      </c>
      <c r="D497" s="2">
        <v>2016</v>
      </c>
      <c r="E497" s="2" t="s">
        <v>2492</v>
      </c>
      <c r="F497" s="2" t="s">
        <v>2493</v>
      </c>
      <c r="G497" s="2" t="s">
        <v>2494</v>
      </c>
      <c r="H497" s="2" t="s">
        <v>2364</v>
      </c>
      <c r="I497" s="2" t="str" cm="1">
        <f t="array" ref="I497">H497 &amp; _xlfn.REGEXEXTRACT(G497,"^[^_]+_\d{4}") &amp; ".pdf"</f>
        <v>https://www.ocf.berkeley.edu/~pkmendez/envsci/projects/2016final/PattersonK_2016.pdf</v>
      </c>
      <c r="J497" s="1" t="str">
        <f t="shared" si="7"/>
        <v>https://www.ocf.berkeley.edu/~pkmendez/envsci/projects/2016final/PattersonK_2016.pdf</v>
      </c>
      <c r="K497" s="2" t="str" cm="1">
        <f t="array" ref="K497:O497">_xlfn.TAKE(TRIM(_xlfn.TEXTSPLIT(F497,{",",";"})),,5)</f>
        <v>California drought</v>
      </c>
      <c r="L497" s="2" t="str">
        <v>insect ecology</v>
      </c>
      <c r="M497" s="2" t="str">
        <v>biological control</v>
      </c>
      <c r="N497" s="2" t="str">
        <v>parasitoid wasp</v>
      </c>
      <c r="O497" s="2" t="str">
        <v>IPM</v>
      </c>
      <c r="P497" s="2" t="s">
        <v>9</v>
      </c>
      <c r="Q497" s="2" t="s">
        <v>10</v>
      </c>
    </row>
    <row r="498" spans="1:17" x14ac:dyDescent="0.35">
      <c r="A498" s="2" t="s">
        <v>5884</v>
      </c>
      <c r="B498" s="2" t="s">
        <v>2495</v>
      </c>
      <c r="C498" s="2" t="s">
        <v>2496</v>
      </c>
      <c r="D498" s="2">
        <v>2016</v>
      </c>
      <c r="E498" s="2" t="s">
        <v>2497</v>
      </c>
      <c r="F498" s="2" t="s">
        <v>2498</v>
      </c>
      <c r="G498" s="2" t="s">
        <v>2499</v>
      </c>
      <c r="H498" s="2" t="s">
        <v>2364</v>
      </c>
      <c r="I498" s="2" t="str" cm="1">
        <f t="array" ref="I498">H498 &amp; _xlfn.REGEXEXTRACT(G498,"^[^_]+_\d{4}") &amp; ".pdf"</f>
        <v>https://www.ocf.berkeley.edu/~pkmendez/envsci/projects/2016final/PukkeK_2016.pdf</v>
      </c>
      <c r="J498" s="1" t="str">
        <f t="shared" si="7"/>
        <v>https://www.ocf.berkeley.edu/~pkmendez/envsci/projects/2016final/PukkeK_2016.pdf</v>
      </c>
      <c r="K498" s="2" t="str" cm="1">
        <f t="array" ref="K498:O498">_xlfn.TAKE(TRIM(_xlfn.TEXTSPLIT(F498,{",",";"})),,5)</f>
        <v>Habitat resource use</v>
      </c>
      <c r="L498" s="2" t="str">
        <v>Wildcat Canyon</v>
      </c>
      <c r="M498" s="2" t="str">
        <v>population distribution</v>
      </c>
      <c r="N498" s="2" t="str">
        <v>Peromyscus maniculatus</v>
      </c>
      <c r="O498" s="2" t="str">
        <v>Peromyscus truei</v>
      </c>
      <c r="P498" s="2" t="s">
        <v>9</v>
      </c>
      <c r="Q498" s="2" t="s">
        <v>10</v>
      </c>
    </row>
    <row r="499" spans="1:17" x14ac:dyDescent="0.35">
      <c r="A499" s="2" t="s">
        <v>5884</v>
      </c>
      <c r="B499" s="2" t="s">
        <v>2500</v>
      </c>
      <c r="C499" s="2" t="s">
        <v>2501</v>
      </c>
      <c r="D499" s="2">
        <v>2016</v>
      </c>
      <c r="E499" s="2" t="s">
        <v>2502</v>
      </c>
      <c r="F499" s="2" t="s">
        <v>2503</v>
      </c>
      <c r="G499" s="2" t="s">
        <v>2504</v>
      </c>
      <c r="H499" s="2" t="s">
        <v>2364</v>
      </c>
      <c r="I499" s="2" t="str" cm="1">
        <f t="array" ref="I499">H499 &amp; _xlfn.REGEXEXTRACT(G499,"^[^_]+_\d{4}") &amp; ".pdf"</f>
        <v>https://www.ocf.berkeley.edu/~pkmendez/envsci/projects/2016final/ReaderJ_2016.pdf</v>
      </c>
      <c r="J499" s="1" t="str">
        <f t="shared" si="7"/>
        <v>https://www.ocf.berkeley.edu/~pkmendez/envsci/projects/2016final/ReaderJ_2016.pdf</v>
      </c>
      <c r="K499" s="2" t="str" cm="1">
        <f t="array" ref="K499:O499">_xlfn.TAKE(TRIM(_xlfn.TEXTSPLIT(F499,{",",";"})),,5)</f>
        <v>Novel ecosystems</v>
      </c>
      <c r="L499" s="2" t="str">
        <v>GIS</v>
      </c>
      <c r="M499" s="2" t="str">
        <v>inverse density-weighted (IDW) interpolation</v>
      </c>
      <c r="N499" s="2" t="str">
        <v>thinning</v>
      </c>
      <c r="O499" s="2" t="str">
        <v>restoration</v>
      </c>
      <c r="P499" s="2" t="s">
        <v>9</v>
      </c>
      <c r="Q499" s="2" t="s">
        <v>10</v>
      </c>
    </row>
    <row r="500" spans="1:17" x14ac:dyDescent="0.35">
      <c r="A500" s="2" t="s">
        <v>5884</v>
      </c>
      <c r="B500" s="2" t="s">
        <v>2505</v>
      </c>
      <c r="C500" s="2" t="s">
        <v>2506</v>
      </c>
      <c r="D500" s="2">
        <v>2016</v>
      </c>
      <c r="E500" s="2" t="s">
        <v>2507</v>
      </c>
      <c r="F500" s="2" t="s">
        <v>2508</v>
      </c>
      <c r="G500" s="2" t="s">
        <v>2509</v>
      </c>
      <c r="H500" s="2" t="s">
        <v>2364</v>
      </c>
      <c r="I500" s="2" t="str" cm="1">
        <f t="array" ref="I500">H500 &amp; _xlfn.REGEXEXTRACT(G500,"^[^_]+_\d{4}") &amp; ".pdf"</f>
        <v>https://www.ocf.berkeley.edu/~pkmendez/envsci/projects/2016final/Rusconi-RodriguesG_2016.pdf</v>
      </c>
      <c r="J500" s="1" t="str">
        <f t="shared" si="7"/>
        <v>https://www.ocf.berkeley.edu/~pkmendez/envsci/projects/2016final/Rusconi-RodriguesG_2016.pdf</v>
      </c>
      <c r="K500" s="2" t="str" cm="1">
        <f t="array" ref="K500:O500">_xlfn.TAKE(TRIM(_xlfn.TEXTSPLIT(F500,{",",";"})),,5)</f>
        <v>Lake Biel</v>
      </c>
      <c r="L500" s="2" t="str">
        <v>Cladocera</v>
      </c>
      <c r="M500" s="2" t="str">
        <v>Net Trap</v>
      </c>
      <c r="N500" s="2" t="str">
        <v>Acoustic Doppler Current Profile (ADCP)</v>
      </c>
      <c r="O500" s="2" t="str">
        <v>Current Temperature Depth (CTD)</v>
      </c>
      <c r="P500" s="2" t="s">
        <v>9</v>
      </c>
      <c r="Q500" s="2" t="s">
        <v>10</v>
      </c>
    </row>
    <row r="501" spans="1:17" x14ac:dyDescent="0.35">
      <c r="A501" s="2" t="s">
        <v>5884</v>
      </c>
      <c r="B501" s="2" t="s">
        <v>2510</v>
      </c>
      <c r="C501" s="2" t="s">
        <v>2511</v>
      </c>
      <c r="D501" s="2">
        <v>2016</v>
      </c>
      <c r="E501" s="2" t="s">
        <v>2512</v>
      </c>
      <c r="F501" s="2" t="s">
        <v>2513</v>
      </c>
      <c r="G501" s="2" t="s">
        <v>2514</v>
      </c>
      <c r="H501" s="2" t="s">
        <v>2364</v>
      </c>
      <c r="I501" s="2" t="str" cm="1">
        <f t="array" ref="I501">H501 &amp; _xlfn.REGEXEXTRACT(G501,"^[^_]+_\d{4}") &amp; ".pdf"</f>
        <v>https://www.ocf.berkeley.edu/~pkmendez/envsci/projects/2016final/SazoM_2016.pdf</v>
      </c>
      <c r="J501" s="1" t="str">
        <f t="shared" ref="J501:J514" si="8">HYPERLINK(I501, I501)</f>
        <v>https://www.ocf.berkeley.edu/~pkmendez/envsci/projects/2016final/SazoM_2016.pdf</v>
      </c>
      <c r="K501" s="2" t="str" cm="1">
        <f t="array" ref="K501:O501">_xlfn.TAKE(TRIM(_xlfn.TEXTSPLIT(F501,{",",";"})),,5)</f>
        <v>Civic agriculture</v>
      </c>
      <c r="L501" s="2" t="str">
        <v>small businesses</v>
      </c>
      <c r="M501" s="2" t="str">
        <v>urban land use</v>
      </c>
      <c r="N501" s="2" t="str">
        <v>urban farming</v>
      </c>
      <c r="O501" s="2" t="str">
        <v>food security</v>
      </c>
      <c r="P501" s="2" t="s">
        <v>9</v>
      </c>
      <c r="Q501" s="2" t="s">
        <v>10</v>
      </c>
    </row>
    <row r="502" spans="1:17" x14ac:dyDescent="0.35">
      <c r="A502" s="2" t="s">
        <v>5884</v>
      </c>
      <c r="B502" s="2" t="s">
        <v>2515</v>
      </c>
      <c r="C502" s="2" t="s">
        <v>2516</v>
      </c>
      <c r="D502" s="2">
        <v>2016</v>
      </c>
      <c r="E502" s="2" t="s">
        <v>2517</v>
      </c>
      <c r="F502" s="2" t="s">
        <v>2518</v>
      </c>
      <c r="G502" s="2" t="s">
        <v>2519</v>
      </c>
      <c r="H502" s="2" t="s">
        <v>2364</v>
      </c>
      <c r="I502" s="2" t="str" cm="1">
        <f t="array" ref="I502">H502 &amp; _xlfn.REGEXEXTRACT(G502,"^[^_]+_\d{4}") &amp; ".pdf"</f>
        <v>https://www.ocf.berkeley.edu/~pkmendez/envsci/projects/2016final/ShaferE_2016.pdf</v>
      </c>
      <c r="J502" s="1" t="str">
        <f t="shared" si="8"/>
        <v>https://www.ocf.berkeley.edu/~pkmendez/envsci/projects/2016final/ShaferE_2016.pdf</v>
      </c>
      <c r="K502" s="2" t="str" cm="1">
        <f t="array" ref="K502:O502">_xlfn.TAKE(TRIM(_xlfn.TEXTSPLIT(F502,{",",";"})),,5)</f>
        <v>Bobcat ecology</v>
      </c>
      <c r="L502" s="2" t="str">
        <v>Lynx rufus</v>
      </c>
      <c r="M502" s="2" t="str">
        <v>activity patterns</v>
      </c>
      <c r="N502" s="2" t="str">
        <v>camera trap</v>
      </c>
      <c r="O502" s="2" t="str">
        <v>blue-oak woodland</v>
      </c>
      <c r="P502" s="2" t="s">
        <v>9</v>
      </c>
      <c r="Q502" s="2" t="s">
        <v>10</v>
      </c>
    </row>
    <row r="503" spans="1:17" x14ac:dyDescent="0.35">
      <c r="A503" s="2" t="s">
        <v>5884</v>
      </c>
      <c r="B503" s="2" t="s">
        <v>2520</v>
      </c>
      <c r="C503" s="2" t="s">
        <v>2521</v>
      </c>
      <c r="D503" s="2">
        <v>2016</v>
      </c>
      <c r="E503" s="2" t="s">
        <v>2522</v>
      </c>
      <c r="F503" s="2" t="s">
        <v>2523</v>
      </c>
      <c r="G503" s="2" t="s">
        <v>2524</v>
      </c>
      <c r="H503" s="2" t="s">
        <v>2364</v>
      </c>
      <c r="I503" s="2" t="str" cm="1">
        <f t="array" ref="I503">H503 &amp; _xlfn.REGEXEXTRACT(G503,"^[^_]+_\d{4}") &amp; ".pdf"</f>
        <v>https://www.ocf.berkeley.edu/~pkmendez/envsci/projects/2016final/SilversP_2016.pdf</v>
      </c>
      <c r="J503" s="1" t="str">
        <f t="shared" si="8"/>
        <v>https://www.ocf.berkeley.edu/~pkmendez/envsci/projects/2016final/SilversP_2016.pdf</v>
      </c>
      <c r="K503" s="2" t="str" cm="1">
        <f t="array" ref="K503:O503">_xlfn.TAKE(TRIM(_xlfn.TEXTSPLIT(F503,{",",";"})),,5)</f>
        <v>air pollution</v>
      </c>
      <c r="L503" s="2" t="str">
        <v>environmental justice</v>
      </c>
      <c r="M503" s="2" t="str">
        <v>Oakland</v>
      </c>
      <c r="N503" s="2" t="str">
        <v>gentrification</v>
      </c>
      <c r="O503" s="2" t="str">
        <v>diesel emissions</v>
      </c>
      <c r="P503" s="2" t="s">
        <v>9</v>
      </c>
      <c r="Q503" s="2" t="s">
        <v>10</v>
      </c>
    </row>
    <row r="504" spans="1:17" x14ac:dyDescent="0.35">
      <c r="A504" s="2" t="s">
        <v>5884</v>
      </c>
      <c r="B504" s="2" t="s">
        <v>2525</v>
      </c>
      <c r="C504" s="2" t="s">
        <v>2526</v>
      </c>
      <c r="D504" s="2">
        <v>2016</v>
      </c>
      <c r="E504" s="2" t="s">
        <v>2527</v>
      </c>
      <c r="F504" s="2" t="s">
        <v>2528</v>
      </c>
      <c r="G504" s="2" t="s">
        <v>2529</v>
      </c>
      <c r="H504" s="2" t="s">
        <v>2364</v>
      </c>
      <c r="I504" s="2" t="str" cm="1">
        <f t="array" ref="I504">H504 &amp; _xlfn.REGEXEXTRACT(G504,"^[^_]+_\d{4}") &amp; ".pdf"</f>
        <v>https://www.ocf.berkeley.edu/~pkmendez/envsci/projects/2016final/TopeyM_2016.pdf</v>
      </c>
      <c r="J504" s="1" t="str">
        <f t="shared" si="8"/>
        <v>https://www.ocf.berkeley.edu/~pkmendez/envsci/projects/2016final/TopeyM_2016.pdf</v>
      </c>
      <c r="K504" s="2" t="str" cm="1">
        <f t="array" ref="K504:O504">_xlfn.TAKE(TRIM(_xlfn.TEXTSPLIT(F504,{",",";"})),,5)</f>
        <v>environmental health</v>
      </c>
      <c r="L504" s="2" t="str">
        <v>polycyclic aromatic hydrocarbons</v>
      </c>
      <c r="M504" s="2" t="str">
        <v>particulate matter</v>
      </c>
      <c r="N504" s="2" t="str">
        <v>nitrous oxides</v>
      </c>
      <c r="O504" s="2" t="str">
        <v>meta-analysis</v>
      </c>
      <c r="P504" s="2" t="s">
        <v>9</v>
      </c>
      <c r="Q504" s="2" t="s">
        <v>10</v>
      </c>
    </row>
    <row r="505" spans="1:17" x14ac:dyDescent="0.35">
      <c r="A505" s="2" t="s">
        <v>5884</v>
      </c>
      <c r="B505" s="2" t="s">
        <v>2530</v>
      </c>
      <c r="C505" s="2" t="s">
        <v>2531</v>
      </c>
      <c r="D505" s="2">
        <v>2016</v>
      </c>
      <c r="E505" s="2" t="s">
        <v>2532</v>
      </c>
      <c r="F505" s="2" t="s">
        <v>2533</v>
      </c>
      <c r="G505" s="2" t="s">
        <v>2534</v>
      </c>
      <c r="H505" s="2" t="s">
        <v>2364</v>
      </c>
      <c r="I505" s="2" t="str" cm="1">
        <f t="array" ref="I505">H505 &amp; _xlfn.REGEXEXTRACT(G505,"^[^_]+_\d{4}") &amp; ".pdf"</f>
        <v>https://www.ocf.berkeley.edu/~pkmendez/envsci/projects/2016final/TotteH_2016.pdf</v>
      </c>
      <c r="J505" s="1" t="str">
        <f t="shared" si="8"/>
        <v>https://www.ocf.berkeley.edu/~pkmendez/envsci/projects/2016final/TotteH_2016.pdf</v>
      </c>
      <c r="K505" s="2" t="str" cm="1">
        <f t="array" ref="K505:O505">_xlfn.TAKE(TRIM(_xlfn.TEXTSPLIT(F505,{",",";"})),,5)</f>
        <v>Pesticide regulation</v>
      </c>
      <c r="L505" s="2" t="str">
        <v>revoked tolerances</v>
      </c>
      <c r="M505" s="2" t="str">
        <v>child development</v>
      </c>
      <c r="N505" s="2" t="str">
        <v>buffer zones</v>
      </c>
      <c r="O505" s="2" t="str">
        <v>organic</v>
      </c>
      <c r="P505" s="2" t="s">
        <v>9</v>
      </c>
      <c r="Q505" s="2" t="s">
        <v>10</v>
      </c>
    </row>
    <row r="506" spans="1:17" x14ac:dyDescent="0.35">
      <c r="A506" s="2" t="s">
        <v>5884</v>
      </c>
      <c r="B506" s="2" t="s">
        <v>2535</v>
      </c>
      <c r="C506" s="2" t="s">
        <v>2536</v>
      </c>
      <c r="D506" s="2">
        <v>2016</v>
      </c>
      <c r="E506" s="2" t="s">
        <v>2537</v>
      </c>
      <c r="F506" s="2" t="s">
        <v>2538</v>
      </c>
      <c r="G506" s="2" t="s">
        <v>2539</v>
      </c>
      <c r="H506" s="2" t="s">
        <v>2364</v>
      </c>
      <c r="I506" s="2" t="str" cm="1">
        <f t="array" ref="I506">H506 &amp; _xlfn.REGEXEXTRACT(G506,"^[^_]+_\d{4}") &amp; ".pdf"</f>
        <v>https://www.ocf.berkeley.edu/~pkmendez/envsci/projects/2016final/UrsoT_2016.pdf</v>
      </c>
      <c r="J506" s="1" t="str">
        <f t="shared" si="8"/>
        <v>https://www.ocf.berkeley.edu/~pkmendez/envsci/projects/2016final/UrsoT_2016.pdf</v>
      </c>
      <c r="K506" s="2" t="str" cm="1">
        <f t="array" ref="K506:O506">_xlfn.TAKE(TRIM(_xlfn.TEXTSPLIT(F506,{",",";"})),,5)</f>
        <v>climate penalty</v>
      </c>
      <c r="L506" s="2" t="str">
        <v>temperature</v>
      </c>
      <c r="M506" s="2" t="str">
        <v>air pollution</v>
      </c>
      <c r="N506" s="2" t="str">
        <v>asthma</v>
      </c>
      <c r="O506" s="2" t="str">
        <v>San Joaquin Valley</v>
      </c>
      <c r="P506" s="2" t="s">
        <v>9</v>
      </c>
      <c r="Q506" s="2" t="s">
        <v>10</v>
      </c>
    </row>
    <row r="507" spans="1:17" x14ac:dyDescent="0.35">
      <c r="A507" s="2" t="s">
        <v>5884</v>
      </c>
      <c r="B507" s="2" t="s">
        <v>2540</v>
      </c>
      <c r="C507" s="2" t="s">
        <v>2541</v>
      </c>
      <c r="D507" s="2">
        <v>2016</v>
      </c>
      <c r="E507" s="2" t="s">
        <v>5882</v>
      </c>
      <c r="G507" s="2" t="s">
        <v>2542</v>
      </c>
      <c r="H507" s="2" t="s">
        <v>2364</v>
      </c>
      <c r="I507" s="2" t="str" cm="1">
        <f t="array" ref="I507">H507 &amp; _xlfn.REGEXEXTRACT(G507,"^[^_]+_\d{4}") &amp; ".pdf"</f>
        <v>https://www.ocf.berkeley.edu/~pkmendez/envsci/projects/2016final/UtzI_2016.pdf</v>
      </c>
      <c r="J507" s="1" t="str">
        <f t="shared" si="8"/>
        <v>https://www.ocf.berkeley.edu/~pkmendez/envsci/projects/2016final/UtzI_2016.pdf</v>
      </c>
      <c r="K507" s="2" t="e" cm="1">
        <f t="array" ref="K507">_xlfn.TAKE(TRIM(_xlfn.TEXTSPLIT(F507,{",",";"})),,5)</f>
        <v>#VALUE!</v>
      </c>
      <c r="P507" s="2" t="s">
        <v>9</v>
      </c>
      <c r="Q507" s="2" t="s">
        <v>10</v>
      </c>
    </row>
    <row r="508" spans="1:17" x14ac:dyDescent="0.35">
      <c r="A508" s="2" t="s">
        <v>5884</v>
      </c>
      <c r="B508" s="2" t="s">
        <v>2543</v>
      </c>
      <c r="C508" s="2" t="s">
        <v>2544</v>
      </c>
      <c r="D508" s="2">
        <v>2016</v>
      </c>
      <c r="E508" s="2" t="s">
        <v>2545</v>
      </c>
      <c r="F508" s="2" t="s">
        <v>2546</v>
      </c>
      <c r="G508" s="2" t="s">
        <v>2547</v>
      </c>
      <c r="H508" s="2" t="s">
        <v>2364</v>
      </c>
      <c r="I508" s="2" t="str" cm="1">
        <f t="array" ref="I508">H508 &amp; _xlfn.REGEXEXTRACT(G508,"^[^_]+_\d{4}") &amp; ".pdf"</f>
        <v>https://www.ocf.berkeley.edu/~pkmendez/envsci/projects/2016final/WhitelockS_2016.pdf</v>
      </c>
      <c r="J508" s="1" t="str">
        <f t="shared" si="8"/>
        <v>https://www.ocf.berkeley.edu/~pkmendez/envsci/projects/2016final/WhitelockS_2016.pdf</v>
      </c>
      <c r="K508" s="2" t="str" cm="1">
        <f t="array" ref="K508:N508">_xlfn.TAKE(TRIM(_xlfn.TEXTSPLIT(F508,{",",";"})),,5)</f>
        <v>Invasive species</v>
      </c>
      <c r="L508" s="2" t="str">
        <v>sudden oak death</v>
      </c>
      <c r="M508" s="2" t="str">
        <v>coast live oaks</v>
      </c>
      <c r="N508" s="2" t="str">
        <v>land management</v>
      </c>
      <c r="P508" s="2" t="s">
        <v>9</v>
      </c>
      <c r="Q508" s="2" t="s">
        <v>10</v>
      </c>
    </row>
    <row r="509" spans="1:17" x14ac:dyDescent="0.35">
      <c r="A509" s="2" t="s">
        <v>5884</v>
      </c>
      <c r="B509" s="2" t="s">
        <v>2548</v>
      </c>
      <c r="C509" s="2" t="s">
        <v>2549</v>
      </c>
      <c r="D509" s="2">
        <v>2016</v>
      </c>
      <c r="E509" s="2" t="s">
        <v>2550</v>
      </c>
      <c r="F509" s="2" t="s">
        <v>2551</v>
      </c>
      <c r="G509" s="2" t="s">
        <v>2552</v>
      </c>
      <c r="H509" s="2" t="s">
        <v>2364</v>
      </c>
      <c r="I509" s="2" t="str" cm="1">
        <f t="array" ref="I509">H509 &amp; _xlfn.REGEXEXTRACT(G509,"^[^_]+_\d{4}") &amp; ".pdf"</f>
        <v>https://www.ocf.berkeley.edu/~pkmendez/envsci/projects/2016final/YangD_2016.pdf</v>
      </c>
      <c r="J509" s="1" t="str">
        <f t="shared" si="8"/>
        <v>https://www.ocf.berkeley.edu/~pkmendez/envsci/projects/2016final/YangD_2016.pdf</v>
      </c>
      <c r="K509" s="2" t="str" cm="1">
        <f t="array" ref="K509:O509">_xlfn.TAKE(TRIM(_xlfn.TEXTSPLIT(F509,{",",";"})),,5)</f>
        <v>environmental economics</v>
      </c>
      <c r="L509" s="2" t="str">
        <v>non-market valuation</v>
      </c>
      <c r="M509" s="2" t="str">
        <v>urban agriculture</v>
      </c>
      <c r="N509" s="2" t="str">
        <v>urban land-use conflict</v>
      </c>
      <c r="O509" s="2" t="str">
        <v>community development</v>
      </c>
      <c r="P509" s="2" t="s">
        <v>9</v>
      </c>
      <c r="Q509" s="2" t="s">
        <v>10</v>
      </c>
    </row>
    <row r="510" spans="1:17" x14ac:dyDescent="0.35">
      <c r="A510" s="2" t="s">
        <v>5884</v>
      </c>
      <c r="B510" s="2" t="s">
        <v>2553</v>
      </c>
      <c r="C510" s="2" t="s">
        <v>2554</v>
      </c>
      <c r="D510" s="2">
        <v>2016</v>
      </c>
      <c r="E510" s="2" t="s">
        <v>2555</v>
      </c>
      <c r="F510" s="2" t="s">
        <v>2556</v>
      </c>
      <c r="G510" s="2" t="s">
        <v>2557</v>
      </c>
      <c r="H510" s="2" t="s">
        <v>2364</v>
      </c>
      <c r="I510" s="2" t="str" cm="1">
        <f t="array" ref="I510">H510 &amp; _xlfn.REGEXEXTRACT(G510,"^[^_]+_\d{4}") &amp; ".pdf"</f>
        <v>https://www.ocf.berkeley.edu/~pkmendez/envsci/projects/2016final/YanS_2016.pdf</v>
      </c>
      <c r="J510" s="1" t="str">
        <f t="shared" si="8"/>
        <v>https://www.ocf.berkeley.edu/~pkmendez/envsci/projects/2016final/YanS_2016.pdf</v>
      </c>
      <c r="K510" s="2" t="str" cm="1">
        <f t="array" ref="K510:O510">_xlfn.TAKE(TRIM(_xlfn.TEXTSPLIT(F510,{",",";"})),,5)</f>
        <v>power dispatch model</v>
      </c>
      <c r="L510" s="2" t="str">
        <v>Jiangsu</v>
      </c>
      <c r="M510" s="2" t="str">
        <v>cost of carbon</v>
      </c>
      <c r="N510" s="2" t="str">
        <v>energy saving power dispatch</v>
      </c>
      <c r="O510" s="2" t="str">
        <v>economic dispatch</v>
      </c>
      <c r="P510" s="2" t="s">
        <v>9</v>
      </c>
      <c r="Q510" s="2" t="s">
        <v>10</v>
      </c>
    </row>
    <row r="511" spans="1:17" x14ac:dyDescent="0.35">
      <c r="A511" s="2" t="s">
        <v>5884</v>
      </c>
      <c r="B511" s="2" t="s">
        <v>2558</v>
      </c>
      <c r="C511" s="2" t="s">
        <v>2559</v>
      </c>
      <c r="D511" s="2">
        <v>2016</v>
      </c>
      <c r="E511" s="2" t="s">
        <v>2560</v>
      </c>
      <c r="F511" s="2" t="s">
        <v>2561</v>
      </c>
      <c r="G511" s="2" t="s">
        <v>2562</v>
      </c>
      <c r="H511" s="2" t="s">
        <v>2364</v>
      </c>
      <c r="I511" s="2" t="str" cm="1">
        <f t="array" ref="I511">H511 &amp; _xlfn.REGEXEXTRACT(G511,"^[^_]+_\d{4}") &amp; ".pdf"</f>
        <v>https://www.ocf.berkeley.edu/~pkmendez/envsci/projects/2016final/ZhakypovaA_2016.pdf</v>
      </c>
      <c r="J511" s="1" t="str">
        <f t="shared" si="8"/>
        <v>https://www.ocf.berkeley.edu/~pkmendez/envsci/projects/2016final/ZhakypovaA_2016.pdf</v>
      </c>
      <c r="K511" s="2" t="str" cm="1">
        <f t="array" ref="K511:O511">_xlfn.TAKE(TRIM(_xlfn.TEXTSPLIT(F511,{",",";"})),,5)</f>
        <v>CSR</v>
      </c>
      <c r="L511" s="2" t="str">
        <v>Social Responsibility</v>
      </c>
      <c r="M511" s="2" t="str">
        <v>Criticism</v>
      </c>
      <c r="N511" s="2" t="str">
        <v>Literature Review</v>
      </c>
      <c r="O511" s="2" t="str">
        <v>Media Content Analysis</v>
      </c>
      <c r="P511" s="2" t="s">
        <v>9</v>
      </c>
      <c r="Q511" s="2" t="s">
        <v>10</v>
      </c>
    </row>
    <row r="512" spans="1:17" x14ac:dyDescent="0.35">
      <c r="A512" s="2" t="s">
        <v>5884</v>
      </c>
      <c r="B512" s="2" t="s">
        <v>2563</v>
      </c>
      <c r="C512" s="2" t="s">
        <v>2564</v>
      </c>
      <c r="D512" s="2">
        <v>2015</v>
      </c>
      <c r="E512" s="2" t="s">
        <v>2565</v>
      </c>
      <c r="F512" s="2" t="s">
        <v>2566</v>
      </c>
      <c r="G512" s="2" t="s">
        <v>2567</v>
      </c>
      <c r="H512" s="2" t="s">
        <v>2568</v>
      </c>
      <c r="I512" s="2" t="str" cm="1">
        <f t="array" ref="I512">H512 &amp; _xlfn.REGEXEXTRACT(G512,"^[^_]+_\d{4}") &amp; ".pdf"</f>
        <v>https://www.ocf.berkeley.edu/~pkmendez/envsci/projects/2015final/BenavidesA_2015.pdf</v>
      </c>
      <c r="J512" s="1" t="str">
        <f t="shared" si="8"/>
        <v>https://www.ocf.berkeley.edu/~pkmendez/envsci/projects/2015final/BenavidesA_2015.pdf</v>
      </c>
      <c r="K512" s="2" t="str" cm="1">
        <f t="array" ref="K512:O512">_xlfn.TAKE(TRIM(_xlfn.TEXTSPLIT(F512,{",",";"})),,5)</f>
        <v>Chinese Brake Fern</v>
      </c>
      <c r="L512" s="2" t="str">
        <v>hyperaccumulator</v>
      </c>
      <c r="M512" s="2" t="str">
        <v>bioremediation</v>
      </c>
      <c r="N512" s="2" t="str">
        <v>phytoextraction</v>
      </c>
      <c r="O512" s="2" t="str">
        <v>life cycle</v>
      </c>
      <c r="P512" s="2" t="s">
        <v>9</v>
      </c>
      <c r="Q512" s="2" t="s">
        <v>10</v>
      </c>
    </row>
    <row r="513" spans="1:17" x14ac:dyDescent="0.35">
      <c r="A513" s="2" t="s">
        <v>5884</v>
      </c>
      <c r="B513" s="2" t="s">
        <v>2569</v>
      </c>
      <c r="C513" s="2" t="s">
        <v>2570</v>
      </c>
      <c r="D513" s="2">
        <v>2015</v>
      </c>
      <c r="E513" s="2" t="s">
        <v>2571</v>
      </c>
      <c r="F513" s="2" t="s">
        <v>2572</v>
      </c>
      <c r="G513" s="2" t="s">
        <v>2573</v>
      </c>
      <c r="H513" s="2" t="s">
        <v>2568</v>
      </c>
      <c r="I513" s="2" t="str" cm="1">
        <f t="array" ref="I513">H513 &amp; _xlfn.REGEXEXTRACT(G513,"^[^_]+_\d{4}") &amp; ".pdf"</f>
        <v>https://www.ocf.berkeley.edu/~pkmendez/envsci/projects/2015final/BhattS_2015.pdf</v>
      </c>
      <c r="J513" s="1" t="str">
        <f t="shared" si="8"/>
        <v>https://www.ocf.berkeley.edu/~pkmendez/envsci/projects/2015final/BhattS_2015.pdf</v>
      </c>
      <c r="K513" s="2" t="str" cm="1">
        <f t="array" ref="K513:O513">_xlfn.TAKE(TRIM(_xlfn.TEXTSPLIT(F513,{",",";"})),,5)</f>
        <v>e-waste</v>
      </c>
      <c r="L513" s="2" t="str">
        <v>University of California Berkeley</v>
      </c>
      <c r="M513" s="2" t="str">
        <v>sustainable waste management</v>
      </c>
      <c r="N513" s="2" t="str">
        <v>campus sustainability</v>
      </c>
      <c r="O513" s="2" t="str">
        <v>libraries</v>
      </c>
      <c r="P513" s="2" t="s">
        <v>9</v>
      </c>
      <c r="Q513" s="2" t="s">
        <v>10</v>
      </c>
    </row>
    <row r="514" spans="1:17" x14ac:dyDescent="0.35">
      <c r="A514" s="2" t="s">
        <v>5884</v>
      </c>
      <c r="B514" s="2" t="s">
        <v>2574</v>
      </c>
      <c r="C514" s="2" t="s">
        <v>2575</v>
      </c>
      <c r="D514" s="2">
        <v>2015</v>
      </c>
      <c r="E514" s="2" t="s">
        <v>2576</v>
      </c>
      <c r="F514" s="2" t="s">
        <v>2577</v>
      </c>
      <c r="G514" s="2" t="s">
        <v>2578</v>
      </c>
      <c r="H514" s="2" t="s">
        <v>2568</v>
      </c>
      <c r="I514" s="2" t="str" cm="1">
        <f t="array" ref="I514">H514 &amp; _xlfn.REGEXEXTRACT(G514,"^[^_]+_\d{4}") &amp; ".pdf"</f>
        <v>https://www.ocf.berkeley.edu/~pkmendez/envsci/projects/2015final/ClusserathC_2015.pdf</v>
      </c>
      <c r="J514" s="1" t="str">
        <f t="shared" si="8"/>
        <v>https://www.ocf.berkeley.edu/~pkmendez/envsci/projects/2015final/ClusserathC_2015.pdf</v>
      </c>
      <c r="K514" s="2" t="str" cm="1">
        <f t="array" ref="K514:O514">_xlfn.TAKE(TRIM(_xlfn.TEXTSPLIT(F514,{",",";"})),,5)</f>
        <v>science education</v>
      </c>
      <c r="L514" s="2" t="str">
        <v>classroom pedagogy</v>
      </c>
      <c r="M514" s="2" t="str">
        <v>standardized testing</v>
      </c>
      <c r="N514" s="2" t="str">
        <v>Advanced Placement</v>
      </c>
      <c r="O514" s="2" t="str">
        <v>environmental education</v>
      </c>
      <c r="P514" s="2" t="s">
        <v>9</v>
      </c>
      <c r="Q514" s="2" t="s">
        <v>10</v>
      </c>
    </row>
    <row r="515" spans="1:17" x14ac:dyDescent="0.35">
      <c r="A515" s="2" t="s">
        <v>5884</v>
      </c>
      <c r="B515" s="2" t="s">
        <v>2579</v>
      </c>
      <c r="C515" s="2" t="s">
        <v>2580</v>
      </c>
      <c r="D515" s="2">
        <v>2015</v>
      </c>
      <c r="E515" s="2" t="s">
        <v>2581</v>
      </c>
      <c r="F515" s="2" t="s">
        <v>2582</v>
      </c>
      <c r="G515" s="2" t="s">
        <v>2583</v>
      </c>
      <c r="H515" s="2" t="s">
        <v>2568</v>
      </c>
      <c r="I515" s="2" t="str" cm="1">
        <f t="array" ref="I515">H515 &amp; _xlfn.REGEXEXTRACT(G515,"^[^_]+_\d{4}") &amp; ".pdf"</f>
        <v>https://www.ocf.berkeley.edu/~pkmendez/envsci/projects/2015final/DAddarioL_2015.pdf</v>
      </c>
      <c r="J515" s="1" t="str">
        <f t="shared" ref="J515:J578" si="9">HYPERLINK(I515, I515)</f>
        <v>https://www.ocf.berkeley.edu/~pkmendez/envsci/projects/2015final/DAddarioL_2015.pdf</v>
      </c>
      <c r="K515" s="2" t="str" cm="1">
        <f t="array" ref="K515:O515">_xlfn.TAKE(TRIM(_xlfn.TEXTSPLIT(F515,{",",";"})),,5)</f>
        <v>participatory science</v>
      </c>
      <c r="L515" s="2" t="str">
        <v>fenceline community</v>
      </c>
      <c r="M515" s="2" t="str">
        <v>steel casting</v>
      </c>
      <c r="N515" s="2" t="str">
        <v>volatile organic compounds</v>
      </c>
      <c r="O515" s="2" t="str">
        <v>environmental health risk</v>
      </c>
      <c r="P515" s="2" t="s">
        <v>9</v>
      </c>
      <c r="Q515" s="2" t="s">
        <v>10</v>
      </c>
    </row>
    <row r="516" spans="1:17" x14ac:dyDescent="0.35">
      <c r="A516" s="2" t="s">
        <v>5884</v>
      </c>
      <c r="B516" s="2" t="s">
        <v>2584</v>
      </c>
      <c r="C516" s="2" t="s">
        <v>2585</v>
      </c>
      <c r="D516" s="2">
        <v>2015</v>
      </c>
      <c r="E516" s="2" t="s">
        <v>2586</v>
      </c>
      <c r="F516" s="2" t="s">
        <v>2587</v>
      </c>
      <c r="G516" s="2" t="s">
        <v>2588</v>
      </c>
      <c r="H516" s="2" t="s">
        <v>2568</v>
      </c>
      <c r="I516" s="2" t="str" cm="1">
        <f t="array" ref="I516">H516 &amp; _xlfn.REGEXEXTRACT(G516,"^[^_]+_\d{4}") &amp; ".pdf"</f>
        <v>https://www.ocf.berkeley.edu/~pkmendez/envsci/projects/2015final/DeAmaralF_2015.pdf</v>
      </c>
      <c r="J516" s="1" t="str">
        <f t="shared" si="9"/>
        <v>https://www.ocf.berkeley.edu/~pkmendez/envsci/projects/2015final/DeAmaralF_2015.pdf</v>
      </c>
      <c r="K516" s="2" t="str" cm="1">
        <f t="array" ref="K516:O516">_xlfn.TAKE(TRIM(_xlfn.TEXTSPLIT(F516,{",",";"})),,5)</f>
        <v>manzanita</v>
      </c>
      <c r="L516" s="2" t="str">
        <v>fire suppression</v>
      </c>
      <c r="M516" s="2" t="str">
        <v>ecosystem dynamics</v>
      </c>
      <c r="N516" s="2" t="str">
        <v>Quercus agrifolia</v>
      </c>
      <c r="O516" s="2" t="str">
        <v>California chaparral</v>
      </c>
      <c r="P516" s="2" t="s">
        <v>9</v>
      </c>
      <c r="Q516" s="2" t="s">
        <v>10</v>
      </c>
    </row>
    <row r="517" spans="1:17" x14ac:dyDescent="0.35">
      <c r="A517" s="2" t="s">
        <v>5884</v>
      </c>
      <c r="B517" s="2" t="s">
        <v>2589</v>
      </c>
      <c r="C517" s="2" t="s">
        <v>2590</v>
      </c>
      <c r="D517" s="2">
        <v>2015</v>
      </c>
      <c r="E517" s="2" t="s">
        <v>2591</v>
      </c>
      <c r="F517" s="2" t="s">
        <v>2592</v>
      </c>
      <c r="G517" s="2" t="s">
        <v>2593</v>
      </c>
      <c r="H517" s="2" t="s">
        <v>2568</v>
      </c>
      <c r="I517" s="2" t="str" cm="1">
        <f t="array" ref="I517">H517 &amp; _xlfn.REGEXEXTRACT(G517,"^[^_]+_\d{4}") &amp; ".pdf"</f>
        <v>https://www.ocf.berkeley.edu/~pkmendez/envsci/projects/2015final/DillardD_2015.pdf</v>
      </c>
      <c r="J517" s="1" t="str">
        <f t="shared" si="9"/>
        <v>https://www.ocf.berkeley.edu/~pkmendez/envsci/projects/2015final/DillardD_2015.pdf</v>
      </c>
      <c r="K517" s="2" t="str" cm="1">
        <f t="array" ref="K517:O517">_xlfn.TAKE(TRIM(_xlfn.TEXTSPLIT(F517,{",",";"})),,5)</f>
        <v>nitrogen cycling</v>
      </c>
      <c r="L517" s="2" t="str">
        <v>water quality</v>
      </c>
      <c r="M517" s="2" t="str">
        <v>multivariable regression</v>
      </c>
      <c r="N517" s="2" t="str">
        <v>solute chemistry</v>
      </c>
      <c r="O517" s="2" t="str">
        <v>freshwater ecology</v>
      </c>
      <c r="P517" s="2" t="s">
        <v>9</v>
      </c>
      <c r="Q517" s="2" t="s">
        <v>10</v>
      </c>
    </row>
    <row r="518" spans="1:17" x14ac:dyDescent="0.35">
      <c r="A518" s="2" t="s">
        <v>5884</v>
      </c>
      <c r="B518" s="2" t="s">
        <v>2594</v>
      </c>
      <c r="C518" s="2" t="s">
        <v>2595</v>
      </c>
      <c r="D518" s="2">
        <v>2015</v>
      </c>
      <c r="E518" s="2" t="s">
        <v>2596</v>
      </c>
      <c r="F518" s="2" t="s">
        <v>2597</v>
      </c>
      <c r="G518" s="2" t="s">
        <v>2598</v>
      </c>
      <c r="H518" s="2" t="s">
        <v>2568</v>
      </c>
      <c r="I518" s="2" t="str" cm="1">
        <f t="array" ref="I518">H518 &amp; _xlfn.REGEXEXTRACT(G518,"^[^_]+_\d{4}") &amp; ".pdf"</f>
        <v>https://www.ocf.berkeley.edu/~pkmendez/envsci/projects/2015final/EhrhardtA_2015.pdf</v>
      </c>
      <c r="J518" s="1" t="str">
        <f t="shared" si="9"/>
        <v>https://www.ocf.berkeley.edu/~pkmendez/envsci/projects/2015final/EhrhardtA_2015.pdf</v>
      </c>
      <c r="K518" s="2" t="str" cm="1">
        <f t="array" ref="K518:O518">_xlfn.TAKE(TRIM(_xlfn.TEXTSPLIT(F518,{",",";"})),,5)</f>
        <v>urban greening</v>
      </c>
      <c r="L518" s="2" t="str">
        <v>public health</v>
      </c>
      <c r="M518" s="2" t="str">
        <v>water quality</v>
      </c>
      <c r="N518" s="2" t="str">
        <v>environmental justice</v>
      </c>
      <c r="O518" s="2" t="str">
        <v>ArcGIS</v>
      </c>
      <c r="P518" s="2" t="s">
        <v>9</v>
      </c>
      <c r="Q518" s="2" t="s">
        <v>10</v>
      </c>
    </row>
    <row r="519" spans="1:17" x14ac:dyDescent="0.35">
      <c r="A519" s="2" t="s">
        <v>5884</v>
      </c>
      <c r="B519" s="2" t="s">
        <v>2599</v>
      </c>
      <c r="C519" s="2" t="s">
        <v>2600</v>
      </c>
      <c r="D519" s="2">
        <v>2015</v>
      </c>
      <c r="E519" s="2" t="s">
        <v>2601</v>
      </c>
      <c r="F519" s="2" t="s">
        <v>2602</v>
      </c>
      <c r="G519" s="2" t="s">
        <v>2603</v>
      </c>
      <c r="H519" s="2" t="s">
        <v>2568</v>
      </c>
      <c r="I519" s="2" t="str" cm="1">
        <f t="array" ref="I519">H519 &amp; _xlfn.REGEXEXTRACT(G519,"^[^_]+_\d{4}") &amp; ".pdf"</f>
        <v>https://www.ocf.berkeley.edu/~pkmendez/envsci/projects/2015final/FriedmanM_2015.pdf</v>
      </c>
      <c r="J519" s="1" t="str">
        <f t="shared" si="9"/>
        <v>https://www.ocf.berkeley.edu/~pkmendez/envsci/projects/2015final/FriedmanM_2015.pdf</v>
      </c>
      <c r="K519" s="2" t="str" cm="1">
        <f t="array" ref="K519:O519">_xlfn.TAKE(TRIM(_xlfn.TEXTSPLIT(F519,{",",";"})),,5)</f>
        <v>Normalized Difference Vegetation Index</v>
      </c>
      <c r="L519" s="2" t="str">
        <v>Thermal Intensity</v>
      </c>
      <c r="M519" s="2" t="str">
        <v>Urban Planning</v>
      </c>
      <c r="N519" s="2" t="str">
        <v>GIS</v>
      </c>
      <c r="O519" s="2" t="str">
        <v>Landsat</v>
      </c>
      <c r="P519" s="2" t="s">
        <v>9</v>
      </c>
      <c r="Q519" s="2" t="s">
        <v>10</v>
      </c>
    </row>
    <row r="520" spans="1:17" x14ac:dyDescent="0.35">
      <c r="A520" s="2" t="s">
        <v>5884</v>
      </c>
      <c r="B520" s="2" t="s">
        <v>2604</v>
      </c>
      <c r="C520" s="2" t="s">
        <v>2605</v>
      </c>
      <c r="D520" s="2">
        <v>2015</v>
      </c>
      <c r="E520" s="2" t="s">
        <v>2606</v>
      </c>
      <c r="F520" s="2" t="s">
        <v>2607</v>
      </c>
      <c r="G520" s="2" t="s">
        <v>2608</v>
      </c>
      <c r="H520" s="2" t="s">
        <v>2568</v>
      </c>
      <c r="I520" s="2" t="str" cm="1">
        <f t="array" ref="I520">H520 &amp; _xlfn.REGEXEXTRACT(G520,"^[^_]+_\d{4}") &amp; ".pdf"</f>
        <v>https://www.ocf.berkeley.edu/~pkmendez/envsci/projects/2015final/GardinerC_2015.pdf</v>
      </c>
      <c r="J520" s="1" t="str">
        <f t="shared" si="9"/>
        <v>https://www.ocf.berkeley.edu/~pkmendez/envsci/projects/2015final/GardinerC_2015.pdf</v>
      </c>
      <c r="K520" s="2" t="str" cm="1">
        <f t="array" ref="K520:O520">_xlfn.TAKE(TRIM(_xlfn.TEXTSPLIT(F520,{",",";"})),,5)</f>
        <v>California annual grasslands</v>
      </c>
      <c r="L520" s="2" t="str">
        <v>carbon sequestration</v>
      </c>
      <c r="M520" s="2" t="str">
        <v>compost</v>
      </c>
      <c r="N520" s="2" t="str">
        <v>soil moisture</v>
      </c>
      <c r="O520" s="2" t="str">
        <v>nitrogen availability</v>
      </c>
      <c r="P520" s="2" t="s">
        <v>9</v>
      </c>
      <c r="Q520" s="2" t="s">
        <v>10</v>
      </c>
    </row>
    <row r="521" spans="1:17" x14ac:dyDescent="0.35">
      <c r="A521" s="2" t="s">
        <v>5884</v>
      </c>
      <c r="B521" s="2" t="s">
        <v>2609</v>
      </c>
      <c r="C521" s="2" t="s">
        <v>2610</v>
      </c>
      <c r="D521" s="2">
        <v>2015</v>
      </c>
      <c r="E521" s="2" t="s">
        <v>2611</v>
      </c>
      <c r="F521" s="2" t="s">
        <v>2612</v>
      </c>
      <c r="G521" s="2" t="s">
        <v>2613</v>
      </c>
      <c r="H521" s="2" t="s">
        <v>2568</v>
      </c>
      <c r="I521" s="2" t="str" cm="1">
        <f t="array" ref="I521">H521 &amp; _xlfn.REGEXEXTRACT(G521,"^[^_]+_\d{4}") &amp; ".pdf"</f>
        <v>https://www.ocf.berkeley.edu/~pkmendez/envsci/projects/2015final/GerlachS_2015.pdf</v>
      </c>
      <c r="J521" s="1" t="str">
        <f t="shared" si="9"/>
        <v>https://www.ocf.berkeley.edu/~pkmendez/envsci/projects/2015final/GerlachS_2015.pdf</v>
      </c>
      <c r="K521" s="2" t="str" cm="1">
        <f t="array" ref="K521:O521">_xlfn.TAKE(TRIM(_xlfn.TEXTSPLIT(F521,{",",";"})),,5)</f>
        <v>Odocoileus virginianus</v>
      </c>
      <c r="L521" s="2" t="str">
        <v>wildlife management</v>
      </c>
      <c r="M521" s="2" t="str">
        <v>range ecology</v>
      </c>
      <c r="N521" s="2" t="str">
        <v>rangeland management</v>
      </c>
      <c r="O521" s="2" t="str">
        <v>hunting</v>
      </c>
      <c r="P521" s="2" t="s">
        <v>9</v>
      </c>
      <c r="Q521" s="2" t="s">
        <v>10</v>
      </c>
    </row>
    <row r="522" spans="1:17" x14ac:dyDescent="0.35">
      <c r="A522" s="2" t="s">
        <v>5884</v>
      </c>
      <c r="B522" s="2" t="s">
        <v>2614</v>
      </c>
      <c r="C522" s="2" t="s">
        <v>2615</v>
      </c>
      <c r="D522" s="2">
        <v>2015</v>
      </c>
      <c r="E522" s="2" t="s">
        <v>2616</v>
      </c>
      <c r="F522" s="2" t="s">
        <v>2617</v>
      </c>
      <c r="G522" s="2" t="s">
        <v>2618</v>
      </c>
      <c r="H522" s="2" t="s">
        <v>2568</v>
      </c>
      <c r="I522" s="2" t="str" cm="1">
        <f t="array" ref="I522">H522 &amp; _xlfn.REGEXEXTRACT(G522,"^[^_]+_\d{4}") &amp; ".pdf"</f>
        <v>https://www.ocf.berkeley.edu/~pkmendez/envsci/projects/2015final/HardingB_2015.pdf</v>
      </c>
      <c r="J522" s="1" t="str">
        <f t="shared" si="9"/>
        <v>https://www.ocf.berkeley.edu/~pkmendez/envsci/projects/2015final/HardingB_2015.pdf</v>
      </c>
      <c r="K522" s="2" t="str" cm="1">
        <f t="array" ref="K522:O522">_xlfn.TAKE(TRIM(_xlfn.TEXTSPLIT(F522,{",",";"})),,5)</f>
        <v>Urban/Wildland Interface</v>
      </c>
      <c r="L522" s="2" t="str">
        <v>Species Richness</v>
      </c>
      <c r="M522" s="2" t="str">
        <v>Ecosystem</v>
      </c>
      <c r="N522" s="2" t="str">
        <v>Transition zone</v>
      </c>
      <c r="O522" s="2" t="str">
        <v>Species Accumulation</v>
      </c>
      <c r="P522" s="2" t="s">
        <v>9</v>
      </c>
      <c r="Q522" s="2" t="s">
        <v>10</v>
      </c>
    </row>
    <row r="523" spans="1:17" x14ac:dyDescent="0.35">
      <c r="A523" s="2" t="s">
        <v>5884</v>
      </c>
      <c r="B523" s="2" t="s">
        <v>2619</v>
      </c>
      <c r="C523" s="2" t="s">
        <v>2620</v>
      </c>
      <c r="D523" s="2">
        <v>2015</v>
      </c>
      <c r="E523" s="2" t="s">
        <v>2621</v>
      </c>
      <c r="F523" s="2" t="s">
        <v>2622</v>
      </c>
      <c r="G523" s="2" t="s">
        <v>2623</v>
      </c>
      <c r="H523" s="2" t="s">
        <v>2568</v>
      </c>
      <c r="I523" s="2" t="str" cm="1">
        <f t="array" ref="I523">H523 &amp; _xlfn.REGEXEXTRACT(G523,"^[^_]+_\d{4}") &amp; ".pdf"</f>
        <v>https://www.ocf.berkeley.edu/~pkmendez/envsci/projects/2015final/HoC_2015.pdf</v>
      </c>
      <c r="J523" s="1" t="str">
        <f t="shared" si="9"/>
        <v>https://www.ocf.berkeley.edu/~pkmendez/envsci/projects/2015final/HoC_2015.pdf</v>
      </c>
      <c r="K523" s="2" t="str" cm="1">
        <f t="array" ref="K523:O523">_xlfn.TAKE(TRIM(_xlfn.TEXTSPLIT(F523,{",",";"})),,5)</f>
        <v>urban creek riparian zone</v>
      </c>
      <c r="L523" s="2" t="str">
        <v>restoration management</v>
      </c>
      <c r="M523" s="2" t="str">
        <v>invasive species</v>
      </c>
      <c r="N523" s="2" t="str">
        <v>native plant community</v>
      </c>
      <c r="O523" s="2" t="str">
        <v>physical habitat</v>
      </c>
      <c r="P523" s="2" t="s">
        <v>9</v>
      </c>
      <c r="Q523" s="2" t="s">
        <v>10</v>
      </c>
    </row>
    <row r="524" spans="1:17" x14ac:dyDescent="0.35">
      <c r="A524" s="2" t="s">
        <v>5884</v>
      </c>
      <c r="B524" s="2" t="s">
        <v>2624</v>
      </c>
      <c r="C524" s="2" t="s">
        <v>2625</v>
      </c>
      <c r="D524" s="2">
        <v>2015</v>
      </c>
      <c r="E524" s="2" t="s">
        <v>2626</v>
      </c>
      <c r="F524" s="2" t="s">
        <v>2627</v>
      </c>
      <c r="G524" s="2" t="s">
        <v>2628</v>
      </c>
      <c r="H524" s="2" t="s">
        <v>2568</v>
      </c>
      <c r="I524" s="2" t="str" cm="1">
        <f t="array" ref="I524">H524 &amp; _xlfn.REGEXEXTRACT(G524,"^[^_]+_\d{4}") &amp; ".pdf"</f>
        <v>https://www.ocf.berkeley.edu/~pkmendez/envsci/projects/2015final/JohnsonG_2015.pdf</v>
      </c>
      <c r="J524" s="1" t="str">
        <f t="shared" si="9"/>
        <v>https://www.ocf.berkeley.edu/~pkmendez/envsci/projects/2015final/JohnsonG_2015.pdf</v>
      </c>
      <c r="K524" s="2" t="str" cm="1">
        <f t="array" ref="K524:O524">_xlfn.TAKE(TRIM(_xlfn.TEXTSPLIT(F524,{",",";"})),,5)</f>
        <v>Scheduling</v>
      </c>
      <c r="L524" s="2" t="str">
        <v>optimization</v>
      </c>
      <c r="M524" s="2" t="str">
        <v>baseball</v>
      </c>
      <c r="N524" s="2" t="str">
        <v>traveling salesperson problem</v>
      </c>
      <c r="O524" s="2" t="str">
        <v>Excel Solver</v>
      </c>
      <c r="P524" s="2" t="s">
        <v>9</v>
      </c>
      <c r="Q524" s="2" t="s">
        <v>10</v>
      </c>
    </row>
    <row r="525" spans="1:17" x14ac:dyDescent="0.35">
      <c r="A525" s="2" t="s">
        <v>5884</v>
      </c>
      <c r="B525" s="2" t="s">
        <v>2629</v>
      </c>
      <c r="C525" s="2" t="s">
        <v>2630</v>
      </c>
      <c r="D525" s="2">
        <v>2015</v>
      </c>
      <c r="E525" s="2" t="s">
        <v>2631</v>
      </c>
      <c r="F525" s="2" t="s">
        <v>2632</v>
      </c>
      <c r="G525" s="2" t="s">
        <v>2633</v>
      </c>
      <c r="H525" s="2" t="s">
        <v>2568</v>
      </c>
      <c r="I525" s="2" t="str" cm="1">
        <f t="array" ref="I525">H525 &amp; _xlfn.REGEXEXTRACT(G525,"^[^_]+_\d{4}") &amp; ".pdf"</f>
        <v>https://www.ocf.berkeley.edu/~pkmendez/envsci/projects/2015final/KingD_2015.pdf</v>
      </c>
      <c r="J525" s="1" t="str">
        <f t="shared" si="9"/>
        <v>https://www.ocf.berkeley.edu/~pkmendez/envsci/projects/2015final/KingD_2015.pdf</v>
      </c>
      <c r="K525" s="2" t="str" cm="1">
        <f t="array" ref="K525:O525">_xlfn.TAKE(TRIM(_xlfn.TEXTSPLIT(F525,{",",";"})),,5)</f>
        <v>invasion ecology</v>
      </c>
      <c r="L525" s="2" t="str">
        <v>enemy-release hypothesis</v>
      </c>
      <c r="M525" s="2" t="str">
        <v>California grasslands</v>
      </c>
      <c r="N525" s="2" t="str">
        <v>plant-soil interactions</v>
      </c>
      <c r="O525" s="2" t="str">
        <v>greenhouse experiment</v>
      </c>
      <c r="P525" s="2" t="s">
        <v>9</v>
      </c>
      <c r="Q525" s="2" t="s">
        <v>10</v>
      </c>
    </row>
    <row r="526" spans="1:17" x14ac:dyDescent="0.35">
      <c r="A526" s="2" t="s">
        <v>5884</v>
      </c>
      <c r="B526" s="2" t="s">
        <v>2634</v>
      </c>
      <c r="C526" s="2" t="s">
        <v>2635</v>
      </c>
      <c r="D526" s="2">
        <v>2015</v>
      </c>
      <c r="E526" s="2" t="s">
        <v>2636</v>
      </c>
      <c r="F526" s="2" t="s">
        <v>2637</v>
      </c>
      <c r="G526" s="2" t="s">
        <v>2638</v>
      </c>
      <c r="H526" s="2" t="s">
        <v>2568</v>
      </c>
      <c r="I526" s="2" t="str" cm="1">
        <f t="array" ref="I526">H526 &amp; _xlfn.REGEXEXTRACT(G526,"^[^_]+_\d{4}") &amp; ".pdf"</f>
        <v>https://www.ocf.berkeley.edu/~pkmendez/envsci/projects/2015final/LazoR_2015.pdf</v>
      </c>
      <c r="J526" s="1" t="str">
        <f t="shared" si="9"/>
        <v>https://www.ocf.berkeley.edu/~pkmendez/envsci/projects/2015final/LazoR_2015.pdf</v>
      </c>
      <c r="K526" s="2" t="str" cm="1">
        <f t="array" ref="K526:O526">_xlfn.TAKE(TRIM(_xlfn.TEXTSPLIT(F526,{",",";"})),,5)</f>
        <v>Food Safety Modernization Act</v>
      </c>
      <c r="L526" s="2" t="str">
        <v>pesticides</v>
      </c>
      <c r="M526" s="2" t="str">
        <v>perception</v>
      </c>
      <c r="N526" s="2" t="str">
        <v>consumers</v>
      </c>
      <c r="O526" s="2" t="str">
        <v>farmer’s market</v>
      </c>
      <c r="P526" s="2" t="s">
        <v>9</v>
      </c>
      <c r="Q526" s="2" t="s">
        <v>10</v>
      </c>
    </row>
    <row r="527" spans="1:17" x14ac:dyDescent="0.35">
      <c r="A527" s="2" t="s">
        <v>5884</v>
      </c>
      <c r="B527" s="2" t="s">
        <v>2639</v>
      </c>
      <c r="C527" s="2" t="s">
        <v>2640</v>
      </c>
      <c r="D527" s="2">
        <v>2015</v>
      </c>
      <c r="E527" s="2" t="s">
        <v>2641</v>
      </c>
      <c r="F527" s="2" t="s">
        <v>2642</v>
      </c>
      <c r="G527" s="2" t="s">
        <v>2643</v>
      </c>
      <c r="H527" s="2" t="s">
        <v>2568</v>
      </c>
      <c r="I527" s="2" t="str" cm="1">
        <f t="array" ref="I527">H527 &amp; _xlfn.REGEXEXTRACT(G527,"^[^_]+_\d{4}") &amp; ".pdf"</f>
        <v>https://www.ocf.berkeley.edu/~pkmendez/envsci/projects/2015final/LiL_2015.pdf</v>
      </c>
      <c r="J527" s="1" t="str">
        <f t="shared" si="9"/>
        <v>https://www.ocf.berkeley.edu/~pkmendez/envsci/projects/2015final/LiL_2015.pdf</v>
      </c>
      <c r="K527" s="2" t="str" cm="1">
        <f t="array" ref="K527:O527">_xlfn.TAKE(TRIM(_xlfn.TEXTSPLIT(F527,{",",";"})),,5)</f>
        <v>emergency response</v>
      </c>
      <c r="L527" s="2" t="str">
        <v>discourse</v>
      </c>
      <c r="M527" s="2" t="str">
        <v>news media</v>
      </c>
      <c r="N527" s="2" t="str">
        <v>Gulf of Mexico</v>
      </c>
      <c r="O527" s="2" t="str">
        <v>oil spill policy</v>
      </c>
      <c r="P527" s="2" t="s">
        <v>9</v>
      </c>
      <c r="Q527" s="2" t="s">
        <v>10</v>
      </c>
    </row>
    <row r="528" spans="1:17" x14ac:dyDescent="0.35">
      <c r="A528" s="2" t="s">
        <v>5884</v>
      </c>
      <c r="B528" s="2" t="s">
        <v>2644</v>
      </c>
      <c r="C528" s="2" t="s">
        <v>2645</v>
      </c>
      <c r="D528" s="2">
        <v>2015</v>
      </c>
      <c r="E528" s="2" t="s">
        <v>2646</v>
      </c>
      <c r="F528" s="2" t="s">
        <v>2647</v>
      </c>
      <c r="G528" s="2" t="s">
        <v>2648</v>
      </c>
      <c r="H528" s="2" t="s">
        <v>2568</v>
      </c>
      <c r="I528" s="2" t="str" cm="1">
        <f t="array" ref="I528">H528 &amp; _xlfn.REGEXEXTRACT(G528,"^[^_]+_\d{4}") &amp; ".pdf"</f>
        <v>https://www.ocf.berkeley.edu/~pkmendez/envsci/projects/2015final/MadanR_2015.pdf</v>
      </c>
      <c r="J528" s="1" t="str">
        <f t="shared" si="9"/>
        <v>https://www.ocf.berkeley.edu/~pkmendez/envsci/projects/2015final/MadanR_2015.pdf</v>
      </c>
      <c r="K528" s="2" t="str" cm="1">
        <f t="array" ref="K528:O528">_xlfn.TAKE(TRIM(_xlfn.TEXTSPLIT(F528,{",",";"})),,5)</f>
        <v>introduced species</v>
      </c>
      <c r="L528" s="2" t="str">
        <v>Breeding Bird Survey</v>
      </c>
      <c r="M528" s="2" t="str">
        <v>zero inflated poisson mixed model</v>
      </c>
      <c r="N528" s="2" t="str">
        <v>land cover change</v>
      </c>
      <c r="O528" s="2" t="str">
        <v>ArcGIS</v>
      </c>
      <c r="P528" s="2" t="s">
        <v>9</v>
      </c>
      <c r="Q528" s="2" t="s">
        <v>10</v>
      </c>
    </row>
    <row r="529" spans="1:17" x14ac:dyDescent="0.35">
      <c r="A529" s="2" t="s">
        <v>5884</v>
      </c>
      <c r="B529" s="2" t="s">
        <v>2649</v>
      </c>
      <c r="C529" s="2" t="s">
        <v>2650</v>
      </c>
      <c r="D529" s="2">
        <v>2015</v>
      </c>
      <c r="E529" s="2" t="s">
        <v>2651</v>
      </c>
      <c r="F529" s="2" t="s">
        <v>2652</v>
      </c>
      <c r="G529" s="2" t="s">
        <v>2653</v>
      </c>
      <c r="H529" s="2" t="s">
        <v>2568</v>
      </c>
      <c r="I529" s="2" t="str" cm="1">
        <f t="array" ref="I529">H529 &amp; _xlfn.REGEXEXTRACT(G529,"^[^_]+_\d{4}") &amp; ".pdf"</f>
        <v>https://www.ocf.berkeley.edu/~pkmendez/envsci/projects/2015final/ManginJ_2015.pdf</v>
      </c>
      <c r="J529" s="1" t="str">
        <f t="shared" si="9"/>
        <v>https://www.ocf.berkeley.edu/~pkmendez/envsci/projects/2015final/ManginJ_2015.pdf</v>
      </c>
      <c r="K529" s="2" t="str" cm="1">
        <f t="array" ref="K529:O529">_xlfn.TAKE(TRIM(_xlfn.TEXTSPLIT(F529,{",",";"})),,5)</f>
        <v>Urban agriculture</v>
      </c>
      <c r="L529" s="2" t="str">
        <v>food systems</v>
      </c>
      <c r="M529" s="2" t="str">
        <v>sustainability indicators</v>
      </c>
      <c r="N529" s="2" t="str">
        <v>Berkeley Public School Gardening and Cooking Program (GCP)</v>
      </c>
      <c r="O529" s="2" t="str">
        <v>school garden programs</v>
      </c>
      <c r="P529" s="2" t="s">
        <v>9</v>
      </c>
      <c r="Q529" s="2" t="s">
        <v>10</v>
      </c>
    </row>
    <row r="530" spans="1:17" x14ac:dyDescent="0.35">
      <c r="A530" s="2" t="s">
        <v>5884</v>
      </c>
      <c r="B530" s="2" t="s">
        <v>2654</v>
      </c>
      <c r="C530" s="2" t="s">
        <v>2655</v>
      </c>
      <c r="D530" s="2">
        <v>2015</v>
      </c>
      <c r="E530" s="2" t="s">
        <v>2656</v>
      </c>
      <c r="F530" s="2" t="s">
        <v>2657</v>
      </c>
      <c r="G530" s="2" t="s">
        <v>2658</v>
      </c>
      <c r="H530" s="2" t="s">
        <v>2568</v>
      </c>
      <c r="I530" s="2" t="str" cm="1">
        <f t="array" ref="I530">H530 &amp; _xlfn.REGEXEXTRACT(G530,"^[^_]+_\d{4}") &amp; ".pdf"</f>
        <v>https://www.ocf.berkeley.edu/~pkmendez/envsci/projects/2015final/MarcheseD_2015.pdf</v>
      </c>
      <c r="J530" s="1" t="str">
        <f t="shared" si="9"/>
        <v>https://www.ocf.berkeley.edu/~pkmendez/envsci/projects/2015final/MarcheseD_2015.pdf</v>
      </c>
      <c r="K530" s="2" t="str" cm="1">
        <f t="array" ref="K530:O530">_xlfn.TAKE(TRIM(_xlfn.TEXTSPLIT(F530,{",",";"})),,5)</f>
        <v>temperature model</v>
      </c>
      <c r="L530" s="2" t="str">
        <v>deterministic</v>
      </c>
      <c r="M530" s="2" t="str">
        <v>advection-dispersion</v>
      </c>
      <c r="N530" s="2" t="str">
        <v>representative concentration pathway</v>
      </c>
      <c r="O530" s="2" t="str">
        <v>Central America</v>
      </c>
      <c r="P530" s="2" t="s">
        <v>9</v>
      </c>
      <c r="Q530" s="2" t="s">
        <v>10</v>
      </c>
    </row>
    <row r="531" spans="1:17" x14ac:dyDescent="0.35">
      <c r="A531" s="2" t="s">
        <v>5884</v>
      </c>
      <c r="B531" s="2" t="s">
        <v>2659</v>
      </c>
      <c r="C531" s="2" t="s">
        <v>2660</v>
      </c>
      <c r="D531" s="2">
        <v>2015</v>
      </c>
      <c r="E531" s="2" t="s">
        <v>2661</v>
      </c>
      <c r="F531" s="2" t="s">
        <v>2662</v>
      </c>
      <c r="G531" s="2" t="s">
        <v>2663</v>
      </c>
      <c r="H531" s="2" t="s">
        <v>2568</v>
      </c>
      <c r="I531" s="2" t="str" cm="1">
        <f t="array" ref="I531">H531 &amp; _xlfn.REGEXEXTRACT(G531,"^[^_]+_\d{4}") &amp; ".pdf"</f>
        <v>https://www.ocf.berkeley.edu/~pkmendez/envsci/projects/2015final/MooreM_2015.pdf</v>
      </c>
      <c r="J531" s="1" t="str">
        <f t="shared" si="9"/>
        <v>https://www.ocf.berkeley.edu/~pkmendez/envsci/projects/2015final/MooreM_2015.pdf</v>
      </c>
      <c r="K531" s="2" t="str" cm="1">
        <f t="array" ref="K531:O531">_xlfn.TAKE(TRIM(_xlfn.TEXTSPLIT(F531,{",",";"})),,5)</f>
        <v>Proton exchange membrane</v>
      </c>
      <c r="L531" s="2" t="str">
        <v>solar-grid power combination</v>
      </c>
      <c r="M531" s="2" t="str">
        <v>GIS</v>
      </c>
      <c r="N531" s="2" t="str">
        <v>lifecycle analysis</v>
      </c>
      <c r="O531" s="2" t="str">
        <v>sustainable transportation</v>
      </c>
      <c r="P531" s="2" t="s">
        <v>9</v>
      </c>
      <c r="Q531" s="2" t="s">
        <v>10</v>
      </c>
    </row>
    <row r="532" spans="1:17" x14ac:dyDescent="0.35">
      <c r="A532" s="2" t="s">
        <v>5884</v>
      </c>
      <c r="B532" s="2" t="s">
        <v>2664</v>
      </c>
      <c r="C532" s="2" t="s">
        <v>2665</v>
      </c>
      <c r="D532" s="2">
        <v>2015</v>
      </c>
      <c r="E532" s="2" t="s">
        <v>2666</v>
      </c>
      <c r="F532" s="2" t="s">
        <v>2667</v>
      </c>
      <c r="G532" s="2" t="s">
        <v>2668</v>
      </c>
      <c r="H532" s="2" t="s">
        <v>2568</v>
      </c>
      <c r="I532" s="2" t="str" cm="1">
        <f t="array" ref="I532">H532 &amp; _xlfn.REGEXEXTRACT(G532,"^[^_]+_\d{4}") &amp; ".pdf"</f>
        <v>https://www.ocf.berkeley.edu/~pkmendez/envsci/projects/2015final/NaranjoM_2015.pdf</v>
      </c>
      <c r="J532" s="1" t="str">
        <f t="shared" si="9"/>
        <v>https://www.ocf.berkeley.edu/~pkmendez/envsci/projects/2015final/NaranjoM_2015.pdf</v>
      </c>
      <c r="K532" s="2" t="str" cm="1">
        <f t="array" ref="K532:O532">_xlfn.TAKE(TRIM(_xlfn.TEXTSPLIT(F532,{",",";"})),,5)</f>
        <v>remote sensing</v>
      </c>
      <c r="L532" s="2" t="str">
        <v>vegetation change</v>
      </c>
      <c r="M532" s="2" t="str">
        <v>classification trees</v>
      </c>
      <c r="N532" s="2" t="str">
        <v>shrub expansion</v>
      </c>
      <c r="O532" s="2" t="str">
        <v>sierra nevada</v>
      </c>
      <c r="P532" s="2" t="s">
        <v>9</v>
      </c>
      <c r="Q532" s="2" t="s">
        <v>10</v>
      </c>
    </row>
    <row r="533" spans="1:17" x14ac:dyDescent="0.35">
      <c r="A533" s="2" t="s">
        <v>5884</v>
      </c>
      <c r="B533" s="2" t="s">
        <v>2669</v>
      </c>
      <c r="C533" s="2" t="s">
        <v>2670</v>
      </c>
      <c r="D533" s="2">
        <v>2015</v>
      </c>
      <c r="E533" s="2" t="s">
        <v>2671</v>
      </c>
      <c r="F533" s="2" t="s">
        <v>2672</v>
      </c>
      <c r="G533" s="2" t="s">
        <v>2673</v>
      </c>
      <c r="H533" s="2" t="s">
        <v>2568</v>
      </c>
      <c r="I533" s="2" t="str" cm="1">
        <f t="array" ref="I533">H533 &amp; _xlfn.REGEXEXTRACT(G533,"^[^_]+_\d{4}") &amp; ".pdf"</f>
        <v>https://www.ocf.berkeley.edu/~pkmendez/envsci/projects/2015final/PetruzzelliD_2015.pdf</v>
      </c>
      <c r="J533" s="1" t="str">
        <f t="shared" si="9"/>
        <v>https://www.ocf.berkeley.edu/~pkmendez/envsci/projects/2015final/PetruzzelliD_2015.pdf</v>
      </c>
      <c r="K533" s="2" t="str" cm="1">
        <f t="array" ref="K533:O533">_xlfn.TAKE(TRIM(_xlfn.TEXTSPLIT(F533,{",",";"})),,5)</f>
        <v>food waste</v>
      </c>
      <c r="L533" s="2" t="str">
        <v>farmers' market</v>
      </c>
      <c r="M533" s="2" t="str">
        <v>ugly fruit</v>
      </c>
      <c r="N533" s="2" t="str">
        <v>ugly vegetables</v>
      </c>
      <c r="O533" s="2" t="str">
        <v>outgrading</v>
      </c>
      <c r="P533" s="2" t="s">
        <v>9</v>
      </c>
      <c r="Q533" s="2" t="s">
        <v>10</v>
      </c>
    </row>
    <row r="534" spans="1:17" x14ac:dyDescent="0.35">
      <c r="A534" s="2" t="s">
        <v>5884</v>
      </c>
      <c r="B534" s="2" t="s">
        <v>2674</v>
      </c>
      <c r="C534" s="2" t="s">
        <v>2675</v>
      </c>
      <c r="D534" s="2">
        <v>2015</v>
      </c>
      <c r="E534" s="2" t="s">
        <v>2676</v>
      </c>
      <c r="F534" s="2" t="s">
        <v>2677</v>
      </c>
      <c r="G534" s="2" t="s">
        <v>2678</v>
      </c>
      <c r="H534" s="2" t="s">
        <v>2568</v>
      </c>
      <c r="I534" s="2" t="str" cm="1">
        <f t="array" ref="I534">H534 &amp; _xlfn.REGEXEXTRACT(G534,"^[^_]+_\d{4}") &amp; ".pdf"</f>
        <v>https://www.ocf.berkeley.edu/~pkmendez/envsci/projects/2015final/PolaskoA_2015.pdf</v>
      </c>
      <c r="J534" s="1" t="str">
        <f t="shared" si="9"/>
        <v>https://www.ocf.berkeley.edu/~pkmendez/envsci/projects/2015final/PolaskoA_2015.pdf</v>
      </c>
      <c r="K534" s="2" t="str" cm="1">
        <f t="array" ref="K534:O534">_xlfn.TAKE(TRIM(_xlfn.TEXTSPLIT(F534,{",",";"})),,5)</f>
        <v>chlorinated compounds</v>
      </c>
      <c r="L534" s="2" t="str">
        <v>bioremediation</v>
      </c>
      <c r="M534" s="2" t="str">
        <v>cell growth</v>
      </c>
      <c r="N534" s="2" t="str">
        <v>TCE degradation rates</v>
      </c>
      <c r="O534" s="2" t="str">
        <v>sulfide inhibition</v>
      </c>
      <c r="P534" s="2" t="s">
        <v>9</v>
      </c>
      <c r="Q534" s="2" t="s">
        <v>10</v>
      </c>
    </row>
    <row r="535" spans="1:17" x14ac:dyDescent="0.35">
      <c r="A535" s="2" t="s">
        <v>5884</v>
      </c>
      <c r="B535" s="2" t="s">
        <v>2679</v>
      </c>
      <c r="C535" s="2" t="s">
        <v>2680</v>
      </c>
      <c r="D535" s="2">
        <v>2015</v>
      </c>
      <c r="E535" s="2" t="s">
        <v>2681</v>
      </c>
      <c r="F535" s="2" t="s">
        <v>2682</v>
      </c>
      <c r="G535" s="2" t="s">
        <v>2683</v>
      </c>
      <c r="H535" s="2" t="s">
        <v>2568</v>
      </c>
      <c r="I535" s="2" t="str" cm="1">
        <f t="array" ref="I535">H535 &amp; _xlfn.REGEXEXTRACT(G535,"^[^_]+_\d{4}") &amp; ".pdf"</f>
        <v>https://www.ocf.berkeley.edu/~pkmendez/envsci/projects/2015final/PolonikP_2015.pdf</v>
      </c>
      <c r="J535" s="1" t="str">
        <f t="shared" si="9"/>
        <v>https://www.ocf.berkeley.edu/~pkmendez/envsci/projects/2015final/PolonikP_2015.pdf</v>
      </c>
      <c r="K535" s="2" t="str" cm="1">
        <f t="array" ref="K535:O535">_xlfn.TAKE(TRIM(_xlfn.TEXTSPLIT(F535,{",",";"})),,5)</f>
        <v>Sacramento San-Joaquin Delta</v>
      </c>
      <c r="L535" s="2" t="str">
        <v>Carbon Flux</v>
      </c>
      <c r="M535" s="2" t="str">
        <v>Carbon Modeling</v>
      </c>
      <c r="N535" s="2" t="str">
        <v>Open Water</v>
      </c>
      <c r="O535" s="2" t="str">
        <v>Wetland Management</v>
      </c>
      <c r="P535" s="2" t="s">
        <v>9</v>
      </c>
      <c r="Q535" s="2" t="s">
        <v>10</v>
      </c>
    </row>
    <row r="536" spans="1:17" x14ac:dyDescent="0.35">
      <c r="A536" s="2" t="s">
        <v>5884</v>
      </c>
      <c r="B536" s="2" t="s">
        <v>2684</v>
      </c>
      <c r="C536" s="2" t="s">
        <v>2685</v>
      </c>
      <c r="D536" s="2">
        <v>2015</v>
      </c>
      <c r="E536" s="2" t="s">
        <v>2686</v>
      </c>
      <c r="F536" s="2" t="s">
        <v>2687</v>
      </c>
      <c r="G536" s="2" t="s">
        <v>2688</v>
      </c>
      <c r="H536" s="2" t="s">
        <v>2568</v>
      </c>
      <c r="I536" s="2" t="str" cm="1">
        <f t="array" ref="I536">H536 &amp; _xlfn.REGEXEXTRACT(G536,"^[^_]+_\d{4}") &amp; ".pdf"</f>
        <v>https://www.ocf.berkeley.edu/~pkmendez/envsci/projects/2015final/PoniatowskiK_2015.pdf</v>
      </c>
      <c r="J536" s="1" t="str">
        <f t="shared" si="9"/>
        <v>https://www.ocf.berkeley.edu/~pkmendez/envsci/projects/2015final/PoniatowskiK_2015.pdf</v>
      </c>
      <c r="K536" s="2" t="str" cm="1">
        <f t="array" ref="K536:O536">_xlfn.TAKE(TRIM(_xlfn.TEXTSPLIT(F536,{",",";"})),,5)</f>
        <v>Strawberry Creek</v>
      </c>
      <c r="L536" s="2" t="str">
        <v>step pool restoration</v>
      </c>
      <c r="M536" s="2" t="str">
        <v>bioassessment</v>
      </c>
      <c r="N536" s="2" t="str">
        <v>high-gradient stream</v>
      </c>
      <c r="O536" s="2" t="str">
        <v>BACI</v>
      </c>
      <c r="P536" s="2" t="s">
        <v>9</v>
      </c>
      <c r="Q536" s="2" t="s">
        <v>10</v>
      </c>
    </row>
    <row r="537" spans="1:17" x14ac:dyDescent="0.35">
      <c r="A537" s="2" t="s">
        <v>5884</v>
      </c>
      <c r="B537" s="2" t="s">
        <v>2689</v>
      </c>
      <c r="C537" s="2" t="s">
        <v>2690</v>
      </c>
      <c r="D537" s="2">
        <v>2015</v>
      </c>
      <c r="E537" s="2" t="s">
        <v>2691</v>
      </c>
      <c r="F537" s="2" t="s">
        <v>2692</v>
      </c>
      <c r="G537" s="2" t="s">
        <v>2693</v>
      </c>
      <c r="H537" s="2" t="s">
        <v>2568</v>
      </c>
      <c r="I537" s="2" t="str" cm="1">
        <f t="array" ref="I537">H537 &amp; _xlfn.REGEXEXTRACT(G537,"^[^_]+_\d{4}") &amp; ".pdf"</f>
        <v>https://www.ocf.berkeley.edu/~pkmendez/envsci/projects/2015final/RenR_2015.pdf</v>
      </c>
      <c r="J537" s="1" t="str">
        <f t="shared" si="9"/>
        <v>https://www.ocf.berkeley.edu/~pkmendez/envsci/projects/2015final/RenR_2015.pdf</v>
      </c>
      <c r="K537" s="2" t="str" cm="1">
        <f t="array" ref="K537:O537">_xlfn.TAKE(TRIM(_xlfn.TEXTSPLIT(F537,{",",";"})),,5)</f>
        <v>climate resilience</v>
      </c>
      <c r="L537" s="2" t="str">
        <v>co-benefits</v>
      </c>
      <c r="M537" s="2" t="str">
        <v>mitigation</v>
      </c>
      <c r="N537" s="2" t="str">
        <v>sustainable development</v>
      </c>
      <c r="O537" s="2" t="str">
        <v>urban planning</v>
      </c>
      <c r="P537" s="2" t="s">
        <v>9</v>
      </c>
      <c r="Q537" s="2" t="s">
        <v>10</v>
      </c>
    </row>
    <row r="538" spans="1:17" x14ac:dyDescent="0.35">
      <c r="A538" s="2" t="s">
        <v>5884</v>
      </c>
      <c r="B538" s="2" t="s">
        <v>2694</v>
      </c>
      <c r="C538" s="2" t="s">
        <v>2695</v>
      </c>
      <c r="D538" s="2">
        <v>2015</v>
      </c>
      <c r="E538" s="2" t="s">
        <v>2696</v>
      </c>
      <c r="F538" s="2" t="s">
        <v>2697</v>
      </c>
      <c r="G538" s="2" t="s">
        <v>2698</v>
      </c>
      <c r="H538" s="2" t="s">
        <v>2568</v>
      </c>
      <c r="I538" s="2" t="str" cm="1">
        <f t="array" ref="I538">H538 &amp; _xlfn.REGEXEXTRACT(G538,"^[^_]+_\d{4}") &amp; ".pdf"</f>
        <v>https://www.ocf.berkeley.edu/~pkmendez/envsci/projects/2015final/SchaafC_2015.pdf</v>
      </c>
      <c r="J538" s="1" t="str">
        <f t="shared" si="9"/>
        <v>https://www.ocf.berkeley.edu/~pkmendez/envsci/projects/2015final/SchaafC_2015.pdf</v>
      </c>
      <c r="K538" s="2" t="str" cm="1">
        <f t="array" ref="K538:O538">_xlfn.TAKE(TRIM(_xlfn.TEXTSPLIT(F538,{",",";"})),,5)</f>
        <v>black spot disease</v>
      </c>
      <c r="L538" s="2" t="str">
        <v>steelhead</v>
      </c>
      <c r="M538" s="2" t="str">
        <v>trematode</v>
      </c>
      <c r="N538" s="2" t="str">
        <v>parasite</v>
      </c>
      <c r="O538" s="2" t="str">
        <v>Neascus</v>
      </c>
      <c r="P538" s="2" t="s">
        <v>9</v>
      </c>
      <c r="Q538" s="2" t="s">
        <v>10</v>
      </c>
    </row>
    <row r="539" spans="1:17" x14ac:dyDescent="0.35">
      <c r="A539" s="2" t="s">
        <v>5884</v>
      </c>
      <c r="B539" s="2" t="s">
        <v>2699</v>
      </c>
      <c r="C539" s="2" t="s">
        <v>2700</v>
      </c>
      <c r="D539" s="2">
        <v>2015</v>
      </c>
      <c r="E539" s="2" t="s">
        <v>2701</v>
      </c>
      <c r="F539" s="2" t="s">
        <v>2702</v>
      </c>
      <c r="G539" s="2" t="s">
        <v>2703</v>
      </c>
      <c r="H539" s="2" t="s">
        <v>2568</v>
      </c>
      <c r="I539" s="2" t="str" cm="1">
        <f t="array" ref="I539">H539 &amp; _xlfn.REGEXEXTRACT(G539,"^[^_]+_\d{4}") &amp; ".pdf"</f>
        <v>https://www.ocf.berkeley.edu/~pkmendez/envsci/projects/2015final/SchmiettE_2015.pdf</v>
      </c>
      <c r="J539" s="1" t="str">
        <f t="shared" si="9"/>
        <v>https://www.ocf.berkeley.edu/~pkmendez/envsci/projects/2015final/SchmiettE_2015.pdf</v>
      </c>
      <c r="K539" s="2" t="str" cm="1">
        <f t="array" ref="K539:O539">_xlfn.TAKE(TRIM(_xlfn.TEXTSPLIT(F539,{",",";"})),,5)</f>
        <v>Environmental niche modeling</v>
      </c>
      <c r="L539" s="2" t="str">
        <v>Area Under the Curve (AUC)</v>
      </c>
      <c r="M539" s="2" t="str">
        <v>Kappa</v>
      </c>
      <c r="N539" s="2" t="str">
        <v>medusahead</v>
      </c>
      <c r="O539" s="2" t="str">
        <v>cheatgrass</v>
      </c>
      <c r="P539" s="2" t="s">
        <v>9</v>
      </c>
      <c r="Q539" s="2" t="s">
        <v>10</v>
      </c>
    </row>
    <row r="540" spans="1:17" x14ac:dyDescent="0.35">
      <c r="A540" s="2" t="s">
        <v>5884</v>
      </c>
      <c r="B540" s="2" t="s">
        <v>2704</v>
      </c>
      <c r="C540" s="2" t="s">
        <v>2705</v>
      </c>
      <c r="D540" s="2">
        <v>2015</v>
      </c>
      <c r="E540" s="2" t="s">
        <v>2706</v>
      </c>
      <c r="F540" s="2" t="s">
        <v>2707</v>
      </c>
      <c r="G540" s="2" t="s">
        <v>2708</v>
      </c>
      <c r="H540" s="2" t="s">
        <v>2568</v>
      </c>
      <c r="I540" s="2" t="str" cm="1">
        <f t="array" ref="I540">H540 &amp; _xlfn.REGEXEXTRACT(G540,"^[^_]+_\d{4}") &amp; ".pdf"</f>
        <v>https://www.ocf.berkeley.edu/~pkmendez/envsci/projects/2015final/SherpaL_2015.pdf</v>
      </c>
      <c r="J540" s="1" t="str">
        <f t="shared" si="9"/>
        <v>https://www.ocf.berkeley.edu/~pkmendez/envsci/projects/2015final/SherpaL_2015.pdf</v>
      </c>
      <c r="K540" s="2" t="str" cm="1">
        <f t="array" ref="K540:O540">_xlfn.TAKE(TRIM(_xlfn.TEXTSPLIT(F540,{",",";"})),,5)</f>
        <v>Agricultural and residues</v>
      </c>
      <c r="L540" s="2" t="str">
        <v>indoor air pollution</v>
      </c>
      <c r="M540" s="2" t="str">
        <v>airflow obstruction</v>
      </c>
      <c r="N540" s="2" t="str">
        <v>spirometry</v>
      </c>
      <c r="O540" s="2" t="str">
        <v>cross-sectional study</v>
      </c>
      <c r="P540" s="2" t="s">
        <v>9</v>
      </c>
      <c r="Q540" s="2" t="s">
        <v>10</v>
      </c>
    </row>
    <row r="541" spans="1:17" x14ac:dyDescent="0.35">
      <c r="A541" s="2" t="s">
        <v>5884</v>
      </c>
      <c r="B541" s="2" t="s">
        <v>2709</v>
      </c>
      <c r="C541" s="2" t="s">
        <v>2710</v>
      </c>
      <c r="D541" s="2">
        <v>2015</v>
      </c>
      <c r="E541" s="2" t="s">
        <v>2711</v>
      </c>
      <c r="F541" s="2" t="s">
        <v>2712</v>
      </c>
      <c r="G541" s="2" t="s">
        <v>2713</v>
      </c>
      <c r="H541" s="2" t="s">
        <v>2568</v>
      </c>
      <c r="I541" s="2" t="str" cm="1">
        <f t="array" ref="I541">H541 &amp; _xlfn.REGEXEXTRACT(G541,"^[^_]+_\d{4}") &amp; ".pdf"</f>
        <v>https://www.ocf.berkeley.edu/~pkmendez/envsci/projects/2015final/ShiigiK_2015.pdf</v>
      </c>
      <c r="J541" s="1" t="str">
        <f t="shared" si="9"/>
        <v>https://www.ocf.berkeley.edu/~pkmendez/envsci/projects/2015final/ShiigiK_2015.pdf</v>
      </c>
      <c r="K541" s="2" t="str" cm="1">
        <f t="array" ref="K541:O541">_xlfn.TAKE(TRIM(_xlfn.TEXTSPLIT(F541,{",",";"})),,5)</f>
        <v>Breeding Bird Survey</v>
      </c>
      <c r="L541" s="2" t="str">
        <v>Institute for Bird Populations</v>
      </c>
      <c r="M541" s="2" t="str">
        <v>Imperial Valley</v>
      </c>
      <c r="N541" s="2" t="str">
        <v>citizen science</v>
      </c>
      <c r="O541" s="2" t="str">
        <v>ecological monitoring</v>
      </c>
      <c r="P541" s="2" t="s">
        <v>9</v>
      </c>
      <c r="Q541" s="2" t="s">
        <v>10</v>
      </c>
    </row>
    <row r="542" spans="1:17" x14ac:dyDescent="0.35">
      <c r="A542" s="2" t="s">
        <v>5884</v>
      </c>
      <c r="B542" s="2" t="s">
        <v>2714</v>
      </c>
      <c r="C542" s="2" t="s">
        <v>2715</v>
      </c>
      <c r="D542" s="2">
        <v>2015</v>
      </c>
      <c r="E542" s="2" t="s">
        <v>2716</v>
      </c>
      <c r="F542" s="2" t="s">
        <v>2717</v>
      </c>
      <c r="G542" s="2" t="s">
        <v>2718</v>
      </c>
      <c r="H542" s="2" t="s">
        <v>2568</v>
      </c>
      <c r="I542" s="2" t="str" cm="1">
        <f t="array" ref="I542">H542 &amp; _xlfn.REGEXEXTRACT(G542,"^[^_]+_\d{4}") &amp; ".pdf"</f>
        <v>https://www.ocf.berkeley.edu/~pkmendez/envsci/projects/2015final/SholarJ_2015.pdf</v>
      </c>
      <c r="J542" s="1" t="str">
        <f t="shared" si="9"/>
        <v>https://www.ocf.berkeley.edu/~pkmendez/envsci/projects/2015final/SholarJ_2015.pdf</v>
      </c>
      <c r="K542" s="2" t="str" cm="1">
        <f t="array" ref="K542:O542">_xlfn.TAKE(TRIM(_xlfn.TEXTSPLIT(F542,{",",";"})),,5)</f>
        <v>range shift</v>
      </c>
      <c r="L542" s="2" t="str">
        <v>remote sensing</v>
      </c>
      <c r="M542" s="2" t="str">
        <v>vegetation survey</v>
      </c>
      <c r="N542" s="2" t="str">
        <v>Tamias</v>
      </c>
      <c r="O542" s="2" t="str">
        <v>climate change</v>
      </c>
      <c r="P542" s="2" t="s">
        <v>9</v>
      </c>
      <c r="Q542" s="2" t="s">
        <v>10</v>
      </c>
    </row>
    <row r="543" spans="1:17" x14ac:dyDescent="0.35">
      <c r="A543" s="2" t="s">
        <v>5884</v>
      </c>
      <c r="B543" s="2" t="s">
        <v>2719</v>
      </c>
      <c r="C543" s="2" t="s">
        <v>2720</v>
      </c>
      <c r="D543" s="2">
        <v>2015</v>
      </c>
      <c r="E543" s="2" t="s">
        <v>2721</v>
      </c>
      <c r="F543" s="2" t="s">
        <v>2722</v>
      </c>
      <c r="G543" s="2" t="s">
        <v>2723</v>
      </c>
      <c r="H543" s="2" t="s">
        <v>2568</v>
      </c>
      <c r="I543" s="2" t="str" cm="1">
        <f t="array" ref="I543">H543 &amp; _xlfn.REGEXEXTRACT(G543,"^[^_]+_\d{4}") &amp; ".pdf"</f>
        <v>https://www.ocf.berkeley.edu/~pkmendez/envsci/projects/2015final/SmithB_2015.pdf</v>
      </c>
      <c r="J543" s="1" t="str">
        <f t="shared" si="9"/>
        <v>https://www.ocf.berkeley.edu/~pkmendez/envsci/projects/2015final/SmithB_2015.pdf</v>
      </c>
      <c r="K543" s="2" t="str" cm="1">
        <f t="array" ref="K543:M543">_xlfn.TAKE(TRIM(_xlfn.TEXTSPLIT(F543,{",",";"})),,5)</f>
        <v>California grasslands</v>
      </c>
      <c r="L543" s="2" t="str">
        <v>invasive species</v>
      </c>
      <c r="M543" s="2" t="str">
        <v>geographic information systems</v>
      </c>
      <c r="P543" s="2" t="s">
        <v>9</v>
      </c>
      <c r="Q543" s="2" t="s">
        <v>10</v>
      </c>
    </row>
    <row r="544" spans="1:17" x14ac:dyDescent="0.35">
      <c r="A544" s="2" t="s">
        <v>5884</v>
      </c>
      <c r="B544" s="2" t="s">
        <v>2724</v>
      </c>
      <c r="C544" s="2" t="s">
        <v>2725</v>
      </c>
      <c r="D544" s="2">
        <v>2015</v>
      </c>
      <c r="E544" s="2" t="s">
        <v>2726</v>
      </c>
      <c r="F544" s="2" t="s">
        <v>2727</v>
      </c>
      <c r="G544" s="2" t="s">
        <v>2728</v>
      </c>
      <c r="H544" s="2" t="s">
        <v>2568</v>
      </c>
      <c r="I544" s="2" t="str" cm="1">
        <f t="array" ref="I544">H544 &amp; _xlfn.REGEXEXTRACT(G544,"^[^_]+_\d{4}") &amp; ".pdf"</f>
        <v>https://www.ocf.berkeley.edu/~pkmendez/envsci/projects/2015final/SmithE_2015.pdf</v>
      </c>
      <c r="J544" s="1" t="str">
        <f t="shared" si="9"/>
        <v>https://www.ocf.berkeley.edu/~pkmendez/envsci/projects/2015final/SmithE_2015.pdf</v>
      </c>
      <c r="K544" s="2" t="str" cm="1">
        <f t="array" ref="K544:O544">_xlfn.TAKE(TRIM(_xlfn.TEXTSPLIT(F544,{",",";"})),,5)</f>
        <v>Low Carbon Fuel Standard (LCFS)</v>
      </c>
      <c r="L544" s="2" t="str">
        <v>Renewable Fuel Standard (RS2)</v>
      </c>
      <c r="M544" s="2" t="str">
        <v>indirect land use change (ILUC)</v>
      </c>
      <c r="N544" s="2" t="str">
        <v>life cycle assessment (LCA)</v>
      </c>
      <c r="O544" s="2" t="str">
        <v>regulatory science</v>
      </c>
      <c r="P544" s="2" t="s">
        <v>9</v>
      </c>
      <c r="Q544" s="2" t="s">
        <v>10</v>
      </c>
    </row>
    <row r="545" spans="1:17" x14ac:dyDescent="0.35">
      <c r="A545" s="2" t="s">
        <v>5884</v>
      </c>
      <c r="B545" s="2" t="s">
        <v>2729</v>
      </c>
      <c r="C545" s="2" t="s">
        <v>2730</v>
      </c>
      <c r="D545" s="2">
        <v>2015</v>
      </c>
      <c r="E545" s="2" t="s">
        <v>2731</v>
      </c>
      <c r="F545" s="2" t="s">
        <v>2732</v>
      </c>
      <c r="G545" s="2" t="s">
        <v>2733</v>
      </c>
      <c r="H545" s="2" t="s">
        <v>2568</v>
      </c>
      <c r="I545" s="2" t="str" cm="1">
        <f t="array" ref="I545">H545 &amp; _xlfn.REGEXEXTRACT(G545,"^[^_]+_\d{4}") &amp; ".pdf"</f>
        <v>https://www.ocf.berkeley.edu/~pkmendez/envsci/projects/2015final/TaylorR_2015.pdf</v>
      </c>
      <c r="J545" s="1" t="str">
        <f t="shared" si="9"/>
        <v>https://www.ocf.berkeley.edu/~pkmendez/envsci/projects/2015final/TaylorR_2015.pdf</v>
      </c>
      <c r="K545" s="2" t="str" cm="1">
        <f t="array" ref="K545:O545">_xlfn.TAKE(TRIM(_xlfn.TEXTSPLIT(F545,{",",";"})),,5)</f>
        <v>Biodiversity</v>
      </c>
      <c r="L545" s="2" t="str">
        <v>Conservation</v>
      </c>
      <c r="M545" s="2" t="str">
        <v>Interspecific Competition</v>
      </c>
      <c r="N545" s="2" t="str">
        <v>Camera Traps</v>
      </c>
      <c r="O545" s="2" t="str">
        <v>Management</v>
      </c>
      <c r="P545" s="2" t="s">
        <v>9</v>
      </c>
      <c r="Q545" s="2" t="s">
        <v>10</v>
      </c>
    </row>
    <row r="546" spans="1:17" x14ac:dyDescent="0.35">
      <c r="A546" s="2" t="s">
        <v>5884</v>
      </c>
      <c r="B546" s="2" t="s">
        <v>2734</v>
      </c>
      <c r="C546" s="2" t="s">
        <v>2735</v>
      </c>
      <c r="D546" s="2">
        <v>2015</v>
      </c>
      <c r="E546" s="2" t="s">
        <v>2736</v>
      </c>
      <c r="F546" s="2" t="s">
        <v>2737</v>
      </c>
      <c r="G546" s="2" t="s">
        <v>2738</v>
      </c>
      <c r="H546" s="2" t="s">
        <v>2568</v>
      </c>
      <c r="I546" s="2" t="str" cm="1">
        <f t="array" ref="I546">H546 &amp; _xlfn.REGEXEXTRACT(G546,"^[^_]+_\d{4}") &amp; ".pdf"</f>
        <v>https://www.ocf.berkeley.edu/~pkmendez/envsci/projects/2015final/vonKaenelM_2015.pdf</v>
      </c>
      <c r="J546" s="1" t="str">
        <f t="shared" si="9"/>
        <v>https://www.ocf.berkeley.edu/~pkmendez/envsci/projects/2015final/vonKaenelM_2015.pdf</v>
      </c>
      <c r="K546" s="2" t="str" cm="1">
        <f t="array" ref="K546:O546">_xlfn.TAKE(TRIM(_xlfn.TEXTSPLIT(F546,{",",";"})),,5)</f>
        <v>urban runoff</v>
      </c>
      <c r="L546" s="2" t="str">
        <v>permeable pavement</v>
      </c>
      <c r="M546" s="2" t="str">
        <v>Strawberry Creek</v>
      </c>
      <c r="N546" s="2" t="str">
        <v>GIS</v>
      </c>
      <c r="O546" s="2" t="str">
        <v>LID best management practices</v>
      </c>
      <c r="P546" s="2" t="s">
        <v>9</v>
      </c>
      <c r="Q546" s="2" t="s">
        <v>10</v>
      </c>
    </row>
    <row r="547" spans="1:17" x14ac:dyDescent="0.35">
      <c r="A547" s="2" t="s">
        <v>5884</v>
      </c>
      <c r="B547" s="2" t="s">
        <v>2739</v>
      </c>
      <c r="C547" s="2" t="s">
        <v>2740</v>
      </c>
      <c r="D547" s="2">
        <v>2015</v>
      </c>
      <c r="E547" s="2" t="s">
        <v>2741</v>
      </c>
      <c r="F547" s="2" t="s">
        <v>2742</v>
      </c>
      <c r="G547" s="2" t="s">
        <v>2743</v>
      </c>
      <c r="H547" s="2" t="s">
        <v>2568</v>
      </c>
      <c r="I547" s="2" t="str" cm="1">
        <f t="array" ref="I547">H547 &amp; _xlfn.REGEXEXTRACT(G547,"^[^_]+_\d{4}") &amp; ".pdf"</f>
        <v>https://www.ocf.berkeley.edu/~pkmendez/envsci/projects/2015final/WalcherL_2015.pdf</v>
      </c>
      <c r="J547" s="1" t="str">
        <f t="shared" si="9"/>
        <v>https://www.ocf.berkeley.edu/~pkmendez/envsci/projects/2015final/WalcherL_2015.pdf</v>
      </c>
      <c r="K547" s="2" t="str" cm="1">
        <f t="array" ref="K547:O547">_xlfn.TAKE(TRIM(_xlfn.TEXTSPLIT(F547,{",",";"})),,5)</f>
        <v>urban forestry</v>
      </c>
      <c r="L547" s="2" t="str">
        <v>ecosystem services</v>
      </c>
      <c r="M547" s="2" t="str">
        <v>amenity values</v>
      </c>
      <c r="N547" s="2" t="str">
        <v>street trees</v>
      </c>
      <c r="O547" s="2" t="str">
        <v>San Francisco</v>
      </c>
      <c r="P547" s="2" t="s">
        <v>9</v>
      </c>
      <c r="Q547" s="2" t="s">
        <v>10</v>
      </c>
    </row>
    <row r="548" spans="1:17" x14ac:dyDescent="0.35">
      <c r="A548" s="2" t="s">
        <v>5884</v>
      </c>
      <c r="B548" s="2" t="s">
        <v>2744</v>
      </c>
      <c r="C548" s="2" t="s">
        <v>2745</v>
      </c>
      <c r="D548" s="2">
        <v>2015</v>
      </c>
      <c r="E548" s="2" t="s">
        <v>2746</v>
      </c>
      <c r="F548" s="2" t="s">
        <v>2747</v>
      </c>
      <c r="G548" s="2" t="s">
        <v>2748</v>
      </c>
      <c r="H548" s="2" t="s">
        <v>2568</v>
      </c>
      <c r="I548" s="2" t="str" cm="1">
        <f t="array" ref="I548">H548 &amp; _xlfn.REGEXEXTRACT(G548,"^[^_]+_\d{4}") &amp; ".pdf"</f>
        <v>https://www.ocf.berkeley.edu/~pkmendez/envsci/projects/2015final/WangC_2015.pdf</v>
      </c>
      <c r="J548" s="1" t="str">
        <f t="shared" si="9"/>
        <v>https://www.ocf.berkeley.edu/~pkmendez/envsci/projects/2015final/WangC_2015.pdf</v>
      </c>
      <c r="K548" s="2" t="str" cm="1">
        <f t="array" ref="K548:O548">_xlfn.TAKE(TRIM(_xlfn.TEXTSPLIT(F548,{",",";"})),,5)</f>
        <v>LAI</v>
      </c>
      <c r="L548" s="2" t="str">
        <v>classification</v>
      </c>
      <c r="M548" s="2" t="str">
        <v>pickleweed</v>
      </c>
      <c r="N548" s="2" t="str">
        <v>Russian thistle</v>
      </c>
      <c r="O548" s="2" t="str">
        <v>Sarcocornia pacifica</v>
      </c>
      <c r="P548" s="2" t="s">
        <v>9</v>
      </c>
      <c r="Q548" s="2" t="s">
        <v>10</v>
      </c>
    </row>
    <row r="549" spans="1:17" x14ac:dyDescent="0.35">
      <c r="A549" s="2" t="s">
        <v>5884</v>
      </c>
      <c r="B549" s="2" t="s">
        <v>2749</v>
      </c>
      <c r="C549" s="2" t="s">
        <v>2750</v>
      </c>
      <c r="D549" s="2">
        <v>2015</v>
      </c>
      <c r="E549" s="2" t="s">
        <v>2751</v>
      </c>
      <c r="F549" s="2" t="s">
        <v>2752</v>
      </c>
      <c r="G549" s="2" t="s">
        <v>2753</v>
      </c>
      <c r="H549" s="2" t="s">
        <v>2568</v>
      </c>
      <c r="I549" s="2" t="str" cm="1">
        <f t="array" ref="I549">H549 &amp; _xlfn.REGEXEXTRACT(G549,"^[^_]+_\d{4}") &amp; ".pdf"</f>
        <v>https://www.ocf.berkeley.edu/~pkmendez/envsci/projects/2015final/WondolleckJ_2015.pdf</v>
      </c>
      <c r="J549" s="1" t="str">
        <f t="shared" si="9"/>
        <v>https://www.ocf.berkeley.edu/~pkmendez/envsci/projects/2015final/WondolleckJ_2015.pdf</v>
      </c>
      <c r="K549" s="2" t="str" cm="1">
        <f t="array" ref="K549:O549">_xlfn.TAKE(TRIM(_xlfn.TEXTSPLIT(F549,{",",";"})),,5)</f>
        <v>Estuarine ecosystem</v>
      </c>
      <c r="L549" s="2" t="str">
        <v>invasive species</v>
      </c>
      <c r="M549" s="2" t="str">
        <v>stable isotopic composition</v>
      </c>
      <c r="N549" s="2" t="str">
        <v>freshwater flow</v>
      </c>
      <c r="O549" s="2" t="str">
        <v>feeding relationships</v>
      </c>
      <c r="P549" s="2" t="s">
        <v>9</v>
      </c>
      <c r="Q549" s="2" t="s">
        <v>10</v>
      </c>
    </row>
    <row r="550" spans="1:17" x14ac:dyDescent="0.35">
      <c r="A550" s="2" t="s">
        <v>5884</v>
      </c>
      <c r="B550" s="2" t="s">
        <v>2754</v>
      </c>
      <c r="C550" s="2" t="s">
        <v>2755</v>
      </c>
      <c r="D550" s="2">
        <v>2015</v>
      </c>
      <c r="E550" s="2" t="s">
        <v>2756</v>
      </c>
      <c r="F550" s="2" t="s">
        <v>2757</v>
      </c>
      <c r="G550" s="2" t="s">
        <v>2758</v>
      </c>
      <c r="H550" s="2" t="s">
        <v>2568</v>
      </c>
      <c r="I550" s="2" t="str" cm="1">
        <f t="array" ref="I550">H550 &amp; _xlfn.REGEXEXTRACT(G550,"^[^_]+_\d{4}") &amp; ".pdf"</f>
        <v>https://www.ocf.berkeley.edu/~pkmendez/envsci/projects/2015final/WongA_2015.pdf</v>
      </c>
      <c r="J550" s="1" t="str">
        <f t="shared" si="9"/>
        <v>https://www.ocf.berkeley.edu/~pkmendez/envsci/projects/2015final/WongA_2015.pdf</v>
      </c>
      <c r="K550" s="2" t="str" cm="1">
        <f t="array" ref="K550:O550">_xlfn.TAKE(TRIM(_xlfn.TEXTSPLIT(F550,{",",";"})),,5)</f>
        <v>Wildland Fire Use</v>
      </c>
      <c r="L550" s="2" t="str">
        <v>streamflow</v>
      </c>
      <c r="M550" s="2" t="str">
        <v>water yield</v>
      </c>
      <c r="N550" s="2" t="str">
        <v>flood</v>
      </c>
      <c r="O550" s="2" t="str">
        <v>Illilouette Creek Basin</v>
      </c>
      <c r="P550" s="2" t="s">
        <v>9</v>
      </c>
      <c r="Q550" s="2" t="s">
        <v>10</v>
      </c>
    </row>
    <row r="551" spans="1:17" x14ac:dyDescent="0.35">
      <c r="A551" s="2" t="s">
        <v>5884</v>
      </c>
      <c r="B551" s="2" t="s">
        <v>2759</v>
      </c>
      <c r="C551" s="2" t="s">
        <v>2760</v>
      </c>
      <c r="D551" s="2">
        <v>2015</v>
      </c>
      <c r="E551" s="2" t="s">
        <v>2761</v>
      </c>
      <c r="F551" s="2" t="s">
        <v>2762</v>
      </c>
      <c r="G551" s="2" t="s">
        <v>2763</v>
      </c>
      <c r="H551" s="2" t="s">
        <v>2568</v>
      </c>
      <c r="I551" s="2" t="str" cm="1">
        <f t="array" ref="I551">H551 &amp; _xlfn.REGEXEXTRACT(G551,"^[^_]+_\d{4}") &amp; ".pdf"</f>
        <v>https://www.ocf.berkeley.edu/~pkmendez/envsci/projects/2015final/ZhangA_2015.pdf</v>
      </c>
      <c r="J551" s="1" t="str">
        <f t="shared" si="9"/>
        <v>https://www.ocf.berkeley.edu/~pkmendez/envsci/projects/2015final/ZhangA_2015.pdf</v>
      </c>
      <c r="K551" s="2" t="str" cm="1">
        <f t="array" ref="K551:O551">_xlfn.TAKE(TRIM(_xlfn.TEXTSPLIT(F551,{",",";"})),,5)</f>
        <v>beetles</v>
      </c>
      <c r="L551" s="2" t="str">
        <v>biodiversity</v>
      </c>
      <c r="M551" s="2" t="str">
        <v>Carabidae</v>
      </c>
      <c r="N551" s="2" t="str">
        <v>community response</v>
      </c>
      <c r="O551" s="2" t="str">
        <v>forest fire</v>
      </c>
      <c r="P551" s="2" t="s">
        <v>9</v>
      </c>
      <c r="Q551" s="2" t="s">
        <v>10</v>
      </c>
    </row>
    <row r="552" spans="1:17" x14ac:dyDescent="0.35">
      <c r="A552" s="2" t="s">
        <v>5884</v>
      </c>
      <c r="B552" s="2" t="s">
        <v>3081</v>
      </c>
      <c r="C552" s="2" t="s">
        <v>3082</v>
      </c>
      <c r="D552" s="2">
        <v>2014</v>
      </c>
      <c r="E552" s="2" t="s">
        <v>3083</v>
      </c>
      <c r="F552" s="2" t="s">
        <v>3084</v>
      </c>
      <c r="G552" s="2" t="s">
        <v>3085</v>
      </c>
      <c r="H552" s="2" t="s">
        <v>3086</v>
      </c>
      <c r="I552" s="2" t="str" cm="1">
        <f t="array" ref="I552">H552 &amp; _xlfn.REGEXEXTRACT(G552,"^[^_]+_\d{4}") &amp; ".pdf"</f>
        <v>https://www.ocf.berkeley.edu/~pkmendez/envsci/projects/2014final/BhaijeewalaQ_2014.pdf</v>
      </c>
      <c r="J552" s="1" t="str">
        <f t="shared" si="9"/>
        <v>https://www.ocf.berkeley.edu/~pkmendez/envsci/projects/2014final/BhaijeewalaQ_2014.pdf</v>
      </c>
      <c r="K552" s="2" t="str" cm="1">
        <f t="array" ref="K552:O552">_xlfn.TAKE(TRIM(_xlfn.TEXTSPLIT(F552,{",",";"})),,5)</f>
        <v>oil spill response</v>
      </c>
      <c r="L552" s="2" t="str">
        <v>BP oil spill</v>
      </c>
      <c r="M552" s="2" t="str">
        <v>Deepwater Horizon</v>
      </c>
      <c r="N552" s="2" t="str">
        <v>Macondo Well blowout</v>
      </c>
      <c r="O552" s="2" t="str">
        <v>mechanical recovery</v>
      </c>
      <c r="P552" s="2" t="s">
        <v>9</v>
      </c>
      <c r="Q552" s="2" t="s">
        <v>10</v>
      </c>
    </row>
    <row r="553" spans="1:17" x14ac:dyDescent="0.35">
      <c r="A553" s="2" t="s">
        <v>5884</v>
      </c>
      <c r="B553" s="2" t="s">
        <v>3087</v>
      </c>
      <c r="C553" s="2" t="s">
        <v>3088</v>
      </c>
      <c r="D553" s="2">
        <v>2014</v>
      </c>
      <c r="E553" s="2" t="s">
        <v>3089</v>
      </c>
      <c r="F553" s="2" t="s">
        <v>3090</v>
      </c>
      <c r="G553" s="2" t="s">
        <v>3091</v>
      </c>
      <c r="H553" s="2" t="s">
        <v>3086</v>
      </c>
      <c r="I553" s="2" t="str" cm="1">
        <f t="array" ref="I553">H553 &amp; _xlfn.REGEXEXTRACT(G553,"^[^_]+_\d{4}") &amp; ".pdf"</f>
        <v>https://www.ocf.berkeley.edu/~pkmendez/envsci/projects/2014final/CaoY_2014.pdf</v>
      </c>
      <c r="J553" s="1" t="str">
        <f t="shared" si="9"/>
        <v>https://www.ocf.berkeley.edu/~pkmendez/envsci/projects/2014final/CaoY_2014.pdf</v>
      </c>
      <c r="K553" s="2" t="str" cm="1">
        <f t="array" ref="K553:O553">_xlfn.TAKE(TRIM(_xlfn.TEXTSPLIT(F553,{",",";"})),,5)</f>
        <v>Beijing universities</v>
      </c>
      <c r="L553" s="2" t="str">
        <v>restaurants</v>
      </c>
      <c r="M553" s="2" t="str">
        <v>consumer behavior</v>
      </c>
      <c r="N553" s="2" t="str">
        <v>attitudes</v>
      </c>
      <c r="O553" s="2" t="str">
        <v>knowledge</v>
      </c>
      <c r="P553" s="2" t="s">
        <v>9</v>
      </c>
      <c r="Q553" s="2" t="s">
        <v>10</v>
      </c>
    </row>
    <row r="554" spans="1:17" x14ac:dyDescent="0.35">
      <c r="A554" s="2" t="s">
        <v>5884</v>
      </c>
      <c r="B554" s="2" t="s">
        <v>3092</v>
      </c>
      <c r="C554" s="2" t="s">
        <v>3093</v>
      </c>
      <c r="D554" s="2">
        <v>2014</v>
      </c>
      <c r="E554" s="2" t="s">
        <v>3094</v>
      </c>
      <c r="F554" s="2" t="s">
        <v>3095</v>
      </c>
      <c r="G554" s="2" t="s">
        <v>3096</v>
      </c>
      <c r="H554" s="2" t="s">
        <v>3086</v>
      </c>
      <c r="I554" s="2" t="str" cm="1">
        <f t="array" ref="I554">H554 &amp; _xlfn.REGEXEXTRACT(G554,"^[^_]+_\d{4}") &amp; ".pdf"</f>
        <v>https://www.ocf.berkeley.edu/~pkmendez/envsci/projects/2014final/CarbajalK_2014.pdf</v>
      </c>
      <c r="J554" s="1" t="str">
        <f t="shared" si="9"/>
        <v>https://www.ocf.berkeley.edu/~pkmendez/envsci/projects/2014final/CarbajalK_2014.pdf</v>
      </c>
      <c r="K554" s="2" t="str" cm="1">
        <f t="array" ref="K554:O554">_xlfn.TAKE(TRIM(_xlfn.TEXTSPLIT(F554,{",",";"})),,5)</f>
        <v>Dissimilatory sulfate reduction</v>
      </c>
      <c r="L554" s="2" t="str">
        <v>ArcGIS</v>
      </c>
      <c r="M554" s="2" t="str">
        <v>flow-through reactor</v>
      </c>
      <c r="N554" s="2" t="str">
        <v>soil slurry</v>
      </c>
      <c r="O554" s="2" t="str">
        <v>HPLC</v>
      </c>
      <c r="P554" s="2" t="s">
        <v>9</v>
      </c>
      <c r="Q554" s="2" t="s">
        <v>10</v>
      </c>
    </row>
    <row r="555" spans="1:17" x14ac:dyDescent="0.35">
      <c r="A555" s="2" t="s">
        <v>5884</v>
      </c>
      <c r="B555" s="2" t="s">
        <v>3097</v>
      </c>
      <c r="C555" s="2" t="s">
        <v>3098</v>
      </c>
      <c r="D555" s="2">
        <v>2014</v>
      </c>
      <c r="E555" s="2" t="s">
        <v>3099</v>
      </c>
      <c r="F555" s="2" t="s">
        <v>3100</v>
      </c>
      <c r="G555" s="2" t="s">
        <v>3101</v>
      </c>
      <c r="H555" s="2" t="s">
        <v>3086</v>
      </c>
      <c r="I555" s="2" t="str" cm="1">
        <f t="array" ref="I555">H555 &amp; _xlfn.REGEXEXTRACT(G555,"^[^_]+_\d{4}") &amp; ".pdf"</f>
        <v>https://www.ocf.berkeley.edu/~pkmendez/envsci/projects/2014final/ChampenoisF_2014.pdf</v>
      </c>
      <c r="J555" s="1" t="str">
        <f t="shared" si="9"/>
        <v>https://www.ocf.berkeley.edu/~pkmendez/envsci/projects/2014final/ChampenoisF_2014.pdf</v>
      </c>
      <c r="K555" s="2" t="str" cm="1">
        <f t="array" ref="K555:O555">_xlfn.TAKE(TRIM(_xlfn.TEXTSPLIT(F555,{",",";"})),,5)</f>
        <v>Canis Lupus</v>
      </c>
      <c r="L555" s="2" t="str">
        <v>Media</v>
      </c>
      <c r="M555" s="2" t="str">
        <v>Wildlife</v>
      </c>
      <c r="N555" s="2" t="str">
        <v>Co-adaptive Management</v>
      </c>
      <c r="O555" s="2" t="str">
        <v>Pastoralism</v>
      </c>
      <c r="P555" s="2" t="s">
        <v>9</v>
      </c>
      <c r="Q555" s="2" t="s">
        <v>10</v>
      </c>
    </row>
    <row r="556" spans="1:17" x14ac:dyDescent="0.35">
      <c r="A556" s="2" t="s">
        <v>5884</v>
      </c>
      <c r="B556" s="2" t="s">
        <v>3102</v>
      </c>
      <c r="C556" s="2" t="s">
        <v>3103</v>
      </c>
      <c r="D556" s="2">
        <v>2014</v>
      </c>
      <c r="E556" s="2" t="s">
        <v>3104</v>
      </c>
      <c r="F556" s="2" t="s">
        <v>3105</v>
      </c>
      <c r="G556" s="2" t="s">
        <v>3106</v>
      </c>
      <c r="H556" s="2" t="s">
        <v>3086</v>
      </c>
      <c r="I556" s="2" t="str" cm="1">
        <f t="array" ref="I556">H556 &amp; _xlfn.REGEXEXTRACT(G556,"^[^_]+_\d{4}") &amp; ".pdf"</f>
        <v>https://www.ocf.berkeley.edu/~pkmendez/envsci/projects/2014final/ChenK_2014.pdf</v>
      </c>
      <c r="J556" s="1" t="str">
        <f t="shared" si="9"/>
        <v>https://www.ocf.berkeley.edu/~pkmendez/envsci/projects/2014final/ChenK_2014.pdf</v>
      </c>
      <c r="K556" s="2" t="str" cm="1">
        <f t="array" ref="K556:O556">_xlfn.TAKE(TRIM(_xlfn.TEXTSPLIT(F556,{",",";"})),,5)</f>
        <v>behavioral food conditioning</v>
      </c>
      <c r="L556" s="2" t="str">
        <v>smasher</v>
      </c>
      <c r="M556" s="2" t="str">
        <v>spearer</v>
      </c>
      <c r="N556" s="2" t="str">
        <v>climate change adaptation</v>
      </c>
      <c r="O556" s="2" t="str">
        <v>predator attack mechanism</v>
      </c>
      <c r="P556" s="2" t="s">
        <v>9</v>
      </c>
      <c r="Q556" s="2" t="s">
        <v>10</v>
      </c>
    </row>
    <row r="557" spans="1:17" x14ac:dyDescent="0.35">
      <c r="A557" s="2" t="s">
        <v>5884</v>
      </c>
      <c r="B557" s="2" t="s">
        <v>3107</v>
      </c>
      <c r="C557" s="2" t="s">
        <v>3108</v>
      </c>
      <c r="D557" s="2">
        <v>2014</v>
      </c>
      <c r="E557" s="2" t="s">
        <v>3109</v>
      </c>
      <c r="F557" s="2" t="s">
        <v>3110</v>
      </c>
      <c r="G557" s="2" t="s">
        <v>3111</v>
      </c>
      <c r="H557" s="2" t="s">
        <v>3086</v>
      </c>
      <c r="I557" s="2" t="str" cm="1">
        <f t="array" ref="I557">H557 &amp; _xlfn.REGEXEXTRACT(G557,"^[^_]+_\d{4}") &amp; ".pdf"</f>
        <v>https://www.ocf.berkeley.edu/~pkmendez/envsci/projects/2014final/ChoiM_2014.pdf</v>
      </c>
      <c r="J557" s="1" t="str">
        <f t="shared" si="9"/>
        <v>https://www.ocf.berkeley.edu/~pkmendez/envsci/projects/2014final/ChoiM_2014.pdf</v>
      </c>
      <c r="K557" s="2" t="str" cm="1">
        <f t="array" ref="K557:O557">_xlfn.TAKE(TRIM(_xlfn.TEXTSPLIT(F557,{",",";"})),,5)</f>
        <v>Species distribution</v>
      </c>
      <c r="L557" s="2" t="str">
        <v>biogeography</v>
      </c>
      <c r="M557" s="2" t="str">
        <v>ArcGIS</v>
      </c>
      <c r="N557" s="2" t="str">
        <v>MaxEnt</v>
      </c>
      <c r="O557" s="2" t="str">
        <v>phylogenetics</v>
      </c>
      <c r="P557" s="2" t="s">
        <v>9</v>
      </c>
      <c r="Q557" s="2" t="s">
        <v>10</v>
      </c>
    </row>
    <row r="558" spans="1:17" x14ac:dyDescent="0.35">
      <c r="A558" s="2" t="s">
        <v>5884</v>
      </c>
      <c r="B558" s="2" t="s">
        <v>3112</v>
      </c>
      <c r="C558" s="2" t="s">
        <v>3113</v>
      </c>
      <c r="D558" s="2">
        <v>2014</v>
      </c>
      <c r="E558" s="2" t="s">
        <v>3114</v>
      </c>
      <c r="F558" s="2" t="s">
        <v>3115</v>
      </c>
      <c r="G558" s="2" t="s">
        <v>3116</v>
      </c>
      <c r="H558" s="2" t="s">
        <v>3086</v>
      </c>
      <c r="I558" s="2" t="str" cm="1">
        <f t="array" ref="I558">H558 &amp; _xlfn.REGEXEXTRACT(G558,"^[^_]+_\d{4}") &amp; ".pdf"</f>
        <v>https://www.ocf.berkeley.edu/~pkmendez/envsci/projects/2014final/ChungS_2014.pdf</v>
      </c>
      <c r="J558" s="1" t="str">
        <f t="shared" si="9"/>
        <v>https://www.ocf.berkeley.edu/~pkmendez/envsci/projects/2014final/ChungS_2014.pdf</v>
      </c>
      <c r="K558" s="2" t="str" cm="1">
        <f t="array" ref="K558:O558">_xlfn.TAKE(TRIM(_xlfn.TEXTSPLIT(F558,{",",";"})),,5)</f>
        <v>literature review</v>
      </c>
      <c r="L558" s="2" t="str">
        <v>insecticides</v>
      </c>
      <c r="M558" s="2" t="str">
        <v>pheromone traps</v>
      </c>
      <c r="N558" s="2" t="str">
        <v>mating disruption</v>
      </c>
      <c r="O558" s="2" t="str">
        <v>biological control</v>
      </c>
      <c r="P558" s="2" t="s">
        <v>9</v>
      </c>
      <c r="Q558" s="2" t="s">
        <v>10</v>
      </c>
    </row>
    <row r="559" spans="1:17" x14ac:dyDescent="0.35">
      <c r="A559" s="2" t="s">
        <v>5884</v>
      </c>
      <c r="B559" s="2" t="s">
        <v>3117</v>
      </c>
      <c r="C559" s="2" t="s">
        <v>3118</v>
      </c>
      <c r="D559" s="2">
        <v>2014</v>
      </c>
      <c r="E559" s="2" t="s">
        <v>3119</v>
      </c>
      <c r="F559" s="2" t="s">
        <v>3120</v>
      </c>
      <c r="G559" s="2" t="s">
        <v>3121</v>
      </c>
      <c r="H559" s="2" t="s">
        <v>3086</v>
      </c>
      <c r="I559" s="2" t="str" cm="1">
        <f t="array" ref="I559">H559 &amp; _xlfn.REGEXEXTRACT(G559,"^[^_]+_\d{4}") &amp; ".pdf"</f>
        <v>https://www.ocf.berkeley.edu/~pkmendez/envsci/projects/2014final/DuggalK_2014.pdf</v>
      </c>
      <c r="J559" s="1" t="str">
        <f t="shared" si="9"/>
        <v>https://www.ocf.berkeley.edu/~pkmendez/envsci/projects/2014final/DuggalK_2014.pdf</v>
      </c>
      <c r="K559" s="2" t="str" cm="1">
        <f t="array" ref="K559:O559">_xlfn.TAKE(TRIM(_xlfn.TEXTSPLIT(F559,{",",";"})),,5)</f>
        <v>renewable energy</v>
      </c>
      <c r="L559" s="2" t="str">
        <v>subsidies</v>
      </c>
      <c r="M559" s="2" t="str">
        <v>box-type cookers</v>
      </c>
      <c r="N559" s="2" t="str">
        <v>interviews</v>
      </c>
      <c r="O559" s="2" t="str">
        <v>surveys</v>
      </c>
      <c r="P559" s="2" t="s">
        <v>9</v>
      </c>
      <c r="Q559" s="2" t="s">
        <v>10</v>
      </c>
    </row>
    <row r="560" spans="1:17" x14ac:dyDescent="0.35">
      <c r="A560" s="2" t="s">
        <v>5884</v>
      </c>
      <c r="B560" s="2" t="s">
        <v>3122</v>
      </c>
      <c r="C560" s="2" t="s">
        <v>3123</v>
      </c>
      <c r="D560" s="2">
        <v>2014</v>
      </c>
      <c r="E560" s="2" t="s">
        <v>3124</v>
      </c>
      <c r="F560" s="2" t="s">
        <v>3125</v>
      </c>
      <c r="G560" s="2" t="s">
        <v>3126</v>
      </c>
      <c r="H560" s="2" t="s">
        <v>3086</v>
      </c>
      <c r="I560" s="2" t="str" cm="1">
        <f t="array" ref="I560">H560 &amp; _xlfn.REGEXEXTRACT(G560,"^[^_]+_\d{4}") &amp; ".pdf"</f>
        <v>https://www.ocf.berkeley.edu/~pkmendez/envsci/projects/2014final/GargeyaN_2014.pdf</v>
      </c>
      <c r="J560" s="1" t="str">
        <f t="shared" si="9"/>
        <v>https://www.ocf.berkeley.edu/~pkmendez/envsci/projects/2014final/GargeyaN_2014.pdf</v>
      </c>
      <c r="K560" s="2" t="str" cm="1">
        <f t="array" ref="K560:O560">_xlfn.TAKE(TRIM(_xlfn.TEXTSPLIT(F560,{",",";"})),,5)</f>
        <v>Rural electrification</v>
      </c>
      <c r="L560" s="2" t="str">
        <v>energy access</v>
      </c>
      <c r="M560" s="2" t="str">
        <v>subsidies</v>
      </c>
      <c r="N560" s="2" t="str">
        <v>solar power</v>
      </c>
      <c r="O560" s="2" t="str">
        <v>diesel generators</v>
      </c>
      <c r="P560" s="2" t="s">
        <v>9</v>
      </c>
      <c r="Q560" s="2" t="s">
        <v>10</v>
      </c>
    </row>
    <row r="561" spans="1:17" x14ac:dyDescent="0.35">
      <c r="A561" s="2" t="s">
        <v>5884</v>
      </c>
      <c r="B561" s="2" t="s">
        <v>3127</v>
      </c>
      <c r="C561" s="2" t="s">
        <v>3128</v>
      </c>
      <c r="D561" s="2">
        <v>2014</v>
      </c>
      <c r="E561" s="2" t="s">
        <v>3129</v>
      </c>
      <c r="F561" s="2" t="s">
        <v>3130</v>
      </c>
      <c r="G561" s="2" t="s">
        <v>3131</v>
      </c>
      <c r="H561" s="2" t="s">
        <v>3086</v>
      </c>
      <c r="I561" s="2" t="str" cm="1">
        <f t="array" ref="I561">H561 &amp; _xlfn.REGEXEXTRACT(G561,"^[^_]+_\d{4}") &amp; ".pdf"</f>
        <v>https://www.ocf.berkeley.edu/~pkmendez/envsci/projects/2014final/GongB_2014.pdf</v>
      </c>
      <c r="J561" s="1" t="str">
        <f t="shared" si="9"/>
        <v>https://www.ocf.berkeley.edu/~pkmendez/envsci/projects/2014final/GongB_2014.pdf</v>
      </c>
      <c r="K561" s="2" t="str" cm="1">
        <f t="array" ref="K561:O561">_xlfn.TAKE(TRIM(_xlfn.TEXTSPLIT(F561,{",",";"})),,5)</f>
        <v>Suitability analysis</v>
      </c>
      <c r="L561" s="2" t="str">
        <v>Colorado River</v>
      </c>
      <c r="M561" s="2" t="str">
        <v>DEM analysis</v>
      </c>
      <c r="N561" s="2" t="str">
        <v>Lower Colorado River Restoration Project</v>
      </c>
      <c r="O561" s="2" t="str">
        <v>Restoration Type Comparison</v>
      </c>
      <c r="P561" s="2" t="s">
        <v>9</v>
      </c>
      <c r="Q561" s="2" t="s">
        <v>10</v>
      </c>
    </row>
    <row r="562" spans="1:17" x14ac:dyDescent="0.35">
      <c r="A562" s="2" t="s">
        <v>5884</v>
      </c>
      <c r="B562" s="2" t="s">
        <v>3132</v>
      </c>
      <c r="C562" s="2" t="s">
        <v>3133</v>
      </c>
      <c r="D562" s="2">
        <v>2014</v>
      </c>
      <c r="E562" s="2" t="s">
        <v>3134</v>
      </c>
      <c r="F562" s="2" t="s">
        <v>3135</v>
      </c>
      <c r="G562" s="2" t="s">
        <v>3136</v>
      </c>
      <c r="H562" s="2" t="s">
        <v>3086</v>
      </c>
      <c r="I562" s="2" t="str" cm="1">
        <f t="array" ref="I562">H562 &amp; _xlfn.REGEXEXTRACT(G562,"^[^_]+_\d{4}") &amp; ".pdf"</f>
        <v>https://www.ocf.berkeley.edu/~pkmendez/envsci/projects/2014final/GrayA_2014.pdf</v>
      </c>
      <c r="J562" s="1" t="str">
        <f t="shared" si="9"/>
        <v>https://www.ocf.berkeley.edu/~pkmendez/envsci/projects/2014final/GrayA_2014.pdf</v>
      </c>
      <c r="K562" s="2" t="str" cm="1">
        <f t="array" ref="K562:O562">_xlfn.TAKE(TRIM(_xlfn.TEXTSPLIT(F562,{",",";"})),,5)</f>
        <v>green architecture</v>
      </c>
      <c r="L562" s="2" t="str">
        <v>urban gardening</v>
      </c>
      <c r="M562" s="2" t="str">
        <v>identity construction</v>
      </c>
      <c r="N562" s="2" t="str">
        <v>social influence</v>
      </c>
      <c r="O562" s="2" t="str">
        <v>community</v>
      </c>
      <c r="P562" s="2" t="s">
        <v>9</v>
      </c>
      <c r="Q562" s="2" t="s">
        <v>10</v>
      </c>
    </row>
    <row r="563" spans="1:17" x14ac:dyDescent="0.35">
      <c r="A563" s="2" t="s">
        <v>5884</v>
      </c>
      <c r="B563" s="2" t="s">
        <v>3137</v>
      </c>
      <c r="C563" s="2" t="s">
        <v>3138</v>
      </c>
      <c r="D563" s="2">
        <v>2014</v>
      </c>
      <c r="E563" s="2" t="s">
        <v>3139</v>
      </c>
      <c r="F563" s="2" t="s">
        <v>3140</v>
      </c>
      <c r="G563" s="2" t="s">
        <v>3141</v>
      </c>
      <c r="H563" s="2" t="s">
        <v>3086</v>
      </c>
      <c r="I563" s="2" t="str" cm="1">
        <f t="array" ref="I563">H563 &amp; _xlfn.REGEXEXTRACT(G563,"^[^_]+_\d{4}") &amp; ".pdf"</f>
        <v>https://www.ocf.berkeley.edu/~pkmendez/envsci/projects/2014final/HammoudK_2014.pdf</v>
      </c>
      <c r="J563" s="1" t="str">
        <f t="shared" si="9"/>
        <v>https://www.ocf.berkeley.edu/~pkmendez/envsci/projects/2014final/HammoudK_2014.pdf</v>
      </c>
      <c r="K563" s="2" t="str" cm="1">
        <f t="array" ref="K563:O563">_xlfn.TAKE(TRIM(_xlfn.TEXTSPLIT(F563,{",",";"})),,5)</f>
        <v>demand side management</v>
      </c>
      <c r="L563" s="2" t="str">
        <v>resource conservation</v>
      </c>
      <c r="M563" s="2" t="str">
        <v>human behavior change</v>
      </c>
      <c r="N563" s="2" t="str">
        <v>technical retrofits</v>
      </c>
      <c r="O563" s="2" t="str">
        <v>educating environmentalism</v>
      </c>
      <c r="P563" s="2" t="s">
        <v>9</v>
      </c>
      <c r="Q563" s="2" t="s">
        <v>10</v>
      </c>
    </row>
    <row r="564" spans="1:17" x14ac:dyDescent="0.35">
      <c r="A564" s="2" t="s">
        <v>5884</v>
      </c>
      <c r="B564" s="2" t="s">
        <v>3142</v>
      </c>
      <c r="C564" s="2" t="s">
        <v>3143</v>
      </c>
      <c r="D564" s="2">
        <v>2014</v>
      </c>
      <c r="E564" s="2" t="s">
        <v>3144</v>
      </c>
      <c r="F564" s="2" t="s">
        <v>3145</v>
      </c>
      <c r="G564" s="2" t="s">
        <v>3146</v>
      </c>
      <c r="H564" s="2" t="s">
        <v>3086</v>
      </c>
      <c r="I564" s="2" t="str" cm="1">
        <f t="array" ref="I564">H564 &amp; _xlfn.REGEXEXTRACT(G564,"^[^_]+_\d{4}") &amp; ".pdf"</f>
        <v>https://www.ocf.berkeley.edu/~pkmendez/envsci/projects/2014final/HillerA_2014.pdf</v>
      </c>
      <c r="J564" s="1" t="str">
        <f t="shared" si="9"/>
        <v>https://www.ocf.berkeley.edu/~pkmendez/envsci/projects/2014final/HillerA_2014.pdf</v>
      </c>
      <c r="K564" s="2" t="str" cm="1">
        <f t="array" ref="K564:O564">_xlfn.TAKE(TRIM(_xlfn.TEXTSPLIT(F564,{",",";"})),,5)</f>
        <v>Laupala</v>
      </c>
      <c r="L564" s="2" t="str">
        <v>Hawaii</v>
      </c>
      <c r="M564" s="2" t="str">
        <v>Maxent</v>
      </c>
      <c r="N564" s="2" t="str">
        <v>niche overlap</v>
      </c>
      <c r="O564" s="2" t="str">
        <v>phylogenetic signal</v>
      </c>
      <c r="P564" s="2" t="s">
        <v>9</v>
      </c>
      <c r="Q564" s="2" t="s">
        <v>10</v>
      </c>
    </row>
    <row r="565" spans="1:17" x14ac:dyDescent="0.35">
      <c r="A565" s="2" t="s">
        <v>5884</v>
      </c>
      <c r="B565" s="2" t="s">
        <v>3147</v>
      </c>
      <c r="C565" s="2" t="s">
        <v>3148</v>
      </c>
      <c r="D565" s="2">
        <v>2014</v>
      </c>
      <c r="E565" s="2" t="s">
        <v>3149</v>
      </c>
      <c r="F565" s="2" t="s">
        <v>3150</v>
      </c>
      <c r="G565" s="2" t="s">
        <v>3151</v>
      </c>
      <c r="H565" s="2" t="s">
        <v>3086</v>
      </c>
      <c r="I565" s="2" t="str" cm="1">
        <f t="array" ref="I565">H565 &amp; _xlfn.REGEXEXTRACT(G565,"^[^_]+_\d{4}") &amp; ".pdf"</f>
        <v>https://www.ocf.berkeley.edu/~pkmendez/envsci/projects/2014final/HurtadoJ_2014.pdf</v>
      </c>
      <c r="J565" s="1" t="str">
        <f t="shared" si="9"/>
        <v>https://www.ocf.berkeley.edu/~pkmendez/envsci/projects/2014final/HurtadoJ_2014.pdf</v>
      </c>
      <c r="K565" s="2" t="str" cm="1">
        <f t="array" ref="K565:O565">_xlfn.TAKE(TRIM(_xlfn.TEXTSPLIT(F565,{",",";"})),,5)</f>
        <v>food movement</v>
      </c>
      <c r="L565" s="2" t="str">
        <v>youth nutrition</v>
      </c>
      <c r="M565" s="2" t="str">
        <v>outside education</v>
      </c>
      <c r="N565" s="2" t="str">
        <v>food programs</v>
      </c>
      <c r="O565" s="2" t="str">
        <v>food consumption</v>
      </c>
      <c r="P565" s="2" t="s">
        <v>9</v>
      </c>
      <c r="Q565" s="2" t="s">
        <v>10</v>
      </c>
    </row>
    <row r="566" spans="1:17" x14ac:dyDescent="0.35">
      <c r="A566" s="2" t="s">
        <v>5884</v>
      </c>
      <c r="B566" s="2" t="s">
        <v>3152</v>
      </c>
      <c r="C566" s="2" t="s">
        <v>3153</v>
      </c>
      <c r="D566" s="2">
        <v>2014</v>
      </c>
      <c r="E566" s="2" t="s">
        <v>3154</v>
      </c>
      <c r="F566" s="2" t="s">
        <v>3155</v>
      </c>
      <c r="G566" s="2" t="s">
        <v>3156</v>
      </c>
      <c r="H566" s="2" t="s">
        <v>3086</v>
      </c>
      <c r="I566" s="2" t="str" cm="1">
        <f t="array" ref="I566">H566 &amp; _xlfn.REGEXEXTRACT(G566,"^[^_]+_\d{4}") &amp; ".pdf"</f>
        <v>https://www.ocf.berkeley.edu/~pkmendez/envsci/projects/2014final/KaplanS_2014.pdf</v>
      </c>
      <c r="J566" s="1" t="str">
        <f t="shared" si="9"/>
        <v>https://www.ocf.berkeley.edu/~pkmendez/envsci/projects/2014final/KaplanS_2014.pdf</v>
      </c>
      <c r="K566" s="2" t="str" cm="1">
        <f t="array" ref="K566:O566">_xlfn.TAKE(TRIM(_xlfn.TEXTSPLIT(F566,{",",";"})),,5)</f>
        <v>methane leakage</v>
      </c>
      <c r="L566" s="2" t="str">
        <v>carbon tax</v>
      </c>
      <c r="M566" s="2" t="str">
        <v>carbon dioxide</v>
      </c>
      <c r="N566" s="2" t="str">
        <v>energy substitution</v>
      </c>
      <c r="O566" s="2" t="str">
        <v>energy policy</v>
      </c>
      <c r="P566" s="2" t="s">
        <v>9</v>
      </c>
      <c r="Q566" s="2" t="s">
        <v>10</v>
      </c>
    </row>
    <row r="567" spans="1:17" x14ac:dyDescent="0.35">
      <c r="A567" s="2" t="s">
        <v>5884</v>
      </c>
      <c r="B567" s="2" t="s">
        <v>3157</v>
      </c>
      <c r="C567" s="2" t="s">
        <v>3158</v>
      </c>
      <c r="D567" s="2">
        <v>2014</v>
      </c>
      <c r="E567" s="2" t="s">
        <v>3159</v>
      </c>
      <c r="F567" s="2" t="s">
        <v>3160</v>
      </c>
      <c r="G567" s="2" t="s">
        <v>3161</v>
      </c>
      <c r="H567" s="2" t="s">
        <v>3086</v>
      </c>
      <c r="I567" s="2" t="str" cm="1">
        <f t="array" ref="I567">H567 &amp; _xlfn.REGEXEXTRACT(G567,"^[^_]+_\d{4}") &amp; ".pdf"</f>
        <v>https://www.ocf.berkeley.edu/~pkmendez/envsci/projects/2014final/KapurM_2014.pdf</v>
      </c>
      <c r="J567" s="1" t="str">
        <f t="shared" si="9"/>
        <v>https://www.ocf.berkeley.edu/~pkmendez/envsci/projects/2014final/KapurM_2014.pdf</v>
      </c>
      <c r="K567" s="2" t="str" cm="1">
        <f t="array" ref="K567:O567">_xlfn.TAKE(TRIM(_xlfn.TEXTSPLIT(F567,{",",";"})),,5)</f>
        <v>species distribution modeling</v>
      </c>
      <c r="L567" s="2" t="str">
        <v>climate change</v>
      </c>
      <c r="M567" s="2" t="str">
        <v>Maxent</v>
      </c>
      <c r="N567" s="2" t="str">
        <v>Mediterranean climate</v>
      </c>
      <c r="O567" s="2" t="str">
        <v>benthic macroinvertebrates</v>
      </c>
      <c r="P567" s="2" t="s">
        <v>9</v>
      </c>
      <c r="Q567" s="2" t="s">
        <v>10</v>
      </c>
    </row>
    <row r="568" spans="1:17" x14ac:dyDescent="0.35">
      <c r="A568" s="2" t="s">
        <v>5884</v>
      </c>
      <c r="B568" s="2" t="s">
        <v>3162</v>
      </c>
      <c r="C568" s="2" t="s">
        <v>3163</v>
      </c>
      <c r="D568" s="2">
        <v>2014</v>
      </c>
      <c r="E568" s="2" t="s">
        <v>3164</v>
      </c>
      <c r="F568" s="2" t="s">
        <v>3165</v>
      </c>
      <c r="G568" s="2" t="s">
        <v>3166</v>
      </c>
      <c r="H568" s="2" t="s">
        <v>3086</v>
      </c>
      <c r="I568" s="2" t="str" cm="1">
        <f t="array" ref="I568">H568 &amp; _xlfn.REGEXEXTRACT(G568,"^[^_]+_\d{4}") &amp; ".pdf"</f>
        <v>https://www.ocf.berkeley.edu/~pkmendez/envsci/projects/2014final/LamC_2014.pdf</v>
      </c>
      <c r="J568" s="1" t="str">
        <f t="shared" si="9"/>
        <v>https://www.ocf.berkeley.edu/~pkmendez/envsci/projects/2014final/LamC_2014.pdf</v>
      </c>
      <c r="K568" s="2" t="str" cm="1">
        <f t="array" ref="K568:O568">_xlfn.TAKE(TRIM(_xlfn.TEXTSPLIT(F568,{",",";"})),,5)</f>
        <v>growth patterns</v>
      </c>
      <c r="L568" s="2" t="str">
        <v>emergence</v>
      </c>
      <c r="M568" s="2" t="str">
        <v>voltinism</v>
      </c>
      <c r="N568" s="2" t="str">
        <v>habitat differences</v>
      </c>
      <c r="O568" s="2" t="str">
        <v>benthic macroinvertebrates</v>
      </c>
      <c r="P568" s="2" t="s">
        <v>9</v>
      </c>
      <c r="Q568" s="2" t="s">
        <v>10</v>
      </c>
    </row>
    <row r="569" spans="1:17" x14ac:dyDescent="0.35">
      <c r="A569" s="2" t="s">
        <v>5884</v>
      </c>
      <c r="B569" s="2" t="s">
        <v>3167</v>
      </c>
      <c r="C569" s="2" t="s">
        <v>3168</v>
      </c>
      <c r="D569" s="2">
        <v>2014</v>
      </c>
      <c r="E569" s="2" t="s">
        <v>3169</v>
      </c>
      <c r="F569" s="2" t="s">
        <v>3170</v>
      </c>
      <c r="G569" s="2" t="s">
        <v>3171</v>
      </c>
      <c r="H569" s="2" t="s">
        <v>3086</v>
      </c>
      <c r="I569" s="2" t="str" cm="1">
        <f t="array" ref="I569">H569 &amp; _xlfn.REGEXEXTRACT(G569,"^[^_]+_\d{4}") &amp; ".pdf"</f>
        <v>https://www.ocf.berkeley.edu/~pkmendez/envsci/projects/2014final/LauD_2014.pdf</v>
      </c>
      <c r="J569" s="1" t="str">
        <f t="shared" si="9"/>
        <v>https://www.ocf.berkeley.edu/~pkmendez/envsci/projects/2014final/LauD_2014.pdf</v>
      </c>
      <c r="K569" s="2" t="str" cm="1">
        <f t="array" ref="K569:O569">_xlfn.TAKE(TRIM(_xlfn.TEXTSPLIT(F569,{",",";"})),,5)</f>
        <v>Hippodamia convergens pupae</v>
      </c>
      <c r="L569" s="2" t="str">
        <v>beneficial insects</v>
      </c>
      <c r="M569" s="2" t="str">
        <v>reduced-risk</v>
      </c>
      <c r="N569" s="2" t="str">
        <v>insecticides</v>
      </c>
      <c r="O569" s="2" t="str">
        <v>bioassay</v>
      </c>
      <c r="P569" s="2" t="s">
        <v>9</v>
      </c>
      <c r="Q569" s="2" t="s">
        <v>10</v>
      </c>
    </row>
    <row r="570" spans="1:17" x14ac:dyDescent="0.35">
      <c r="A570" s="2" t="s">
        <v>5884</v>
      </c>
      <c r="B570" s="2" t="s">
        <v>3172</v>
      </c>
      <c r="C570" s="2" t="s">
        <v>3173</v>
      </c>
      <c r="D570" s="2">
        <v>2014</v>
      </c>
      <c r="E570" s="2" t="s">
        <v>3174</v>
      </c>
      <c r="F570" s="2" t="s">
        <v>3175</v>
      </c>
      <c r="G570" s="2" t="s">
        <v>3176</v>
      </c>
      <c r="H570" s="2" t="s">
        <v>3086</v>
      </c>
      <c r="I570" s="2" t="str" cm="1">
        <f t="array" ref="I570">H570 &amp; _xlfn.REGEXEXTRACT(G570,"^[^_]+_\d{4}") &amp; ".pdf"</f>
        <v>https://www.ocf.berkeley.edu/~pkmendez/envsci/projects/2014final/LiJ_2014.pdf</v>
      </c>
      <c r="J570" s="1" t="str">
        <f t="shared" si="9"/>
        <v>https://www.ocf.berkeley.edu/~pkmendez/envsci/projects/2014final/LiJ_2014.pdf</v>
      </c>
      <c r="K570" s="2" t="str" cm="1">
        <f t="array" ref="K570:O570">_xlfn.TAKE(TRIM(_xlfn.TEXTSPLIT(F570,{",",";"})),,5)</f>
        <v>civic participation</v>
      </c>
      <c r="L570" s="2" t="str">
        <v>adaptive management</v>
      </c>
      <c r="M570" s="2" t="str">
        <v>coastal resiliency</v>
      </c>
      <c r="N570" s="2" t="str">
        <v>sea level rise adaptation</v>
      </c>
      <c r="O570" s="2" t="str">
        <v>coastal flooding</v>
      </c>
      <c r="P570" s="2" t="s">
        <v>9</v>
      </c>
      <c r="Q570" s="2" t="s">
        <v>10</v>
      </c>
    </row>
    <row r="571" spans="1:17" x14ac:dyDescent="0.35">
      <c r="A571" s="2" t="s">
        <v>5884</v>
      </c>
      <c r="B571" s="2" t="s">
        <v>3177</v>
      </c>
      <c r="C571" s="2" t="s">
        <v>3178</v>
      </c>
      <c r="D571" s="2">
        <v>2014</v>
      </c>
      <c r="E571" s="2" t="s">
        <v>3179</v>
      </c>
      <c r="F571" s="2" t="s">
        <v>3180</v>
      </c>
      <c r="G571" s="2" t="s">
        <v>3181</v>
      </c>
      <c r="H571" s="2" t="s">
        <v>3086</v>
      </c>
      <c r="I571" s="2" t="str" cm="1">
        <f t="array" ref="I571">H571 &amp; _xlfn.REGEXEXTRACT(G571,"^[^_]+_\d{4}") &amp; ".pdf"</f>
        <v>https://www.ocf.berkeley.edu/~pkmendez/envsci/projects/2014final/LiuK_2014.pdf</v>
      </c>
      <c r="J571" s="1" t="str">
        <f t="shared" si="9"/>
        <v>https://www.ocf.berkeley.edu/~pkmendez/envsci/projects/2014final/LiuK_2014.pdf</v>
      </c>
      <c r="K571" s="2" t="str" cm="1">
        <f t="array" ref="K571:O571">_xlfn.TAKE(TRIM(_xlfn.TEXTSPLIT(F571,{",",";"})),,5)</f>
        <v>hydrocarbon functionalization</v>
      </c>
      <c r="L571" s="2" t="str">
        <v>homogenous catalysis</v>
      </c>
      <c r="M571" s="2" t="str">
        <v>platinum</v>
      </c>
      <c r="N571" s="2" t="str">
        <v>rearrangement</v>
      </c>
      <c r="O571" s="2" t="str">
        <v>organometallic chemistry</v>
      </c>
      <c r="P571" s="2" t="s">
        <v>9</v>
      </c>
      <c r="Q571" s="2" t="s">
        <v>10</v>
      </c>
    </row>
    <row r="572" spans="1:17" x14ac:dyDescent="0.35">
      <c r="A572" s="2" t="s">
        <v>5884</v>
      </c>
      <c r="B572" s="2" t="s">
        <v>3182</v>
      </c>
      <c r="C572" s="2" t="s">
        <v>3183</v>
      </c>
      <c r="D572" s="2">
        <v>2014</v>
      </c>
      <c r="E572" s="2" t="s">
        <v>3184</v>
      </c>
      <c r="F572" s="2" t="s">
        <v>3185</v>
      </c>
      <c r="G572" s="2" t="s">
        <v>3186</v>
      </c>
      <c r="H572" s="2" t="s">
        <v>3086</v>
      </c>
      <c r="I572" s="2" t="str" cm="1">
        <f t="array" ref="I572">H572 &amp; _xlfn.REGEXEXTRACT(G572,"^[^_]+_\d{4}") &amp; ".pdf"</f>
        <v>https://www.ocf.berkeley.edu/~pkmendez/envsci/projects/2014final/LopezD_2014.pdf</v>
      </c>
      <c r="J572" s="1" t="str">
        <f t="shared" si="9"/>
        <v>https://www.ocf.berkeley.edu/~pkmendez/envsci/projects/2014final/LopezD_2014.pdf</v>
      </c>
      <c r="K572" s="2" t="str" cm="1">
        <f t="array" ref="K572:O572">_xlfn.TAKE(TRIM(_xlfn.TEXTSPLIT(F572,{",",";"})),,5)</f>
        <v>risk perception</v>
      </c>
      <c r="L572" s="2" t="str">
        <v>forest management</v>
      </c>
      <c r="M572" s="2" t="str">
        <v>eucalyptus</v>
      </c>
      <c r="N572" s="2" t="str">
        <v>wildfire</v>
      </c>
      <c r="O572" s="2" t="str">
        <v>public opinion</v>
      </c>
      <c r="P572" s="2" t="s">
        <v>9</v>
      </c>
      <c r="Q572" s="2" t="s">
        <v>10</v>
      </c>
    </row>
    <row r="573" spans="1:17" x14ac:dyDescent="0.35">
      <c r="A573" s="2" t="s">
        <v>5884</v>
      </c>
      <c r="B573" s="2" t="s">
        <v>3187</v>
      </c>
      <c r="C573" s="2" t="s">
        <v>3188</v>
      </c>
      <c r="D573" s="2">
        <v>2014</v>
      </c>
      <c r="E573" s="2" t="s">
        <v>3189</v>
      </c>
      <c r="F573" s="2" t="s">
        <v>3190</v>
      </c>
      <c r="G573" s="2" t="s">
        <v>3191</v>
      </c>
      <c r="H573" s="2" t="s">
        <v>3086</v>
      </c>
      <c r="I573" s="2" t="str" cm="1">
        <f t="array" ref="I573">H573 &amp; _xlfn.REGEXEXTRACT(G573,"^[^_]+_\d{4}") &amp; ".pdf"</f>
        <v>https://www.ocf.berkeley.edu/~pkmendez/envsci/projects/2014final/LuA_2014.pdf</v>
      </c>
      <c r="J573" s="1" t="str">
        <f t="shared" si="9"/>
        <v>https://www.ocf.berkeley.edu/~pkmendez/envsci/projects/2014final/LuA_2014.pdf</v>
      </c>
      <c r="K573" s="2" t="str" cm="1">
        <f t="array" ref="K573:O573">_xlfn.TAKE(TRIM(_xlfn.TEXTSPLIT(F573,{",",";"})),,5)</f>
        <v>biomonitoring</v>
      </c>
      <c r="L573" s="2" t="str">
        <v>vegetable oil</v>
      </c>
      <c r="M573" s="2" t="str">
        <v>bioassay</v>
      </c>
      <c r="N573" s="2" t="str">
        <v>toxicity study</v>
      </c>
      <c r="O573" s="2" t="str">
        <v>microcosm</v>
      </c>
      <c r="P573" s="2" t="s">
        <v>9</v>
      </c>
      <c r="Q573" s="2" t="s">
        <v>10</v>
      </c>
    </row>
    <row r="574" spans="1:17" x14ac:dyDescent="0.35">
      <c r="A574" s="2" t="s">
        <v>5884</v>
      </c>
      <c r="B574" s="2" t="s">
        <v>3192</v>
      </c>
      <c r="C574" s="2" t="s">
        <v>3193</v>
      </c>
      <c r="D574" s="2">
        <v>2014</v>
      </c>
      <c r="E574" s="2" t="s">
        <v>3194</v>
      </c>
      <c r="F574" s="2" t="s">
        <v>3195</v>
      </c>
      <c r="G574" s="2" t="s">
        <v>3196</v>
      </c>
      <c r="H574" s="2" t="s">
        <v>3086</v>
      </c>
      <c r="I574" s="2" t="str" cm="1">
        <f t="array" ref="I574">H574 &amp; _xlfn.REGEXEXTRACT(G574,"^[^_]+_\d{4}") &amp; ".pdf"</f>
        <v>https://www.ocf.berkeley.edu/~pkmendez/envsci/projects/2014final/LybergerK_2014.pdf</v>
      </c>
      <c r="J574" s="1" t="str">
        <f t="shared" si="9"/>
        <v>https://www.ocf.berkeley.edu/~pkmendez/envsci/projects/2014final/LybergerK_2014.pdf</v>
      </c>
      <c r="K574" s="2" t="str" cm="1">
        <f t="array" ref="K574:O574">_xlfn.TAKE(TRIM(_xlfn.TEXTSPLIT(F574,{",",";"})),,5)</f>
        <v>Subalpine community</v>
      </c>
      <c r="L574" s="2" t="str">
        <v>ArcGIS</v>
      </c>
      <c r="M574" s="2" t="str">
        <v>site selection</v>
      </c>
      <c r="N574" s="2" t="str">
        <v>Clark’s nutcracker</v>
      </c>
      <c r="O574" s="2" t="str">
        <v>fire</v>
      </c>
      <c r="P574" s="2" t="s">
        <v>9</v>
      </c>
      <c r="Q574" s="2" t="s">
        <v>10</v>
      </c>
    </row>
    <row r="575" spans="1:17" x14ac:dyDescent="0.35">
      <c r="A575" s="2" t="s">
        <v>5884</v>
      </c>
      <c r="B575" s="2" t="s">
        <v>3197</v>
      </c>
      <c r="C575" s="2" t="s">
        <v>3198</v>
      </c>
      <c r="D575" s="2">
        <v>2014</v>
      </c>
      <c r="E575" s="2" t="s">
        <v>3199</v>
      </c>
      <c r="F575" s="2" t="s">
        <v>3200</v>
      </c>
      <c r="G575" s="2" t="s">
        <v>3201</v>
      </c>
      <c r="H575" s="2" t="s">
        <v>3086</v>
      </c>
      <c r="I575" s="2" t="str" cm="1">
        <f t="array" ref="I575">H575 &amp; _xlfn.REGEXEXTRACT(G575,"^[^_]+_\d{4}") &amp; ".pdf"</f>
        <v>https://www.ocf.berkeley.edu/~pkmendez/envsci/projects/2014final/MaddisonE_2014.pdf</v>
      </c>
      <c r="J575" s="1" t="str">
        <f t="shared" si="9"/>
        <v>https://www.ocf.berkeley.edu/~pkmendez/envsci/projects/2014final/MaddisonE_2014.pdf</v>
      </c>
      <c r="K575" s="2" t="str" cm="1">
        <f t="array" ref="K575:O575">_xlfn.TAKE(TRIM(_xlfn.TEXTSPLIT(F575,{",",";"})),,5)</f>
        <v>Tree pathology</v>
      </c>
      <c r="L575" s="2" t="str">
        <v>epidemiology</v>
      </c>
      <c r="M575" s="2" t="str">
        <v>microbiology</v>
      </c>
      <c r="N575" s="2" t="str">
        <v>GIS mapping</v>
      </c>
      <c r="O575" s="2" t="str">
        <v>suitability analysis</v>
      </c>
      <c r="P575" s="2" t="s">
        <v>9</v>
      </c>
      <c r="Q575" s="2" t="s">
        <v>10</v>
      </c>
    </row>
    <row r="576" spans="1:17" x14ac:dyDescent="0.35">
      <c r="A576" s="2" t="s">
        <v>5884</v>
      </c>
      <c r="B576" s="2" t="s">
        <v>3202</v>
      </c>
      <c r="C576" s="2" t="s">
        <v>3203</v>
      </c>
      <c r="D576" s="2">
        <v>2014</v>
      </c>
      <c r="E576" s="2" t="s">
        <v>3204</v>
      </c>
      <c r="F576" s="2" t="s">
        <v>3205</v>
      </c>
      <c r="G576" s="2" t="s">
        <v>3206</v>
      </c>
      <c r="H576" s="2" t="s">
        <v>3086</v>
      </c>
      <c r="I576" s="2" t="str" cm="1">
        <f t="array" ref="I576">H576 &amp; _xlfn.REGEXEXTRACT(G576,"^[^_]+_\d{4}") &amp; ".pdf"</f>
        <v>https://www.ocf.berkeley.edu/~pkmendez/envsci/projects/2014final/McDonaldW_2014.pdf</v>
      </c>
      <c r="J576" s="1" t="str">
        <f t="shared" si="9"/>
        <v>https://www.ocf.berkeley.edu/~pkmendez/envsci/projects/2014final/McDonaldW_2014.pdf</v>
      </c>
      <c r="K576" s="2" t="str" cm="1">
        <f t="array" ref="K576:O576">_xlfn.TAKE(TRIM(_xlfn.TEXTSPLIT(F576,{",",";"})),,5)</f>
        <v>El Nino Southern Oscillation (ENSO)</v>
      </c>
      <c r="L576" s="2" t="str">
        <v>Pacific Decadal Oscillation (PDO)</v>
      </c>
      <c r="M576" s="2" t="str">
        <v>Pacific-North American Pattern (PNA)</v>
      </c>
      <c r="N576" s="2" t="str">
        <v>Snow-Water Equivalence (SWE)</v>
      </c>
      <c r="O576" s="2" t="str">
        <v>Stanislaus</v>
      </c>
      <c r="P576" s="2" t="s">
        <v>9</v>
      </c>
      <c r="Q576" s="2" t="s">
        <v>10</v>
      </c>
    </row>
    <row r="577" spans="1:17" x14ac:dyDescent="0.35">
      <c r="A577" s="2" t="s">
        <v>5884</v>
      </c>
      <c r="B577" s="2" t="s">
        <v>3207</v>
      </c>
      <c r="C577" s="2" t="s">
        <v>3208</v>
      </c>
      <c r="D577" s="2">
        <v>2014</v>
      </c>
      <c r="E577" s="2" t="s">
        <v>3209</v>
      </c>
      <c r="F577" s="2" t="s">
        <v>3210</v>
      </c>
      <c r="G577" s="2" t="s">
        <v>3211</v>
      </c>
      <c r="H577" s="2" t="s">
        <v>3086</v>
      </c>
      <c r="I577" s="2" t="str" cm="1">
        <f t="array" ref="I577">H577 &amp; _xlfn.REGEXEXTRACT(G577,"^[^_]+_\d{4}") &amp; ".pdf"</f>
        <v>https://www.ocf.berkeley.edu/~pkmendez/envsci/projects/2014final/McKeonE_2014.pdf</v>
      </c>
      <c r="J577" s="1" t="str">
        <f t="shared" si="9"/>
        <v>https://www.ocf.berkeley.edu/~pkmendez/envsci/projects/2014final/McKeonE_2014.pdf</v>
      </c>
      <c r="K577" s="2" t="str" cm="1">
        <f t="array" ref="K577:O577">_xlfn.TAKE(TRIM(_xlfn.TEXTSPLIT(F577,{",",";"})),,5)</f>
        <v>Environmental education</v>
      </c>
      <c r="L577" s="2" t="str">
        <v>recycling</v>
      </c>
      <c r="M577" s="2" t="str">
        <v>composting</v>
      </c>
      <c r="N577" s="2" t="str">
        <v>waste audit</v>
      </c>
      <c r="O577" s="2" t="str">
        <v>waste diversion</v>
      </c>
      <c r="P577" s="2" t="s">
        <v>9</v>
      </c>
      <c r="Q577" s="2" t="s">
        <v>10</v>
      </c>
    </row>
    <row r="578" spans="1:17" x14ac:dyDescent="0.35">
      <c r="A578" s="2" t="s">
        <v>5884</v>
      </c>
      <c r="B578" s="2" t="s">
        <v>3212</v>
      </c>
      <c r="C578" s="2" t="s">
        <v>3213</v>
      </c>
      <c r="D578" s="2">
        <v>2014</v>
      </c>
      <c r="E578" s="2" t="s">
        <v>3214</v>
      </c>
      <c r="F578" s="2" t="s">
        <v>3215</v>
      </c>
      <c r="G578" s="2" t="s">
        <v>3216</v>
      </c>
      <c r="H578" s="2" t="s">
        <v>3086</v>
      </c>
      <c r="I578" s="2" t="str" cm="1">
        <f t="array" ref="I578">H578 &amp; _xlfn.REGEXEXTRACT(G578,"^[^_]+_\d{4}") &amp; ".pdf"</f>
        <v>https://www.ocf.berkeley.edu/~pkmendez/envsci/projects/2014final/MoutonA_2014.pdf</v>
      </c>
      <c r="J578" s="1" t="str">
        <f t="shared" si="9"/>
        <v>https://www.ocf.berkeley.edu/~pkmendez/envsci/projects/2014final/MoutonA_2014.pdf</v>
      </c>
      <c r="K578" s="2" t="str" cm="1">
        <f t="array" ref="K578:O578">_xlfn.TAKE(TRIM(_xlfn.TEXTSPLIT(F578,{",",";"})),,5)</f>
        <v>Urban biodiversity</v>
      </c>
      <c r="L578" s="2" t="str">
        <v>landscape ecology</v>
      </c>
      <c r="M578" s="2" t="str">
        <v>Google Earth</v>
      </c>
      <c r="N578" s="2" t="str">
        <v>ArcGIS</v>
      </c>
      <c r="O578" s="2" t="str">
        <v>conditional inference tree</v>
      </c>
      <c r="P578" s="2" t="s">
        <v>9</v>
      </c>
      <c r="Q578" s="2" t="s">
        <v>10</v>
      </c>
    </row>
    <row r="579" spans="1:17" x14ac:dyDescent="0.35">
      <c r="A579" s="2" t="s">
        <v>5884</v>
      </c>
      <c r="B579" s="2" t="s">
        <v>3217</v>
      </c>
      <c r="C579" s="2" t="s">
        <v>3218</v>
      </c>
      <c r="D579" s="2">
        <v>2014</v>
      </c>
      <c r="E579" s="2" t="s">
        <v>3219</v>
      </c>
      <c r="F579" s="2" t="s">
        <v>3220</v>
      </c>
      <c r="G579" s="2" t="s">
        <v>3221</v>
      </c>
      <c r="H579" s="2" t="s">
        <v>3086</v>
      </c>
      <c r="I579" s="2" t="str" cm="1">
        <f t="array" ref="I579">H579 &amp; _xlfn.REGEXEXTRACT(G579,"^[^_]+_\d{4}") &amp; ".pdf"</f>
        <v>https://www.ocf.berkeley.edu/~pkmendez/envsci/projects/2014final/NacouziM_2014.pdf</v>
      </c>
      <c r="J579" s="1" t="str">
        <f t="shared" ref="J579:J642" si="10">HYPERLINK(I579, I579)</f>
        <v>https://www.ocf.berkeley.edu/~pkmendez/envsci/projects/2014final/NacouziM_2014.pdf</v>
      </c>
      <c r="K579" s="2" t="str" cm="1">
        <f t="array" ref="K579:O579">_xlfn.TAKE(TRIM(_xlfn.TEXTSPLIT(F579,{",",";"})),,5)</f>
        <v>democratic decision-making</v>
      </c>
      <c r="L579" s="2" t="str">
        <v>institutional knowledge</v>
      </c>
      <c r="M579" s="2" t="str">
        <v>non-profit businesses</v>
      </c>
      <c r="N579" s="2" t="str">
        <v>Board of Directors</v>
      </c>
      <c r="O579" s="2" t="str">
        <v>sustainable models</v>
      </c>
      <c r="P579" s="2" t="s">
        <v>9</v>
      </c>
      <c r="Q579" s="2" t="s">
        <v>10</v>
      </c>
    </row>
    <row r="580" spans="1:17" x14ac:dyDescent="0.35">
      <c r="A580" s="2" t="s">
        <v>5884</v>
      </c>
      <c r="B580" s="2" t="s">
        <v>3222</v>
      </c>
      <c r="C580" s="2" t="s">
        <v>3223</v>
      </c>
      <c r="D580" s="2">
        <v>2014</v>
      </c>
      <c r="E580" s="2" t="s">
        <v>3224</v>
      </c>
      <c r="F580" s="2" t="s">
        <v>3225</v>
      </c>
      <c r="G580" s="2" t="s">
        <v>3226</v>
      </c>
      <c r="H580" s="2" t="s">
        <v>3086</v>
      </c>
      <c r="I580" s="2" t="str" cm="1">
        <f t="array" ref="I580">H580 &amp; _xlfn.REGEXEXTRACT(G580,"^[^_]+_\d{4}") &amp; ".pdf"</f>
        <v>https://www.ocf.berkeley.edu/~pkmendez/envsci/projects/2014final/NgoD_2014.pdf</v>
      </c>
      <c r="J580" s="1" t="str">
        <f t="shared" si="10"/>
        <v>https://www.ocf.berkeley.edu/~pkmendez/envsci/projects/2014final/NgoD_2014.pdf</v>
      </c>
      <c r="K580" s="2" t="str" cm="1">
        <f t="array" ref="K580:O580">_xlfn.TAKE(TRIM(_xlfn.TEXTSPLIT(F580,{",",";"})),,5)</f>
        <v>permutation tests</v>
      </c>
      <c r="L580" s="2" t="str">
        <v>soil amendments</v>
      </c>
      <c r="M580" s="2" t="str">
        <v>soil contamination</v>
      </c>
      <c r="N580" s="2" t="str">
        <v>sustainable agriculture</v>
      </c>
      <c r="O580" s="2" t="str">
        <v>urban agriculture</v>
      </c>
      <c r="P580" s="2" t="s">
        <v>9</v>
      </c>
      <c r="Q580" s="2" t="s">
        <v>10</v>
      </c>
    </row>
    <row r="581" spans="1:17" x14ac:dyDescent="0.35">
      <c r="A581" s="2" t="s">
        <v>5884</v>
      </c>
      <c r="B581" s="2" t="s">
        <v>3227</v>
      </c>
      <c r="C581" s="2" t="s">
        <v>3228</v>
      </c>
      <c r="D581" s="2">
        <v>2014</v>
      </c>
      <c r="E581" s="2" t="s">
        <v>3229</v>
      </c>
      <c r="F581" s="2" t="s">
        <v>3230</v>
      </c>
      <c r="G581" s="2" t="s">
        <v>3231</v>
      </c>
      <c r="H581" s="2" t="s">
        <v>3086</v>
      </c>
      <c r="I581" s="2" t="str" cm="1">
        <f t="array" ref="I581">H581 &amp; _xlfn.REGEXEXTRACT(G581,"^[^_]+_\d{4}") &amp; ".pdf"</f>
        <v>https://www.ocf.berkeley.edu/~pkmendez/envsci/projects/2014final/OBrienR_2014.pdf</v>
      </c>
      <c r="J581" s="1" t="str">
        <f t="shared" si="10"/>
        <v>https://www.ocf.berkeley.edu/~pkmendez/envsci/projects/2014final/OBrienR_2014.pdf</v>
      </c>
      <c r="K581" s="2" t="str" cm="1">
        <f t="array" ref="K581:O581">_xlfn.TAKE(TRIM(_xlfn.TEXTSPLIT(F581,{",",";"})),,5)</f>
        <v>Park-and-ride</v>
      </c>
      <c r="L581" s="2" t="str">
        <v>greenhouse gas emissions</v>
      </c>
      <c r="M581" s="2" t="str">
        <v>air pollution</v>
      </c>
      <c r="N581" s="2" t="str">
        <v>GREET</v>
      </c>
      <c r="O581" s="2" t="str">
        <v>ArcMap</v>
      </c>
      <c r="P581" s="2" t="s">
        <v>9</v>
      </c>
      <c r="Q581" s="2" t="s">
        <v>10</v>
      </c>
    </row>
    <row r="582" spans="1:17" x14ac:dyDescent="0.35">
      <c r="A582" s="2" t="s">
        <v>5884</v>
      </c>
      <c r="B582" s="2" t="s">
        <v>3232</v>
      </c>
      <c r="C582" s="2" t="s">
        <v>3233</v>
      </c>
      <c r="D582" s="2">
        <v>2014</v>
      </c>
      <c r="E582" s="2" t="s">
        <v>3234</v>
      </c>
      <c r="F582" s="2" t="s">
        <v>3235</v>
      </c>
      <c r="G582" s="2" t="s">
        <v>3236</v>
      </c>
      <c r="H582" s="2" t="s">
        <v>3086</v>
      </c>
      <c r="I582" s="2" t="str" cm="1">
        <f t="array" ref="I582">H582 &amp; _xlfn.REGEXEXTRACT(G582,"^[^_]+_\d{4}") &amp; ".pdf"</f>
        <v>https://www.ocf.berkeley.edu/~pkmendez/envsci/projects/2014final/OConnellC_2014.pdf</v>
      </c>
      <c r="J582" s="1" t="str">
        <f t="shared" si="10"/>
        <v>https://www.ocf.berkeley.edu/~pkmendez/envsci/projects/2014final/OConnellC_2014.pdf</v>
      </c>
      <c r="K582" s="2" t="str" cm="1">
        <f t="array" ref="K582:O582">_xlfn.TAKE(TRIM(_xlfn.TEXTSPLIT(F582,{",",";"})),,5)</f>
        <v>chlorophyll-a</v>
      </c>
      <c r="L582" s="2" t="str">
        <v>bioassay</v>
      </c>
      <c r="M582" s="2" t="str">
        <v>limnology</v>
      </c>
      <c r="N582" s="2" t="str">
        <v>Sierra Nevada</v>
      </c>
      <c r="O582" s="2" t="str">
        <v>eutrophication</v>
      </c>
      <c r="P582" s="2" t="s">
        <v>9</v>
      </c>
      <c r="Q582" s="2" t="s">
        <v>10</v>
      </c>
    </row>
    <row r="583" spans="1:17" x14ac:dyDescent="0.35">
      <c r="A583" s="2" t="s">
        <v>5884</v>
      </c>
      <c r="B583" s="2" t="s">
        <v>3237</v>
      </c>
      <c r="C583" s="2" t="s">
        <v>3238</v>
      </c>
      <c r="D583" s="2">
        <v>2014</v>
      </c>
      <c r="E583" s="2" t="s">
        <v>3239</v>
      </c>
      <c r="F583" s="2" t="s">
        <v>3240</v>
      </c>
      <c r="G583" s="2" t="s">
        <v>3241</v>
      </c>
      <c r="H583" s="2" t="s">
        <v>3086</v>
      </c>
      <c r="I583" s="2" t="str" cm="1">
        <f t="array" ref="I583">H583 &amp; _xlfn.REGEXEXTRACT(G583,"^[^_]+_\d{4}") &amp; ".pdf"</f>
        <v>https://www.ocf.berkeley.edu/~pkmendez/envsci/projects/2014final/PhoaR_2014.pdf</v>
      </c>
      <c r="J583" s="1" t="str">
        <f t="shared" si="10"/>
        <v>https://www.ocf.berkeley.edu/~pkmendez/envsci/projects/2014final/PhoaR_2014.pdf</v>
      </c>
      <c r="K583" s="2" t="str" cm="1">
        <f t="array" ref="K583:O583">_xlfn.TAKE(TRIM(_xlfn.TEXTSPLIT(F583,{",",";"})),,5)</f>
        <v>invasion ecology</v>
      </c>
      <c r="L583" s="2" t="str">
        <v>habitat distribution</v>
      </c>
      <c r="M583" s="2" t="str">
        <v>organic attractants</v>
      </c>
      <c r="N583" s="2" t="str">
        <v>gut content analysis</v>
      </c>
      <c r="O583" s="2" t="str">
        <v>temperature</v>
      </c>
      <c r="P583" s="2" t="s">
        <v>9</v>
      </c>
      <c r="Q583" s="2" t="s">
        <v>10</v>
      </c>
    </row>
    <row r="584" spans="1:17" x14ac:dyDescent="0.35">
      <c r="A584" s="2" t="s">
        <v>5884</v>
      </c>
      <c r="B584" s="2" t="s">
        <v>3242</v>
      </c>
      <c r="C584" s="2" t="s">
        <v>3243</v>
      </c>
      <c r="D584" s="2">
        <v>2014</v>
      </c>
      <c r="E584" s="2" t="s">
        <v>3244</v>
      </c>
      <c r="F584" s="2" t="s">
        <v>3245</v>
      </c>
      <c r="G584" s="2" t="s">
        <v>3246</v>
      </c>
      <c r="H584" s="2" t="s">
        <v>3086</v>
      </c>
      <c r="I584" s="2" t="str" cm="1">
        <f t="array" ref="I584">H584 &amp; _xlfn.REGEXEXTRACT(G584,"^[^_]+_\d{4}") &amp; ".pdf"</f>
        <v>https://www.ocf.berkeley.edu/~pkmendez/envsci/projects/2014final/PittsJ_2014.pdf</v>
      </c>
      <c r="J584" s="1" t="str">
        <f t="shared" si="10"/>
        <v>https://www.ocf.berkeley.edu/~pkmendez/envsci/projects/2014final/PittsJ_2014.pdf</v>
      </c>
      <c r="K584" s="2" t="str" cm="1">
        <f t="array" ref="K584:O584">_xlfn.TAKE(TRIM(_xlfn.TEXTSPLIT(F584,{",",";"})),,5)</f>
        <v>Green Fa_x0007_ade</v>
      </c>
      <c r="L584" s="2" t="str">
        <v>Vertical Vegetation</v>
      </c>
      <c r="M584" s="2" t="str">
        <v>Moisture Retention Mat</v>
      </c>
      <c r="N584" s="2" t="str">
        <v>Latent Heat</v>
      </c>
      <c r="O584" s="2" t="str">
        <v>Thermal Insulation</v>
      </c>
      <c r="P584" s="2" t="s">
        <v>9</v>
      </c>
      <c r="Q584" s="2" t="s">
        <v>10</v>
      </c>
    </row>
    <row r="585" spans="1:17" x14ac:dyDescent="0.35">
      <c r="A585" s="2" t="s">
        <v>5884</v>
      </c>
      <c r="B585" s="2" t="s">
        <v>3247</v>
      </c>
      <c r="C585" s="2" t="s">
        <v>3248</v>
      </c>
      <c r="D585" s="2">
        <v>2014</v>
      </c>
      <c r="E585" s="2" t="s">
        <v>3249</v>
      </c>
      <c r="F585" s="2" t="s">
        <v>3250</v>
      </c>
      <c r="G585" s="2" t="s">
        <v>3251</v>
      </c>
      <c r="H585" s="2" t="s">
        <v>3086</v>
      </c>
      <c r="I585" s="2" t="str" cm="1">
        <f t="array" ref="I585">H585 &amp; _xlfn.REGEXEXTRACT(G585,"^[^_]+_\d{4}") &amp; ".pdf"</f>
        <v>https://www.ocf.berkeley.edu/~pkmendez/envsci/projects/2014final/PorterC_2014.pdf</v>
      </c>
      <c r="J585" s="1" t="str">
        <f t="shared" si="10"/>
        <v>https://www.ocf.berkeley.edu/~pkmendez/envsci/projects/2014final/PorterC_2014.pdf</v>
      </c>
      <c r="K585" s="2" t="str" cm="1">
        <f t="array" ref="K585:O585">_xlfn.TAKE(TRIM(_xlfn.TEXTSPLIT(F585,{",",";"})),,5)</f>
        <v>consumption</v>
      </c>
      <c r="L585" s="2" t="str">
        <v>environmentalism</v>
      </c>
      <c r="M585" s="2" t="str">
        <v>perceptions</v>
      </c>
      <c r="N585" s="2" t="str">
        <v>discourse analysis</v>
      </c>
      <c r="O585" s="2" t="str">
        <v>interviews</v>
      </c>
      <c r="P585" s="2" t="s">
        <v>9</v>
      </c>
      <c r="Q585" s="2" t="s">
        <v>10</v>
      </c>
    </row>
    <row r="586" spans="1:17" x14ac:dyDescent="0.35">
      <c r="A586" s="2" t="s">
        <v>5884</v>
      </c>
      <c r="B586" s="2" t="s">
        <v>3252</v>
      </c>
      <c r="C586" s="2" t="s">
        <v>3253</v>
      </c>
      <c r="D586" s="2">
        <v>2014</v>
      </c>
      <c r="E586" s="2" t="s">
        <v>3254</v>
      </c>
      <c r="F586" s="2" t="s">
        <v>3255</v>
      </c>
      <c r="G586" s="2" t="s">
        <v>3256</v>
      </c>
      <c r="H586" s="2" t="s">
        <v>3086</v>
      </c>
      <c r="I586" s="2" t="str" cm="1">
        <f t="array" ref="I586">H586 &amp; _xlfn.REGEXEXTRACT(G586,"^[^_]+_\d{4}") &amp; ".pdf"</f>
        <v>https://www.ocf.berkeley.edu/~pkmendez/envsci/projects/2014final/RankinZ_2014.pdf</v>
      </c>
      <c r="J586" s="1" t="str">
        <f t="shared" si="10"/>
        <v>https://www.ocf.berkeley.edu/~pkmendez/envsci/projects/2014final/RankinZ_2014.pdf</v>
      </c>
      <c r="K586" s="2" t="str" cm="1">
        <f t="array" ref="K586:O586">_xlfn.TAKE(TRIM(_xlfn.TEXTSPLIT(F586,{",",";"})),,5)</f>
        <v>portfolio effect</v>
      </c>
      <c r="L586" s="2" t="str">
        <v>otolith microchemistry</v>
      </c>
      <c r="M586" s="2" t="str">
        <v>smolting twice</v>
      </c>
      <c r="N586" s="2" t="str">
        <v>phenotypic plasticity</v>
      </c>
      <c r="O586" s="2" t="str">
        <v>seasonally closed estuary</v>
      </c>
      <c r="P586" s="2" t="s">
        <v>9</v>
      </c>
      <c r="Q586" s="2" t="s">
        <v>10</v>
      </c>
    </row>
    <row r="587" spans="1:17" x14ac:dyDescent="0.35">
      <c r="A587" s="2" t="s">
        <v>5884</v>
      </c>
      <c r="B587" s="2" t="s">
        <v>3257</v>
      </c>
      <c r="C587" s="2" t="s">
        <v>3258</v>
      </c>
      <c r="D587" s="2">
        <v>2014</v>
      </c>
      <c r="E587" s="2" t="s">
        <v>3259</v>
      </c>
      <c r="F587" s="2" t="s">
        <v>3260</v>
      </c>
      <c r="G587" s="2" t="s">
        <v>3261</v>
      </c>
      <c r="H587" s="2" t="s">
        <v>3086</v>
      </c>
      <c r="I587" s="2" t="str" cm="1">
        <f t="array" ref="I587">H587 &amp; _xlfn.REGEXEXTRACT(G587,"^[^_]+_\d{4}") &amp; ".pdf"</f>
        <v>https://www.ocf.berkeley.edu/~pkmendez/envsci/projects/2014final/SamuelR_2014.pdf</v>
      </c>
      <c r="J587" s="1" t="str">
        <f t="shared" si="10"/>
        <v>https://www.ocf.berkeley.edu/~pkmendez/envsci/projects/2014final/SamuelR_2014.pdf</v>
      </c>
      <c r="K587" s="2" t="str" cm="1">
        <f t="array" ref="K587:O587">_xlfn.TAKE(TRIM(_xlfn.TEXTSPLIT(F587,{",",";"})),,5)</f>
        <v>Pest control</v>
      </c>
      <c r="L587" s="2" t="str">
        <v>soil content</v>
      </c>
      <c r="M587" s="2" t="str">
        <v>belowground and aboveground interactions</v>
      </c>
      <c r="N587" s="2" t="str">
        <v>organic</v>
      </c>
      <c r="O587" s="2" t="str">
        <v>conventional</v>
      </c>
      <c r="P587" s="2" t="s">
        <v>9</v>
      </c>
      <c r="Q587" s="2" t="s">
        <v>10</v>
      </c>
    </row>
    <row r="588" spans="1:17" x14ac:dyDescent="0.35">
      <c r="A588" s="2" t="s">
        <v>5884</v>
      </c>
      <c r="B588" s="2" t="s">
        <v>3262</v>
      </c>
      <c r="C588" s="2" t="s">
        <v>3263</v>
      </c>
      <c r="D588" s="2">
        <v>2014</v>
      </c>
      <c r="E588" s="2" t="s">
        <v>3264</v>
      </c>
      <c r="F588" s="2" t="s">
        <v>3265</v>
      </c>
      <c r="G588" s="2" t="s">
        <v>3266</v>
      </c>
      <c r="H588" s="2" t="s">
        <v>3086</v>
      </c>
      <c r="I588" s="2" t="str" cm="1">
        <f t="array" ref="I588">H588 &amp; _xlfn.REGEXEXTRACT(G588,"^[^_]+_\d{4}") &amp; ".pdf"</f>
        <v>https://www.ocf.berkeley.edu/~pkmendez/envsci/projects/2014final/SmithG_2014.pdf</v>
      </c>
      <c r="J588" s="1" t="str">
        <f t="shared" si="10"/>
        <v>https://www.ocf.berkeley.edu/~pkmendez/envsci/projects/2014final/SmithG_2014.pdf</v>
      </c>
      <c r="K588" s="2" t="str" cm="1">
        <f t="array" ref="K588:O588">_xlfn.TAKE(TRIM(_xlfn.TEXTSPLIT(F588,{",",";"})),,5)</f>
        <v>floral resource provisioning (FRP)</v>
      </c>
      <c r="L588" s="2" t="str">
        <v>landscape diversity</v>
      </c>
      <c r="M588" s="2" t="str">
        <v>biodiversity</v>
      </c>
      <c r="N588" s="2" t="str">
        <v>biological control</v>
      </c>
      <c r="O588" s="2" t="str">
        <v>flowering cover crops</v>
      </c>
      <c r="P588" s="2" t="s">
        <v>9</v>
      </c>
      <c r="Q588" s="2" t="s">
        <v>10</v>
      </c>
    </row>
    <row r="589" spans="1:17" x14ac:dyDescent="0.35">
      <c r="A589" s="2" t="s">
        <v>5884</v>
      </c>
      <c r="B589" s="2" t="s">
        <v>3267</v>
      </c>
      <c r="C589" s="2" t="s">
        <v>3268</v>
      </c>
      <c r="D589" s="2">
        <v>2014</v>
      </c>
      <c r="E589" s="2" t="s">
        <v>3269</v>
      </c>
      <c r="F589" s="2" t="s">
        <v>3270</v>
      </c>
      <c r="G589" s="2" t="s">
        <v>3271</v>
      </c>
      <c r="H589" s="2" t="s">
        <v>3086</v>
      </c>
      <c r="I589" s="2" t="str" cm="1">
        <f t="array" ref="I589">H589 &amp; _xlfn.REGEXEXTRACT(G589,"^[^_]+_\d{4}") &amp; ".pdf"</f>
        <v>https://www.ocf.berkeley.edu/~pkmendez/envsci/projects/2014final/SodergrenC_2014.pdf</v>
      </c>
      <c r="J589" s="1" t="str">
        <f t="shared" si="10"/>
        <v>https://www.ocf.berkeley.edu/~pkmendez/envsci/projects/2014final/SodergrenC_2014.pdf</v>
      </c>
      <c r="K589" s="2" t="str" cm="1">
        <f t="array" ref="K589:O589">_xlfn.TAKE(TRIM(_xlfn.TEXTSPLIT(F589,{",",";"})),,5)</f>
        <v>Stress Gradient Hypothesis</v>
      </c>
      <c r="L589" s="2" t="str">
        <v>Inverse Distance Weight (IDW)</v>
      </c>
      <c r="M589" s="2" t="str">
        <v>Hegyi competition index</v>
      </c>
      <c r="N589" s="2" t="str">
        <v>intraspecific competition</v>
      </c>
      <c r="O589" s="2" t="str">
        <v>radial growth</v>
      </c>
      <c r="P589" s="2" t="s">
        <v>9</v>
      </c>
      <c r="Q589" s="2" t="s">
        <v>10</v>
      </c>
    </row>
    <row r="590" spans="1:17" x14ac:dyDescent="0.35">
      <c r="A590" s="2" t="s">
        <v>5884</v>
      </c>
      <c r="B590" s="2" t="s">
        <v>3272</v>
      </c>
      <c r="C590" s="2" t="s">
        <v>3273</v>
      </c>
      <c r="D590" s="2">
        <v>2014</v>
      </c>
      <c r="E590" s="2" t="s">
        <v>3274</v>
      </c>
      <c r="F590" s="2" t="s">
        <v>3275</v>
      </c>
      <c r="G590" s="2" t="s">
        <v>3276</v>
      </c>
      <c r="H590" s="2" t="s">
        <v>3086</v>
      </c>
      <c r="I590" s="2" t="str" cm="1">
        <f t="array" ref="I590">H590 &amp; _xlfn.REGEXEXTRACT(G590,"^[^_]+_\d{4}") &amp; ".pdf"</f>
        <v>https://www.ocf.berkeley.edu/~pkmendez/envsci/projects/2014final/SoE_2014.pdf</v>
      </c>
      <c r="J590" s="1" t="str">
        <f t="shared" si="10"/>
        <v>https://www.ocf.berkeley.edu/~pkmendez/envsci/projects/2014final/SoE_2014.pdf</v>
      </c>
      <c r="K590" s="2" t="str" cm="1">
        <f t="array" ref="K590:O590">_xlfn.TAKE(TRIM(_xlfn.TEXTSPLIT(F590,{",",";"})),,5)</f>
        <v>Erythroneura elegantula</v>
      </c>
      <c r="L590" s="2" t="str">
        <v>viticulture</v>
      </c>
      <c r="M590" s="2" t="str">
        <v>overwintering habitat</v>
      </c>
      <c r="N590" s="2" t="str">
        <v>alternate host</v>
      </c>
      <c r="O590" s="2" t="str">
        <v>pest management</v>
      </c>
      <c r="P590" s="2" t="s">
        <v>9</v>
      </c>
      <c r="Q590" s="2" t="s">
        <v>10</v>
      </c>
    </row>
    <row r="591" spans="1:17" x14ac:dyDescent="0.35">
      <c r="A591" s="2" t="s">
        <v>5884</v>
      </c>
      <c r="B591" s="2" t="s">
        <v>3277</v>
      </c>
      <c r="C591" s="2" t="s">
        <v>3278</v>
      </c>
      <c r="D591" s="2">
        <v>2014</v>
      </c>
      <c r="E591" s="2" t="s">
        <v>3279</v>
      </c>
      <c r="F591" s="2" t="s">
        <v>3280</v>
      </c>
      <c r="G591" s="2" t="s">
        <v>3281</v>
      </c>
      <c r="H591" s="2" t="s">
        <v>3086</v>
      </c>
      <c r="I591" s="2" t="str" cm="1">
        <f t="array" ref="I591">H591 &amp; _xlfn.REGEXEXTRACT(G591,"^[^_]+_\d{4}") &amp; ".pdf"</f>
        <v>https://www.ocf.berkeley.edu/~pkmendez/envsci/projects/2014final/SydeS_2014.pdf</v>
      </c>
      <c r="J591" s="1" t="str">
        <f t="shared" si="10"/>
        <v>https://www.ocf.berkeley.edu/~pkmendez/envsci/projects/2014final/SydeS_2014.pdf</v>
      </c>
      <c r="K591" s="2" t="str" cm="1">
        <f t="array" ref="K591:O591">_xlfn.TAKE(TRIM(_xlfn.TEXTSPLIT(F591,{",",";"})),,5)</f>
        <v>political knowledge</v>
      </c>
      <c r="L591" s="2" t="str">
        <v>specific knowledge</v>
      </c>
      <c r="M591" s="2" t="str">
        <v>informed opinions</v>
      </c>
      <c r="N591" s="2" t="str">
        <v>democratic accountability</v>
      </c>
      <c r="O591" s="2" t="str">
        <v>online survey</v>
      </c>
      <c r="P591" s="2" t="s">
        <v>9</v>
      </c>
      <c r="Q591" s="2" t="s">
        <v>10</v>
      </c>
    </row>
    <row r="592" spans="1:17" x14ac:dyDescent="0.35">
      <c r="A592" s="2" t="s">
        <v>5884</v>
      </c>
      <c r="B592" s="2" t="s">
        <v>3282</v>
      </c>
      <c r="C592" s="2" t="s">
        <v>3283</v>
      </c>
      <c r="D592" s="2">
        <v>2014</v>
      </c>
      <c r="E592" s="2" t="s">
        <v>3284</v>
      </c>
      <c r="F592" s="2" t="s">
        <v>3285</v>
      </c>
      <c r="G592" s="2" t="s">
        <v>3286</v>
      </c>
      <c r="H592" s="2" t="s">
        <v>3086</v>
      </c>
      <c r="I592" s="2" t="str" cm="1">
        <f t="array" ref="I592">H592 &amp; _xlfn.REGEXEXTRACT(G592,"^[^_]+_\d{4}") &amp; ".pdf"</f>
        <v>https://www.ocf.berkeley.edu/~pkmendez/envsci/projects/2014final/ThaiJ_2014.pdf</v>
      </c>
      <c r="J592" s="1" t="str">
        <f t="shared" si="10"/>
        <v>https://www.ocf.berkeley.edu/~pkmendez/envsci/projects/2014final/ThaiJ_2014.pdf</v>
      </c>
      <c r="K592" s="2" t="str" cm="1">
        <f t="array" ref="K592:O592">_xlfn.TAKE(TRIM(_xlfn.TEXTSPLIT(F592,{",",";"})),,5)</f>
        <v>Presbycusis</v>
      </c>
      <c r="L592" s="2" t="str">
        <v>age-related hearing loss</v>
      </c>
      <c r="M592" s="2" t="str">
        <v>antioxidant vitamins</v>
      </c>
      <c r="N592" s="2" t="str">
        <v>nutrition</v>
      </c>
      <c r="O592" s="2" t="str">
        <v>NHANES</v>
      </c>
      <c r="P592" s="2" t="s">
        <v>9</v>
      </c>
      <c r="Q592" s="2" t="s">
        <v>10</v>
      </c>
    </row>
    <row r="593" spans="1:17" x14ac:dyDescent="0.35">
      <c r="A593" s="2" t="s">
        <v>5884</v>
      </c>
      <c r="B593" s="2" t="s">
        <v>3287</v>
      </c>
      <c r="C593" s="2" t="s">
        <v>3288</v>
      </c>
      <c r="D593" s="2">
        <v>2014</v>
      </c>
      <c r="E593" s="2" t="s">
        <v>3289</v>
      </c>
      <c r="F593" s="2" t="s">
        <v>3290</v>
      </c>
      <c r="G593" s="2" t="s">
        <v>3291</v>
      </c>
      <c r="H593" s="2" t="s">
        <v>3086</v>
      </c>
      <c r="I593" s="2" t="str" cm="1">
        <f t="array" ref="I593">H593 &amp; _xlfn.REGEXEXTRACT(G593,"^[^_]+_\d{4}") &amp; ".pdf"</f>
        <v>https://www.ocf.berkeley.edu/~pkmendez/envsci/projects/2014final/TillmannL_2014.pdf</v>
      </c>
      <c r="J593" s="1" t="str">
        <f t="shared" si="10"/>
        <v>https://www.ocf.berkeley.edu/~pkmendez/envsci/projects/2014final/TillmannL_2014.pdf</v>
      </c>
      <c r="K593" s="2" t="str" cm="1">
        <f t="array" ref="K593:O593">_xlfn.TAKE(TRIM(_xlfn.TEXTSPLIT(F593,{",",";"})),,5)</f>
        <v>climate change</v>
      </c>
      <c r="L593" s="2" t="str">
        <v>vegetation shifts</v>
      </c>
      <c r="M593" s="2" t="str">
        <v>tundra</v>
      </c>
      <c r="N593" s="2" t="str">
        <v>shrub expansion</v>
      </c>
      <c r="O593" s="2" t="str">
        <v>digital surface model</v>
      </c>
      <c r="P593" s="2" t="s">
        <v>9</v>
      </c>
      <c r="Q593" s="2" t="s">
        <v>10</v>
      </c>
    </row>
    <row r="594" spans="1:17" x14ac:dyDescent="0.35">
      <c r="A594" s="2" t="s">
        <v>5884</v>
      </c>
      <c r="B594" s="2" t="s">
        <v>3292</v>
      </c>
      <c r="C594" s="2" t="s">
        <v>3293</v>
      </c>
      <c r="D594" s="2">
        <v>2014</v>
      </c>
      <c r="E594" s="2" t="s">
        <v>3294</v>
      </c>
      <c r="F594" s="2" t="s">
        <v>3295</v>
      </c>
      <c r="G594" s="2" t="s">
        <v>3296</v>
      </c>
      <c r="H594" s="2" t="s">
        <v>3086</v>
      </c>
      <c r="I594" s="2" t="str" cm="1">
        <f t="array" ref="I594">H594 &amp; _xlfn.REGEXEXTRACT(G594,"^[^_]+_\d{4}") &amp; ".pdf"</f>
        <v>https://www.ocf.berkeley.edu/~pkmendez/envsci/projects/2014final/TinocoG_2014.pdf</v>
      </c>
      <c r="J594" s="1" t="str">
        <f t="shared" si="10"/>
        <v>https://www.ocf.berkeley.edu/~pkmendez/envsci/projects/2014final/TinocoG_2014.pdf</v>
      </c>
      <c r="K594" s="2" t="str" cm="1">
        <f t="array" ref="K594:O594">_xlfn.TAKE(TRIM(_xlfn.TEXTSPLIT(F594,{",",";"})),,5)</f>
        <v>Habitat assessment</v>
      </c>
      <c r="L594" s="2" t="str">
        <v>biological control</v>
      </c>
      <c r="M594" s="2" t="str">
        <v>integrated pest management</v>
      </c>
      <c r="N594" s="2" t="str">
        <v>farm landscape management</v>
      </c>
      <c r="O594" s="2" t="str">
        <v>diapause</v>
      </c>
      <c r="P594" s="2" t="s">
        <v>9</v>
      </c>
      <c r="Q594" s="2" t="s">
        <v>10</v>
      </c>
    </row>
    <row r="595" spans="1:17" x14ac:dyDescent="0.35">
      <c r="A595" s="2" t="s">
        <v>5884</v>
      </c>
      <c r="B595" s="2" t="s">
        <v>3297</v>
      </c>
      <c r="C595" s="2" t="s">
        <v>3298</v>
      </c>
      <c r="D595" s="2">
        <v>2014</v>
      </c>
      <c r="E595" s="2" t="s">
        <v>3299</v>
      </c>
      <c r="F595" s="2" t="s">
        <v>3300</v>
      </c>
      <c r="G595" s="2" t="s">
        <v>3301</v>
      </c>
      <c r="H595" s="2" t="s">
        <v>3086</v>
      </c>
      <c r="I595" s="2" t="str" cm="1">
        <f t="array" ref="I595">H595 &amp; _xlfn.REGEXEXTRACT(G595,"^[^_]+_\d{4}") &amp; ".pdf"</f>
        <v>https://www.ocf.berkeley.edu/~pkmendez/envsci/projects/2014final/TranT_2014.pdf</v>
      </c>
      <c r="J595" s="1" t="str">
        <f t="shared" si="10"/>
        <v>https://www.ocf.berkeley.edu/~pkmendez/envsci/projects/2014final/TranT_2014.pdf</v>
      </c>
      <c r="K595" s="2" t="str" cm="1">
        <f t="array" ref="K595:O595">_xlfn.TAKE(TRIM(_xlfn.TEXTSPLIT(F595,{",",";"})),,5)</f>
        <v>corporate social responsibility</v>
      </c>
      <c r="L595" s="2" t="str">
        <v>consumer behavior</v>
      </c>
      <c r="M595" s="2" t="str">
        <v>eco-friendly products</v>
      </c>
      <c r="N595" s="2" t="str">
        <v>green marketing</v>
      </c>
      <c r="O595" s="2" t="str">
        <v>environmental consciousness</v>
      </c>
      <c r="P595" s="2" t="s">
        <v>9</v>
      </c>
      <c r="Q595" s="2" t="s">
        <v>10</v>
      </c>
    </row>
    <row r="596" spans="1:17" x14ac:dyDescent="0.35">
      <c r="A596" s="2" t="s">
        <v>5884</v>
      </c>
      <c r="B596" s="2" t="s">
        <v>3302</v>
      </c>
      <c r="C596" s="2" t="s">
        <v>3303</v>
      </c>
      <c r="D596" s="2">
        <v>2014</v>
      </c>
      <c r="E596" s="2" t="s">
        <v>3304</v>
      </c>
      <c r="F596" s="2" t="s">
        <v>3305</v>
      </c>
      <c r="G596" s="2" t="s">
        <v>3306</v>
      </c>
      <c r="H596" s="2" t="s">
        <v>3086</v>
      </c>
      <c r="I596" s="2" t="str" cm="1">
        <f t="array" ref="I596">H596 &amp; _xlfn.REGEXEXTRACT(G596,"^[^_]+_\d{4}") &amp; ".pdf"</f>
        <v>https://www.ocf.berkeley.edu/~pkmendez/envsci/projects/2014final/YavorskyT_2014.pdf</v>
      </c>
      <c r="J596" s="1" t="str">
        <f t="shared" si="10"/>
        <v>https://www.ocf.berkeley.edu/~pkmendez/envsci/projects/2014final/YavorskyT_2014.pdf</v>
      </c>
      <c r="K596" s="2" t="str" cm="1">
        <f t="array" ref="K596:O596">_xlfn.TAKE(TRIM(_xlfn.TEXTSPLIT(F596,{",",";"})),,5)</f>
        <v>Percholoethylene (PCE)</v>
      </c>
      <c r="L596" s="2" t="str">
        <v>decamethylcyclopentasiloxane (D5)</v>
      </c>
      <c r="M596" s="2" t="str">
        <v>consumer education</v>
      </c>
      <c r="N596" s="2" t="str">
        <v>corporate sustainability</v>
      </c>
      <c r="O596" s="2" t="str">
        <v>environmental responsibility</v>
      </c>
      <c r="P596" s="2" t="s">
        <v>9</v>
      </c>
      <c r="Q596" s="2" t="s">
        <v>10</v>
      </c>
    </row>
    <row r="597" spans="1:17" x14ac:dyDescent="0.35">
      <c r="A597" s="2" t="s">
        <v>5884</v>
      </c>
      <c r="B597" s="2" t="s">
        <v>3307</v>
      </c>
      <c r="C597" s="2" t="s">
        <v>3308</v>
      </c>
      <c r="D597" s="2">
        <v>2014</v>
      </c>
      <c r="E597" s="2" t="s">
        <v>3309</v>
      </c>
      <c r="F597" s="2" t="s">
        <v>3310</v>
      </c>
      <c r="G597" s="2" t="s">
        <v>3311</v>
      </c>
      <c r="H597" s="2" t="s">
        <v>3086</v>
      </c>
      <c r="I597" s="2" t="str" cm="1">
        <f t="array" ref="I597">H597 &amp; _xlfn.REGEXEXTRACT(G597,"^[^_]+_\d{4}") &amp; ".pdf"</f>
        <v>https://www.ocf.berkeley.edu/~pkmendez/envsci/projects/2014final/ZhangA_2014.pdf</v>
      </c>
      <c r="J597" s="1" t="str">
        <f t="shared" si="10"/>
        <v>https://www.ocf.berkeley.edu/~pkmendez/envsci/projects/2014final/ZhangA_2014.pdf</v>
      </c>
      <c r="K597" s="2" t="str" cm="1">
        <f t="array" ref="K597:O597">_xlfn.TAKE(TRIM(_xlfn.TEXTSPLIT(F597,{",",";"})),,5)</f>
        <v>Carduus pycnocephalus</v>
      </c>
      <c r="L597" s="2" t="str">
        <v>Centaurea solstitialis</v>
      </c>
      <c r="M597" s="2" t="str">
        <v>rangeland ecology</v>
      </c>
      <c r="N597" s="2" t="str">
        <v>seed predation</v>
      </c>
      <c r="O597" s="2" t="str">
        <v>density dependence</v>
      </c>
      <c r="P597" s="2" t="s">
        <v>9</v>
      </c>
      <c r="Q597" s="2" t="s">
        <v>10</v>
      </c>
    </row>
    <row r="598" spans="1:17" x14ac:dyDescent="0.35">
      <c r="A598" s="2" t="s">
        <v>5884</v>
      </c>
      <c r="B598" s="2" t="s">
        <v>2764</v>
      </c>
      <c r="C598" s="2" t="s">
        <v>2765</v>
      </c>
      <c r="D598" s="2">
        <v>2013</v>
      </c>
      <c r="E598" s="2" t="s">
        <v>2766</v>
      </c>
      <c r="F598" s="2" t="s">
        <v>2767</v>
      </c>
      <c r="G598" s="2" t="s">
        <v>2768</v>
      </c>
      <c r="H598" s="2" t="s">
        <v>2769</v>
      </c>
      <c r="I598" s="2" t="str" cm="1">
        <f t="array" ref="I598">H598 &amp; _xlfn.REGEXEXTRACT(G598,"^[^_]+_\d{4}") &amp; ".pdf"</f>
        <v>https://www.ocf.berkeley.edu/~pkmendez/envsci/projects/2013final/AmirebrahimiJ_2013.pdf</v>
      </c>
      <c r="J598" s="1" t="str">
        <f t="shared" si="10"/>
        <v>https://www.ocf.berkeley.edu/~pkmendez/envsci/projects/2013final/AmirebrahimiJ_2013.pdf</v>
      </c>
      <c r="K598" s="2" t="str" cm="1">
        <f t="array" ref="K598:O598">_xlfn.TAKE(TRIM(_xlfn.TEXTSPLIT(F598,{",",";"})),,5)</f>
        <v>Pasture-raised</v>
      </c>
      <c r="L598" s="2" t="str">
        <v>direct-marketing</v>
      </c>
      <c r="M598" s="2" t="str">
        <v>food sovereignty</v>
      </c>
      <c r="N598" s="2" t="str">
        <v>globalization</v>
      </c>
      <c r="O598" s="2" t="str">
        <v>food processing</v>
      </c>
      <c r="P598" s="2" t="s">
        <v>9</v>
      </c>
      <c r="Q598" s="2" t="s">
        <v>10</v>
      </c>
    </row>
    <row r="599" spans="1:17" x14ac:dyDescent="0.35">
      <c r="A599" s="2" t="s">
        <v>5884</v>
      </c>
      <c r="B599" s="2" t="s">
        <v>2770</v>
      </c>
      <c r="C599" s="2" t="s">
        <v>2771</v>
      </c>
      <c r="D599" s="2">
        <v>2013</v>
      </c>
      <c r="E599" s="2" t="s">
        <v>2772</v>
      </c>
      <c r="F599" s="2" t="s">
        <v>2773</v>
      </c>
      <c r="G599" s="2" t="s">
        <v>2774</v>
      </c>
      <c r="H599" s="2" t="s">
        <v>2769</v>
      </c>
      <c r="I599" s="2" t="str" cm="1">
        <f t="array" ref="I599">H599 &amp; _xlfn.REGEXEXTRACT(G599,"^[^_]+_\d{4}") &amp; ".pdf"</f>
        <v>https://www.ocf.berkeley.edu/~pkmendez/envsci/projects/2013final/ArifM_2013.pdf</v>
      </c>
      <c r="J599" s="1" t="str">
        <f t="shared" si="10"/>
        <v>https://www.ocf.berkeley.edu/~pkmendez/envsci/projects/2013final/ArifM_2013.pdf</v>
      </c>
      <c r="K599" s="2" t="str" cm="1">
        <f t="array" ref="K599:O599">_xlfn.TAKE(TRIM(_xlfn.TEXTSPLIT(F599,{",",";"})),,5)</f>
        <v>renewable energy</v>
      </c>
      <c r="L599" s="2" t="str">
        <v>solar energy</v>
      </c>
      <c r="M599" s="2" t="str">
        <v>AB 32</v>
      </c>
      <c r="N599" s="2" t="str">
        <v>California</v>
      </c>
      <c r="O599" s="2" t="str">
        <v>residential households</v>
      </c>
      <c r="P599" s="2" t="s">
        <v>9</v>
      </c>
      <c r="Q599" s="2" t="s">
        <v>10</v>
      </c>
    </row>
    <row r="600" spans="1:17" x14ac:dyDescent="0.35">
      <c r="A600" s="2" t="s">
        <v>5884</v>
      </c>
      <c r="B600" s="2" t="s">
        <v>2775</v>
      </c>
      <c r="C600" s="2" t="s">
        <v>2776</v>
      </c>
      <c r="D600" s="2">
        <v>2013</v>
      </c>
      <c r="E600" s="2" t="s">
        <v>2777</v>
      </c>
      <c r="F600" s="2" t="s">
        <v>2778</v>
      </c>
      <c r="G600" s="2" t="s">
        <v>2779</v>
      </c>
      <c r="H600" s="2" t="s">
        <v>2769</v>
      </c>
      <c r="I600" s="2" t="str" cm="1">
        <f t="array" ref="I600">H600 &amp; _xlfn.REGEXEXTRACT(G600,"^[^_]+_\d{4}") &amp; ".pdf"</f>
        <v>https://www.ocf.berkeley.edu/~pkmendez/envsci/projects/2013final/CaiA_2013.pdf</v>
      </c>
      <c r="J600" s="1" t="str">
        <f t="shared" si="10"/>
        <v>https://www.ocf.berkeley.edu/~pkmendez/envsci/projects/2013final/CaiA_2013.pdf</v>
      </c>
      <c r="K600" s="2" t="str" cm="1">
        <f t="array" ref="K600:O600">_xlfn.TAKE(TRIM(_xlfn.TEXTSPLIT(F600,{",",";"})),,5)</f>
        <v>Grassland</v>
      </c>
      <c r="L600" s="2" t="str">
        <v>California</v>
      </c>
      <c r="M600" s="2" t="str">
        <v>grasses</v>
      </c>
      <c r="N600" s="2" t="str">
        <v>forbs</v>
      </c>
      <c r="O600" s="2" t="str">
        <v>drought</v>
      </c>
      <c r="P600" s="2" t="s">
        <v>9</v>
      </c>
      <c r="Q600" s="2" t="s">
        <v>10</v>
      </c>
    </row>
    <row r="601" spans="1:17" x14ac:dyDescent="0.35">
      <c r="A601" s="2" t="s">
        <v>5884</v>
      </c>
      <c r="B601" s="2" t="s">
        <v>2775</v>
      </c>
      <c r="C601" s="2" t="s">
        <v>2776</v>
      </c>
      <c r="D601" s="2">
        <v>2013</v>
      </c>
      <c r="E601" s="2" t="s">
        <v>2780</v>
      </c>
      <c r="F601" s="2" t="s">
        <v>2778</v>
      </c>
      <c r="G601" s="2" t="s">
        <v>2781</v>
      </c>
      <c r="H601" s="2" t="s">
        <v>2769</v>
      </c>
      <c r="I601" s="2" t="str" cm="1">
        <f t="array" ref="I601">H601 &amp; _xlfn.REGEXEXTRACT(G601,"^[^_]+_\d{4}") &amp; ".pdf"</f>
        <v>https://www.ocf.berkeley.edu/~pkmendez/envsci/projects/2013final/CaiA_2013.pdf</v>
      </c>
      <c r="J601" s="1" t="str">
        <f t="shared" si="10"/>
        <v>https://www.ocf.berkeley.edu/~pkmendez/envsci/projects/2013final/CaiA_2013.pdf</v>
      </c>
      <c r="K601" s="2" t="str" cm="1">
        <f t="array" ref="K601:O601">_xlfn.TAKE(TRIM(_xlfn.TEXTSPLIT(F601,{",",";"})),,5)</f>
        <v>Grassland</v>
      </c>
      <c r="L601" s="2" t="str">
        <v>California</v>
      </c>
      <c r="M601" s="2" t="str">
        <v>grasses</v>
      </c>
      <c r="N601" s="2" t="str">
        <v>forbs</v>
      </c>
      <c r="O601" s="2" t="str">
        <v>drought</v>
      </c>
      <c r="P601" s="2" t="s">
        <v>9</v>
      </c>
      <c r="Q601" s="2" t="s">
        <v>10</v>
      </c>
    </row>
    <row r="602" spans="1:17" x14ac:dyDescent="0.35">
      <c r="A602" s="2" t="s">
        <v>5884</v>
      </c>
      <c r="B602" s="2" t="s">
        <v>2782</v>
      </c>
      <c r="C602" s="2" t="s">
        <v>2783</v>
      </c>
      <c r="D602" s="2">
        <v>2013</v>
      </c>
      <c r="E602" s="2" t="s">
        <v>2784</v>
      </c>
      <c r="F602" s="2" t="s">
        <v>2785</v>
      </c>
      <c r="G602" s="2" t="s">
        <v>2786</v>
      </c>
      <c r="H602" s="2" t="s">
        <v>2769</v>
      </c>
      <c r="I602" s="2" t="str" cm="1">
        <f t="array" ref="I602">H602 &amp; _xlfn.REGEXEXTRACT(G602,"^[^_]+_\d{4}") &amp; ".pdf"</f>
        <v>https://www.ocf.berkeley.edu/~pkmendez/envsci/projects/2013final/CapponA_2013.pdf</v>
      </c>
      <c r="J602" s="1" t="str">
        <f t="shared" si="10"/>
        <v>https://www.ocf.berkeley.edu/~pkmendez/envsci/projects/2013final/CapponA_2013.pdf</v>
      </c>
      <c r="K602" s="2" t="str" cm="1">
        <f t="array" ref="K602:O602">_xlfn.TAKE(TRIM(_xlfn.TEXTSPLIT(F602,{",",";"})),,5)</f>
        <v>particulate matter (PM)</v>
      </c>
      <c r="L602" s="2" t="str">
        <v>pollution exposure modeling</v>
      </c>
      <c r="M602" s="2" t="str">
        <v>microgrid</v>
      </c>
      <c r="N602" s="2" t="str">
        <v>HOMER</v>
      </c>
      <c r="O602" s="2" t="str">
        <v>ArcMap</v>
      </c>
      <c r="P602" s="2" t="s">
        <v>9</v>
      </c>
      <c r="Q602" s="2" t="s">
        <v>10</v>
      </c>
    </row>
    <row r="603" spans="1:17" x14ac:dyDescent="0.35">
      <c r="A603" s="2" t="s">
        <v>5884</v>
      </c>
      <c r="B603" s="2" t="s">
        <v>2787</v>
      </c>
      <c r="C603" s="2" t="s">
        <v>2788</v>
      </c>
      <c r="D603" s="2">
        <v>2013</v>
      </c>
      <c r="E603" s="2" t="s">
        <v>2789</v>
      </c>
      <c r="F603" s="2" t="s">
        <v>2790</v>
      </c>
      <c r="G603" s="2" t="s">
        <v>2791</v>
      </c>
      <c r="H603" s="2" t="s">
        <v>2769</v>
      </c>
      <c r="I603" s="2" t="str" cm="1">
        <f t="array" ref="I603">H603 &amp; _xlfn.REGEXEXTRACT(G603,"^[^_]+_\d{4}") &amp; ".pdf"</f>
        <v>https://www.ocf.berkeley.edu/~pkmendez/envsci/projects/2013final/CashN_2013.pdf</v>
      </c>
      <c r="J603" s="1" t="str">
        <f t="shared" si="10"/>
        <v>https://www.ocf.berkeley.edu/~pkmendez/envsci/projects/2013final/CashN_2013.pdf</v>
      </c>
      <c r="K603" s="2" t="str" cm="1">
        <f t="array" ref="K603:O603">_xlfn.TAKE(TRIM(_xlfn.TEXTSPLIT(F603,{",",";"})),,5)</f>
        <v>Ecological restoration</v>
      </c>
      <c r="L603" s="2" t="str">
        <v>restoration trajectory</v>
      </c>
      <c r="M603" s="2" t="str">
        <v>woody plant diversity</v>
      </c>
      <c r="N603" s="2" t="str">
        <v>urban creeks</v>
      </c>
      <c r="O603" s="2" t="str">
        <v>species richness</v>
      </c>
      <c r="P603" s="2" t="s">
        <v>9</v>
      </c>
      <c r="Q603" s="2" t="s">
        <v>10</v>
      </c>
    </row>
    <row r="604" spans="1:17" x14ac:dyDescent="0.35">
      <c r="A604" s="2" t="s">
        <v>5884</v>
      </c>
      <c r="B604" s="2" t="s">
        <v>2792</v>
      </c>
      <c r="C604" s="2" t="s">
        <v>2793</v>
      </c>
      <c r="D604" s="2">
        <v>2013</v>
      </c>
      <c r="E604" s="2" t="s">
        <v>2794</v>
      </c>
      <c r="F604" s="2" t="s">
        <v>2795</v>
      </c>
      <c r="G604" s="2" t="s">
        <v>2796</v>
      </c>
      <c r="H604" s="2" t="s">
        <v>2769</v>
      </c>
      <c r="I604" s="2" t="str" cm="1">
        <f t="array" ref="I604">H604 &amp; _xlfn.REGEXEXTRACT(G604,"^[^_]+_\d{4}") &amp; ".pdf"</f>
        <v>https://www.ocf.berkeley.edu/~pkmendez/envsci/projects/2013final/ChangA_2013.pdf</v>
      </c>
      <c r="J604" s="1" t="str">
        <f t="shared" si="10"/>
        <v>https://www.ocf.berkeley.edu/~pkmendez/envsci/projects/2013final/ChangA_2013.pdf</v>
      </c>
      <c r="K604" s="2" t="str" cm="1">
        <f t="array" ref="K604:O604">_xlfn.TAKE(TRIM(_xlfn.TEXTSPLIT(F604,{",",";"})),,5)</f>
        <v>environmental justice</v>
      </c>
      <c r="L604" s="2" t="str">
        <v>greenhouse gas emissions</v>
      </c>
      <c r="M604" s="2" t="str">
        <v>environmental policy</v>
      </c>
      <c r="N604" s="2" t="str">
        <v>point source polluters</v>
      </c>
      <c r="O604" s="2" t="str">
        <v>sustainability</v>
      </c>
      <c r="P604" s="2" t="s">
        <v>9</v>
      </c>
      <c r="Q604" s="2" t="s">
        <v>10</v>
      </c>
    </row>
    <row r="605" spans="1:17" x14ac:dyDescent="0.35">
      <c r="A605" s="2" t="s">
        <v>5884</v>
      </c>
      <c r="B605" s="2" t="s">
        <v>2797</v>
      </c>
      <c r="C605" s="2" t="s">
        <v>2798</v>
      </c>
      <c r="D605" s="2">
        <v>2013</v>
      </c>
      <c r="E605" s="2" t="s">
        <v>2799</v>
      </c>
      <c r="F605" s="2" t="s">
        <v>2800</v>
      </c>
      <c r="G605" s="2" t="s">
        <v>2801</v>
      </c>
      <c r="H605" s="2" t="s">
        <v>2769</v>
      </c>
      <c r="I605" s="2" t="str" cm="1">
        <f t="array" ref="I605">H605 &amp; _xlfn.REGEXEXTRACT(G605,"^[^_]+_\d{4}") &amp; ".pdf"</f>
        <v>https://www.ocf.berkeley.edu/~pkmendez/envsci/projects/2013final/ChangM_2013.pdf</v>
      </c>
      <c r="J605" s="1" t="str">
        <f t="shared" si="10"/>
        <v>https://www.ocf.berkeley.edu/~pkmendez/envsci/projects/2013final/ChangM_2013.pdf</v>
      </c>
      <c r="K605" s="2" t="str" cm="1">
        <f t="array" ref="K605:O605">_xlfn.TAKE(TRIM(_xlfn.TEXTSPLIT(F605,{",",";"})),,5)</f>
        <v>polyethylene</v>
      </c>
      <c r="L605" s="2" t="str">
        <v>market reports</v>
      </c>
      <c r="M605" s="2" t="str">
        <v>consumer usage</v>
      </c>
      <c r="N605" s="2" t="str">
        <v>wastewater stream</v>
      </c>
      <c r="O605" s="2" t="str">
        <v>marine pollution</v>
      </c>
      <c r="P605" s="2" t="s">
        <v>9</v>
      </c>
      <c r="Q605" s="2" t="s">
        <v>10</v>
      </c>
    </row>
    <row r="606" spans="1:17" x14ac:dyDescent="0.35">
      <c r="A606" s="2" t="s">
        <v>5884</v>
      </c>
      <c r="B606" s="2" t="s">
        <v>2802</v>
      </c>
      <c r="C606" s="2" t="s">
        <v>2803</v>
      </c>
      <c r="D606" s="2">
        <v>2013</v>
      </c>
      <c r="E606" s="2" t="s">
        <v>2804</v>
      </c>
      <c r="F606" s="2" t="s">
        <v>2805</v>
      </c>
      <c r="G606" s="2" t="s">
        <v>2806</v>
      </c>
      <c r="H606" s="2" t="s">
        <v>2769</v>
      </c>
      <c r="I606" s="2" t="str" cm="1">
        <f t="array" ref="I606">H606 &amp; _xlfn.REGEXEXTRACT(G606,"^[^_]+_\d{4}") &amp; ".pdf"</f>
        <v>https://www.ocf.berkeley.edu/~pkmendez/envsci/projects/2013final/ChiangF_2013.pdf</v>
      </c>
      <c r="J606" s="1" t="str">
        <f t="shared" si="10"/>
        <v>https://www.ocf.berkeley.edu/~pkmendez/envsci/projects/2013final/ChiangF_2013.pdf</v>
      </c>
      <c r="K606" s="2" t="str" cm="1">
        <f t="array" ref="K606:O606">_xlfn.TAKE(TRIM(_xlfn.TEXTSPLIT(F606,{",",";"})),,5)</f>
        <v>bioremediation</v>
      </c>
      <c r="L606" s="2" t="str">
        <v>microbial populations</v>
      </c>
      <c r="M606" s="2" t="str">
        <v>biosurfactant</v>
      </c>
      <c r="N606" s="2" t="str">
        <v>emulsification</v>
      </c>
      <c r="O606" s="2" t="str">
        <v>soil pollution</v>
      </c>
      <c r="P606" s="2" t="s">
        <v>9</v>
      </c>
      <c r="Q606" s="2" t="s">
        <v>10</v>
      </c>
    </row>
    <row r="607" spans="1:17" x14ac:dyDescent="0.35">
      <c r="A607" s="2" t="s">
        <v>5884</v>
      </c>
      <c r="B607" s="2" t="s">
        <v>2807</v>
      </c>
      <c r="C607" s="2" t="s">
        <v>2808</v>
      </c>
      <c r="D607" s="2">
        <v>2013</v>
      </c>
      <c r="E607" s="2" t="s">
        <v>2809</v>
      </c>
      <c r="F607" s="2" t="s">
        <v>2810</v>
      </c>
      <c r="G607" s="2" t="s">
        <v>2811</v>
      </c>
      <c r="H607" s="2" t="s">
        <v>2769</v>
      </c>
      <c r="I607" s="2" t="str" cm="1">
        <f t="array" ref="I607">H607 &amp; _xlfn.REGEXEXTRACT(G607,"^[^_]+_\d{4}") &amp; ".pdf"</f>
        <v>https://www.ocf.berkeley.edu/~pkmendez/envsci/projects/2013final/ClabeauxK_2013.pdf</v>
      </c>
      <c r="J607" s="1" t="str">
        <f t="shared" si="10"/>
        <v>https://www.ocf.berkeley.edu/~pkmendez/envsci/projects/2013final/ClabeauxK_2013.pdf</v>
      </c>
      <c r="K607" s="2" t="str" cm="1">
        <f t="array" ref="K607:O607">_xlfn.TAKE(TRIM(_xlfn.TEXTSPLIT(F607,{",",";"})),,5)</f>
        <v>outside education</v>
      </c>
      <c r="L607" s="2" t="str">
        <v>experiential learning</v>
      </c>
      <c r="M607" s="2" t="str">
        <v>active learning</v>
      </c>
      <c r="N607" s="2" t="str">
        <v>interdisciplinary education</v>
      </c>
      <c r="O607" s="2" t="str">
        <v>food movement</v>
      </c>
      <c r="P607" s="2" t="s">
        <v>9</v>
      </c>
      <c r="Q607" s="2" t="s">
        <v>10</v>
      </c>
    </row>
    <row r="608" spans="1:17" x14ac:dyDescent="0.35">
      <c r="A608" s="2" t="s">
        <v>5884</v>
      </c>
      <c r="B608" s="2" t="s">
        <v>2812</v>
      </c>
      <c r="C608" s="2" t="s">
        <v>2813</v>
      </c>
      <c r="D608" s="2">
        <v>2013</v>
      </c>
      <c r="E608" s="2" t="s">
        <v>2814</v>
      </c>
      <c r="F608" s="2" t="s">
        <v>2815</v>
      </c>
      <c r="G608" s="2" t="s">
        <v>2816</v>
      </c>
      <c r="H608" s="2" t="s">
        <v>2769</v>
      </c>
      <c r="I608" s="2" t="str" cm="1">
        <f t="array" ref="I608">H608 &amp; _xlfn.REGEXEXTRACT(G608,"^[^_]+_\d{4}") &amp; ".pdf"</f>
        <v>https://www.ocf.berkeley.edu/~pkmendez/envsci/projects/2013final/CookB_2013.pdf</v>
      </c>
      <c r="J608" s="1" t="str">
        <f t="shared" si="10"/>
        <v>https://www.ocf.berkeley.edu/~pkmendez/envsci/projects/2013final/CookB_2013.pdf</v>
      </c>
      <c r="K608" s="2" t="str" cm="1">
        <f t="array" ref="K608:O608">_xlfn.TAKE(TRIM(_xlfn.TEXTSPLIT(F608,{",",";"})),,5)</f>
        <v>Herbivory</v>
      </c>
      <c r="L608" s="2" t="str">
        <v>agent efficiency</v>
      </c>
      <c r="M608" s="2" t="str">
        <v>French Broom</v>
      </c>
      <c r="N608" s="2" t="str">
        <v>Candidatous liberibacter europarus</v>
      </c>
      <c r="O608" s="2" t="str">
        <v>leaf senescence</v>
      </c>
      <c r="P608" s="2" t="s">
        <v>9</v>
      </c>
      <c r="Q608" s="2" t="s">
        <v>10</v>
      </c>
    </row>
    <row r="609" spans="1:17" x14ac:dyDescent="0.35">
      <c r="A609" s="2" t="s">
        <v>5884</v>
      </c>
      <c r="B609" s="2" t="s">
        <v>2817</v>
      </c>
      <c r="C609" s="2" t="s">
        <v>2818</v>
      </c>
      <c r="D609" s="2">
        <v>2013</v>
      </c>
      <c r="E609" s="2" t="s">
        <v>2819</v>
      </c>
      <c r="F609" s="2" t="s">
        <v>2820</v>
      </c>
      <c r="G609" s="2" t="s">
        <v>2821</v>
      </c>
      <c r="H609" s="2" t="s">
        <v>2769</v>
      </c>
      <c r="I609" s="2" t="str" cm="1">
        <f t="array" ref="I609">H609 &amp; _xlfn.REGEXEXTRACT(G609,"^[^_]+_\d{4}") &amp; ".pdf"</f>
        <v>https://www.ocf.berkeley.edu/~pkmendez/envsci/projects/2013final/EdsallC_2013.pdf</v>
      </c>
      <c r="J609" s="1" t="str">
        <f t="shared" si="10"/>
        <v>https://www.ocf.berkeley.edu/~pkmendez/envsci/projects/2013final/EdsallC_2013.pdf</v>
      </c>
      <c r="K609" s="2" t="str" cm="1">
        <f t="array" ref="K609:O609">_xlfn.TAKE(TRIM(_xlfn.TEXTSPLIT(F609,{",",";"})),,5)</f>
        <v>integrative pest management (IPM)</v>
      </c>
      <c r="L609" s="2" t="str">
        <v>landscape ecology</v>
      </c>
      <c r="M609" s="2" t="str">
        <v>host range</v>
      </c>
      <c r="N609" s="2" t="str">
        <v>generalist</v>
      </c>
      <c r="O609" s="2" t="str">
        <v>dispersal</v>
      </c>
      <c r="P609" s="2" t="s">
        <v>9</v>
      </c>
      <c r="Q609" s="2" t="s">
        <v>10</v>
      </c>
    </row>
    <row r="610" spans="1:17" x14ac:dyDescent="0.35">
      <c r="A610" s="2" t="s">
        <v>5884</v>
      </c>
      <c r="B610" s="2" t="s">
        <v>2822</v>
      </c>
      <c r="C610" s="2" t="s">
        <v>2823</v>
      </c>
      <c r="D610" s="2">
        <v>2013</v>
      </c>
      <c r="E610" s="2" t="s">
        <v>2824</v>
      </c>
      <c r="F610" s="2" t="s">
        <v>2825</v>
      </c>
      <c r="G610" s="2" t="s">
        <v>2826</v>
      </c>
      <c r="H610" s="2" t="s">
        <v>2769</v>
      </c>
      <c r="I610" s="2" t="str" cm="1">
        <f t="array" ref="I610">H610 &amp; _xlfn.REGEXEXTRACT(G610,"^[^_]+_\d{4}") &amp; ".pdf"</f>
        <v>https://www.ocf.berkeley.edu/~pkmendez/envsci/projects/2013final/EdwardsS_2013.pdf</v>
      </c>
      <c r="J610" s="1" t="str">
        <f t="shared" si="10"/>
        <v>https://www.ocf.berkeley.edu/~pkmendez/envsci/projects/2013final/EdwardsS_2013.pdf</v>
      </c>
      <c r="K610" s="2" t="str" cm="1">
        <f t="array" ref="K610:O610">_xlfn.TAKE(TRIM(_xlfn.TEXTSPLIT(F610,{",",";"})),,5)</f>
        <v>Critical cartography</v>
      </c>
      <c r="L610" s="2" t="str">
        <v>food movement</v>
      </c>
      <c r="M610" s="2" t="str">
        <v>food justice</v>
      </c>
      <c r="N610" s="2" t="str">
        <v>sustainable food</v>
      </c>
      <c r="O610" s="2" t="str">
        <v>discourse analysis</v>
      </c>
      <c r="P610" s="2" t="s">
        <v>9</v>
      </c>
      <c r="Q610" s="2" t="s">
        <v>10</v>
      </c>
    </row>
    <row r="611" spans="1:17" x14ac:dyDescent="0.35">
      <c r="A611" s="2" t="s">
        <v>5884</v>
      </c>
      <c r="B611" s="2" t="s">
        <v>2827</v>
      </c>
      <c r="C611" s="2" t="s">
        <v>2828</v>
      </c>
      <c r="D611" s="2">
        <v>2013</v>
      </c>
      <c r="E611" s="2" t="s">
        <v>2829</v>
      </c>
      <c r="F611" s="2" t="s">
        <v>2830</v>
      </c>
      <c r="G611" s="2" t="s">
        <v>2831</v>
      </c>
      <c r="H611" s="2" t="s">
        <v>2769</v>
      </c>
      <c r="I611" s="2" t="str" cm="1">
        <f t="array" ref="I611">H611 &amp; _xlfn.REGEXEXTRACT(G611,"^[^_]+_\d{4}") &amp; ".pdf"</f>
        <v>https://www.ocf.berkeley.edu/~pkmendez/envsci/projects/2013final/EstradaM_2013.pdf</v>
      </c>
      <c r="J611" s="1" t="str">
        <f t="shared" si="10"/>
        <v>https://www.ocf.berkeley.edu/~pkmendez/envsci/projects/2013final/EstradaM_2013.pdf</v>
      </c>
      <c r="K611" s="2" t="str" cm="1">
        <f t="array" ref="K611:N611">_xlfn.TAKE(TRIM(_xlfn.TEXTSPLIT(F611,{",",";"})),,5)</f>
        <v>water conservation</v>
      </c>
      <c r="L611" s="2" t="str">
        <v>pro-environmental behavior</v>
      </c>
      <c r="M611" s="2" t="str">
        <v>education campaigns</v>
      </c>
      <c r="N611" s="2" t="str">
        <v>sustainability</v>
      </c>
      <c r="P611" s="2" t="s">
        <v>9</v>
      </c>
      <c r="Q611" s="2" t="s">
        <v>10</v>
      </c>
    </row>
    <row r="612" spans="1:17" x14ac:dyDescent="0.35">
      <c r="A612" s="2" t="s">
        <v>5884</v>
      </c>
      <c r="B612" s="2" t="s">
        <v>2832</v>
      </c>
      <c r="C612" s="2" t="s">
        <v>2833</v>
      </c>
      <c r="D612" s="2">
        <v>2013</v>
      </c>
      <c r="E612" s="2" t="s">
        <v>2834</v>
      </c>
      <c r="F612" s="2" t="s">
        <v>2835</v>
      </c>
      <c r="G612" s="2" t="s">
        <v>2836</v>
      </c>
      <c r="H612" s="2" t="s">
        <v>2769</v>
      </c>
      <c r="I612" s="2" t="str" cm="1">
        <f t="array" ref="I612">H612 &amp; _xlfn.REGEXEXTRACT(G612,"^[^_]+_\d{4}") &amp; ".pdf"</f>
        <v>https://www.ocf.berkeley.edu/~pkmendez/envsci/projects/2013final/FarrellS_2013.pdf</v>
      </c>
      <c r="J612" s="1" t="str">
        <f t="shared" si="10"/>
        <v>https://www.ocf.berkeley.edu/~pkmendez/envsci/projects/2013final/FarrellS_2013.pdf</v>
      </c>
      <c r="K612" s="2" t="str" cm="1">
        <f t="array" ref="K612:O612">_xlfn.TAKE(TRIM(_xlfn.TEXTSPLIT(F612,{",",";"})),,5)</f>
        <v>floral resource provisioning</v>
      </c>
      <c r="L612" s="2" t="str">
        <v>conservation biological control</v>
      </c>
      <c r="M612" s="2" t="str">
        <v>natural enemy</v>
      </c>
      <c r="N612" s="2" t="str">
        <v>egg parasitoid</v>
      </c>
      <c r="O612" s="2" t="str">
        <v>western grape leafhopper</v>
      </c>
      <c r="P612" s="2" t="s">
        <v>9</v>
      </c>
      <c r="Q612" s="2" t="s">
        <v>10</v>
      </c>
    </row>
    <row r="613" spans="1:17" x14ac:dyDescent="0.35">
      <c r="A613" s="2" t="s">
        <v>5884</v>
      </c>
      <c r="B613" s="2" t="s">
        <v>2837</v>
      </c>
      <c r="C613" s="2" t="s">
        <v>2838</v>
      </c>
      <c r="D613" s="2">
        <v>2013</v>
      </c>
      <c r="E613" s="2" t="s">
        <v>2839</v>
      </c>
      <c r="F613" s="2" t="s">
        <v>2840</v>
      </c>
      <c r="G613" s="2" t="s">
        <v>2841</v>
      </c>
      <c r="H613" s="2" t="s">
        <v>2769</v>
      </c>
      <c r="I613" s="2" t="str" cm="1">
        <f t="array" ref="I613">H613 &amp; _xlfn.REGEXEXTRACT(G613,"^[^_]+_\d{4}") &amp; ".pdf"</f>
        <v>https://www.ocf.berkeley.edu/~pkmendez/envsci/projects/2013final/FongC_2013.pdf</v>
      </c>
      <c r="J613" s="1" t="str">
        <f t="shared" si="10"/>
        <v>https://www.ocf.berkeley.edu/~pkmendez/envsci/projects/2013final/FongC_2013.pdf</v>
      </c>
      <c r="K613" s="2" t="str" cm="1">
        <f t="array" ref="K613:O613">_xlfn.TAKE(TRIM(_xlfn.TEXTSPLIT(F613,{",",";"})),,5)</f>
        <v>optimal foraging theory</v>
      </c>
      <c r="L613" s="2" t="str">
        <v>scavenging</v>
      </c>
      <c r="M613" s="2" t="str">
        <v>foraging</v>
      </c>
      <c r="N613" s="2" t="str">
        <v>fox squirrel</v>
      </c>
      <c r="O613" s="2" t="str">
        <v>anthropogenic</v>
      </c>
      <c r="P613" s="2" t="s">
        <v>9</v>
      </c>
      <c r="Q613" s="2" t="s">
        <v>10</v>
      </c>
    </row>
    <row r="614" spans="1:17" x14ac:dyDescent="0.35">
      <c r="A614" s="2" t="s">
        <v>5884</v>
      </c>
      <c r="B614" s="2" t="s">
        <v>2842</v>
      </c>
      <c r="C614" s="2" t="s">
        <v>2843</v>
      </c>
      <c r="D614" s="2">
        <v>2013</v>
      </c>
      <c r="E614" s="2" t="s">
        <v>2844</v>
      </c>
      <c r="F614" s="2" t="s">
        <v>2845</v>
      </c>
      <c r="G614" s="2" t="s">
        <v>2846</v>
      </c>
      <c r="H614" s="2" t="s">
        <v>2769</v>
      </c>
      <c r="I614" s="2" t="str" cm="1">
        <f t="array" ref="I614">H614 &amp; _xlfn.REGEXEXTRACT(G614,"^[^_]+_\d{4}") &amp; ".pdf"</f>
        <v>https://www.ocf.berkeley.edu/~pkmendez/envsci/projects/2013final/FongH_2013.pdf</v>
      </c>
      <c r="J614" s="1" t="str">
        <f t="shared" si="10"/>
        <v>https://www.ocf.berkeley.edu/~pkmendez/envsci/projects/2013final/FongH_2013.pdf</v>
      </c>
      <c r="K614" s="2" t="str" cm="1">
        <f t="array" ref="K614:O614">_xlfn.TAKE(TRIM(_xlfn.TEXTSPLIT(F614,{",",";"})),,5)</f>
        <v>Urban green space</v>
      </c>
      <c r="L614" s="2" t="str">
        <v>greening methods</v>
      </c>
      <c r="M614" s="2" t="str">
        <v>citizen participation</v>
      </c>
      <c r="N614" s="2" t="str">
        <v>city planning</v>
      </c>
      <c r="O614" s="2" t="str">
        <v>sustainable design</v>
      </c>
      <c r="P614" s="2" t="s">
        <v>9</v>
      </c>
      <c r="Q614" s="2" t="s">
        <v>10</v>
      </c>
    </row>
    <row r="615" spans="1:17" x14ac:dyDescent="0.35">
      <c r="A615" s="2" t="s">
        <v>5884</v>
      </c>
      <c r="B615" s="2" t="s">
        <v>2847</v>
      </c>
      <c r="C615" s="2" t="s">
        <v>2848</v>
      </c>
      <c r="D615" s="2">
        <v>2013</v>
      </c>
      <c r="E615" s="2" t="s">
        <v>2849</v>
      </c>
      <c r="F615" s="2" t="s">
        <v>2850</v>
      </c>
      <c r="G615" s="2" t="s">
        <v>2851</v>
      </c>
      <c r="H615" s="2" t="s">
        <v>2769</v>
      </c>
      <c r="I615" s="2" t="str" cm="1">
        <f t="array" ref="I615">H615 &amp; _xlfn.REGEXEXTRACT(G615,"^[^_]+_\d{4}") &amp; ".pdf"</f>
        <v>https://www.ocf.berkeley.edu/~pkmendez/envsci/projects/2013final/FuS_2013.pdf</v>
      </c>
      <c r="J615" s="1" t="str">
        <f t="shared" si="10"/>
        <v>https://www.ocf.berkeley.edu/~pkmendez/envsci/projects/2013final/FuS_2013.pdf</v>
      </c>
      <c r="K615" s="2" t="str" cm="1">
        <f t="array" ref="K615:O615">_xlfn.TAKE(TRIM(_xlfn.TEXTSPLIT(F615,{",",";"})),,5)</f>
        <v>Nutrient cycling</v>
      </c>
      <c r="L615" s="2" t="str">
        <v>nitrogen cycling</v>
      </c>
      <c r="M615" s="2" t="str">
        <v>warming snow deposition</v>
      </c>
      <c r="N615" s="2" t="str">
        <v>alpine tundra</v>
      </c>
      <c r="O615" s="2" t="str">
        <v>moist meadow</v>
      </c>
      <c r="P615" s="2" t="s">
        <v>9</v>
      </c>
      <c r="Q615" s="2" t="s">
        <v>10</v>
      </c>
    </row>
    <row r="616" spans="1:17" x14ac:dyDescent="0.35">
      <c r="A616" s="2" t="s">
        <v>5884</v>
      </c>
      <c r="B616" s="2" t="s">
        <v>2852</v>
      </c>
      <c r="C616" s="2" t="s">
        <v>2853</v>
      </c>
      <c r="D616" s="2">
        <v>2013</v>
      </c>
      <c r="E616" s="2" t="s">
        <v>2854</v>
      </c>
      <c r="F616" s="2" t="s">
        <v>2855</v>
      </c>
      <c r="G616" s="2" t="s">
        <v>2856</v>
      </c>
      <c r="H616" s="2" t="s">
        <v>2769</v>
      </c>
      <c r="I616" s="2" t="str" cm="1">
        <f t="array" ref="I616">H616 &amp; _xlfn.REGEXEXTRACT(G616,"^[^_]+_\d{4}") &amp; ".pdf"</f>
        <v>https://www.ocf.berkeley.edu/~pkmendez/envsci/projects/2013final/GilsonE_2013.pdf</v>
      </c>
      <c r="J616" s="1" t="str">
        <f t="shared" si="10"/>
        <v>https://www.ocf.berkeley.edu/~pkmendez/envsci/projects/2013final/GilsonE_2013.pdf</v>
      </c>
      <c r="K616" s="2" t="str" cm="1">
        <f t="array" ref="K616:O616">_xlfn.TAKE(TRIM(_xlfn.TEXTSPLIT(F616,{",",";"})),,5)</f>
        <v>greenhouse gases</v>
      </c>
      <c r="L616" s="2" t="str">
        <v>carbon cycle</v>
      </c>
      <c r="M616" s="2" t="str">
        <v>water-air interface</v>
      </c>
      <c r="N616" s="2" t="str">
        <v>vegetative cover</v>
      </c>
      <c r="O616" s="2" t="str">
        <v>headspace equilibration</v>
      </c>
      <c r="P616" s="2" t="s">
        <v>9</v>
      </c>
      <c r="Q616" s="2" t="s">
        <v>10</v>
      </c>
    </row>
    <row r="617" spans="1:17" x14ac:dyDescent="0.35">
      <c r="A617" s="2" t="s">
        <v>5884</v>
      </c>
      <c r="B617" s="2" t="s">
        <v>2857</v>
      </c>
      <c r="C617" s="2" t="s">
        <v>2858</v>
      </c>
      <c r="D617" s="2">
        <v>2013</v>
      </c>
      <c r="E617" s="2" t="s">
        <v>2859</v>
      </c>
      <c r="F617" s="2" t="s">
        <v>2860</v>
      </c>
      <c r="G617" s="2" t="s">
        <v>2861</v>
      </c>
      <c r="H617" s="2" t="s">
        <v>2769</v>
      </c>
      <c r="I617" s="2" t="str" cm="1">
        <f t="array" ref="I617">H617 &amp; _xlfn.REGEXEXTRACT(G617,"^[^_]+_\d{4}") &amp; ".pdf"</f>
        <v>https://www.ocf.berkeley.edu/~pkmendez/envsci/projects/2013final/HanO_2013.pdf</v>
      </c>
      <c r="J617" s="1" t="str">
        <f t="shared" si="10"/>
        <v>https://www.ocf.berkeley.edu/~pkmendez/envsci/projects/2013final/HanO_2013.pdf</v>
      </c>
      <c r="K617" s="2" t="str" cm="1">
        <f t="array" ref="K617:O617">_xlfn.TAKE(TRIM(_xlfn.TEXTSPLIT(F617,{",",";"})),,5)</f>
        <v>critical discourse analysis</v>
      </c>
      <c r="L617" s="2" t="str">
        <v>environmental discourse</v>
      </c>
      <c r="M617" s="2" t="str">
        <v>neoliberalism</v>
      </c>
      <c r="N617" s="2" t="str">
        <v>social media</v>
      </c>
      <c r="O617" s="2" t="str">
        <v>weblog (blog)</v>
      </c>
      <c r="P617" s="2" t="s">
        <v>9</v>
      </c>
      <c r="Q617" s="2" t="s">
        <v>10</v>
      </c>
    </row>
    <row r="618" spans="1:17" x14ac:dyDescent="0.35">
      <c r="A618" s="2" t="s">
        <v>5884</v>
      </c>
      <c r="B618" s="2" t="s">
        <v>2862</v>
      </c>
      <c r="C618" s="2" t="s">
        <v>2863</v>
      </c>
      <c r="D618" s="2">
        <v>2013</v>
      </c>
      <c r="E618" s="2" t="s">
        <v>2864</v>
      </c>
      <c r="F618" s="2" t="s">
        <v>2865</v>
      </c>
      <c r="G618" s="2" t="s">
        <v>2866</v>
      </c>
      <c r="H618" s="2" t="s">
        <v>2769</v>
      </c>
      <c r="I618" s="2" t="str" cm="1">
        <f t="array" ref="I618">H618 &amp; _xlfn.REGEXEXTRACT(G618,"^[^_]+_\d{4}") &amp; ".pdf"</f>
        <v>https://www.ocf.berkeley.edu/~pkmendez/envsci/projects/2013final/HarnotoM_2013.pdf</v>
      </c>
      <c r="J618" s="1" t="str">
        <f t="shared" si="10"/>
        <v>https://www.ocf.berkeley.edu/~pkmendez/envsci/projects/2013final/HarnotoM_2013.pdf</v>
      </c>
      <c r="K618" s="2" t="str" cm="1">
        <f t="array" ref="K618:O618">_xlfn.TAKE(TRIM(_xlfn.TEXTSPLIT(F618,{",",";"})),,5)</f>
        <v>Cal Dining</v>
      </c>
      <c r="L618" s="2" t="str">
        <v>sustainability</v>
      </c>
      <c r="M618" s="2" t="str">
        <v>bagasse containers</v>
      </c>
      <c r="N618" s="2" t="str">
        <v>polypropylene containers</v>
      </c>
      <c r="O618" s="2" t="str">
        <v>to-go</v>
      </c>
      <c r="P618" s="2" t="s">
        <v>9</v>
      </c>
      <c r="Q618" s="2" t="s">
        <v>10</v>
      </c>
    </row>
    <row r="619" spans="1:17" x14ac:dyDescent="0.35">
      <c r="A619" s="2" t="s">
        <v>5884</v>
      </c>
      <c r="B619" s="2" t="s">
        <v>2867</v>
      </c>
      <c r="C619" s="2" t="s">
        <v>2868</v>
      </c>
      <c r="D619" s="2">
        <v>2013</v>
      </c>
      <c r="E619" s="2" t="s">
        <v>2869</v>
      </c>
      <c r="F619" s="2" t="s">
        <v>2870</v>
      </c>
      <c r="G619" s="2" t="s">
        <v>2871</v>
      </c>
      <c r="H619" s="2" t="s">
        <v>2769</v>
      </c>
      <c r="I619" s="2" t="str" cm="1">
        <f t="array" ref="I619">H619 &amp; _xlfn.REGEXEXTRACT(G619,"^[^_]+_\d{4}") &amp; ".pdf"</f>
        <v>https://www.ocf.berkeley.edu/~pkmendez/envsci/projects/2013final/HavenerR_2013.pdf</v>
      </c>
      <c r="J619" s="1" t="str">
        <f t="shared" si="10"/>
        <v>https://www.ocf.berkeley.edu/~pkmendez/envsci/projects/2013final/HavenerR_2013.pdf</v>
      </c>
      <c r="K619" s="2" t="str" cm="1">
        <f t="array" ref="K619:O619">_xlfn.TAKE(TRIM(_xlfn.TEXTSPLIT(F619,{",",";"})),,5)</f>
        <v>Rio Tinto boron mine</v>
      </c>
      <c r="L619" s="2" t="str">
        <v>Phytoremediation</v>
      </c>
      <c r="M619" s="2" t="str">
        <v>boron pollution</v>
      </c>
      <c r="N619" s="2" t="str">
        <v>desert soils</v>
      </c>
      <c r="O619" s="2" t="str">
        <v>Brassicaceae</v>
      </c>
      <c r="P619" s="2" t="s">
        <v>9</v>
      </c>
      <c r="Q619" s="2" t="s">
        <v>10</v>
      </c>
    </row>
    <row r="620" spans="1:17" x14ac:dyDescent="0.35">
      <c r="A620" s="2" t="s">
        <v>5884</v>
      </c>
      <c r="B620" s="2" t="s">
        <v>2872</v>
      </c>
      <c r="C620" s="2" t="s">
        <v>2873</v>
      </c>
      <c r="D620" s="2">
        <v>2013</v>
      </c>
      <c r="E620" s="2" t="s">
        <v>2874</v>
      </c>
      <c r="F620" s="2" t="s">
        <v>2875</v>
      </c>
      <c r="G620" s="2" t="s">
        <v>2876</v>
      </c>
      <c r="H620" s="2" t="s">
        <v>2769</v>
      </c>
      <c r="I620" s="2" t="str" cm="1">
        <f t="array" ref="I620">H620 &amp; _xlfn.REGEXEXTRACT(G620,"^[^_]+_\d{4}") &amp; ".pdf"</f>
        <v>https://www.ocf.berkeley.edu/~pkmendez/envsci/projects/2013final/HowellsJ_2013.pdf</v>
      </c>
      <c r="J620" s="1" t="str">
        <f t="shared" si="10"/>
        <v>https://www.ocf.berkeley.edu/~pkmendez/envsci/projects/2013final/HowellsJ_2013.pdf</v>
      </c>
      <c r="K620" s="2" t="str" cm="1">
        <f t="array" ref="K620:O620">_xlfn.TAKE(TRIM(_xlfn.TEXTSPLIT(F620,{",",";"})),,5)</f>
        <v>niche ecology</v>
      </c>
      <c r="L620" s="2" t="str">
        <v>morphology</v>
      </c>
      <c r="M620" s="2" t="str">
        <v>mate selection</v>
      </c>
      <c r="N620" s="2" t="str">
        <v>fundamental niche</v>
      </c>
      <c r="O620" s="2" t="str">
        <v>realized niche</v>
      </c>
      <c r="P620" s="2" t="s">
        <v>9</v>
      </c>
      <c r="Q620" s="2" t="s">
        <v>10</v>
      </c>
    </row>
    <row r="621" spans="1:17" x14ac:dyDescent="0.35">
      <c r="A621" s="2" t="s">
        <v>5884</v>
      </c>
      <c r="B621" s="2" t="s">
        <v>2877</v>
      </c>
      <c r="C621" s="2" t="s">
        <v>2878</v>
      </c>
      <c r="D621" s="2">
        <v>2013</v>
      </c>
      <c r="E621" s="2" t="s">
        <v>2879</v>
      </c>
      <c r="F621" s="2" t="s">
        <v>2880</v>
      </c>
      <c r="G621" s="2" t="s">
        <v>2881</v>
      </c>
      <c r="H621" s="2" t="s">
        <v>2769</v>
      </c>
      <c r="I621" s="2" t="str" cm="1">
        <f t="array" ref="I621">H621 &amp; _xlfn.REGEXEXTRACT(G621,"^[^_]+_\d{4}") &amp; ".pdf"</f>
        <v>https://www.ocf.berkeley.edu/~pkmendez/envsci/projects/2013final/HryseC_2013.pdf</v>
      </c>
      <c r="J621" s="1" t="str">
        <f t="shared" si="10"/>
        <v>https://www.ocf.berkeley.edu/~pkmendez/envsci/projects/2013final/HryseC_2013.pdf</v>
      </c>
      <c r="K621" s="2" t="str" cm="1">
        <f t="array" ref="K621:O621">_xlfn.TAKE(TRIM(_xlfn.TEXTSPLIT(F621,{",",";"})),,5)</f>
        <v>Community gardening</v>
      </c>
      <c r="L621" s="2" t="str">
        <v>urban agriculture</v>
      </c>
      <c r="M621" s="2" t="str">
        <v>food justice</v>
      </c>
      <c r="N621" s="2" t="str">
        <v>green spaces</v>
      </c>
      <c r="O621" s="2" t="str">
        <v>urban land use</v>
      </c>
      <c r="P621" s="2" t="s">
        <v>9</v>
      </c>
      <c r="Q621" s="2" t="s">
        <v>10</v>
      </c>
    </row>
    <row r="622" spans="1:17" x14ac:dyDescent="0.35">
      <c r="A622" s="2" t="s">
        <v>5884</v>
      </c>
      <c r="B622" s="2" t="s">
        <v>2882</v>
      </c>
      <c r="C622" s="2" t="s">
        <v>2883</v>
      </c>
      <c r="D622" s="2">
        <v>2013</v>
      </c>
      <c r="E622" s="2" t="s">
        <v>2884</v>
      </c>
      <c r="F622" s="2" t="s">
        <v>2885</v>
      </c>
      <c r="G622" s="2" t="s">
        <v>2886</v>
      </c>
      <c r="H622" s="2" t="s">
        <v>2769</v>
      </c>
      <c r="I622" s="2" t="str" cm="1">
        <f t="array" ref="I622">H622 &amp; _xlfn.REGEXEXTRACT(G622,"^[^_]+_\d{4}") &amp; ".pdf"</f>
        <v>https://www.ocf.berkeley.edu/~pkmendez/envsci/projects/2013final/HsiaoJ_2013.pdf</v>
      </c>
      <c r="J622" s="1" t="str">
        <f t="shared" si="10"/>
        <v>https://www.ocf.berkeley.edu/~pkmendez/envsci/projects/2013final/HsiaoJ_2013.pdf</v>
      </c>
      <c r="K622" s="2" t="str" cm="1">
        <f t="array" ref="K622:O622">_xlfn.TAKE(TRIM(_xlfn.TEXTSPLIT(F622,{",",";"})),,5)</f>
        <v>flow augmentation</v>
      </c>
      <c r="L622" s="2" t="str">
        <v>resource recovery</v>
      </c>
      <c r="M622" s="2" t="str">
        <v>benthic macroinvertebrates</v>
      </c>
      <c r="N622" s="2" t="str">
        <v>biological monitoring</v>
      </c>
      <c r="O622" s="2" t="str">
        <v>stream restoration</v>
      </c>
      <c r="P622" s="2" t="s">
        <v>9</v>
      </c>
      <c r="Q622" s="2" t="s">
        <v>10</v>
      </c>
    </row>
    <row r="623" spans="1:17" x14ac:dyDescent="0.35">
      <c r="A623" s="2" t="s">
        <v>5884</v>
      </c>
      <c r="B623" s="2" t="s">
        <v>2887</v>
      </c>
      <c r="C623" s="2" t="s">
        <v>2888</v>
      </c>
      <c r="D623" s="2">
        <v>2013</v>
      </c>
      <c r="E623" s="2" t="s">
        <v>2889</v>
      </c>
      <c r="F623" s="2" t="s">
        <v>2890</v>
      </c>
      <c r="G623" s="2" t="s">
        <v>2891</v>
      </c>
      <c r="H623" s="2" t="s">
        <v>2769</v>
      </c>
      <c r="I623" s="2" t="str" cm="1">
        <f t="array" ref="I623">H623 &amp; _xlfn.REGEXEXTRACT(G623,"^[^_]+_\d{4}") &amp; ".pdf"</f>
        <v>https://www.ocf.berkeley.edu/~pkmendez/envsci/projects/2013final/HuangQ_2013.pdf</v>
      </c>
      <c r="J623" s="1" t="str">
        <f t="shared" si="10"/>
        <v>https://www.ocf.berkeley.edu/~pkmendez/envsci/projects/2013final/HuangQ_2013.pdf</v>
      </c>
      <c r="K623" s="2" t="str" cm="1">
        <f t="array" ref="K623:O623">_xlfn.TAKE(TRIM(_xlfn.TEXTSPLIT(F623,{",",";"})),,5)</f>
        <v>urban development</v>
      </c>
      <c r="L623" s="2" t="str">
        <v>stormwater management</v>
      </c>
      <c r="M623" s="2" t="str">
        <v>best management practices (BMPs)</v>
      </c>
      <c r="N623" s="2" t="str">
        <v>pilot projects</v>
      </c>
      <c r="O623" s="2" t="str">
        <v>conceptual design</v>
      </c>
      <c r="P623" s="2" t="s">
        <v>9</v>
      </c>
      <c r="Q623" s="2" t="s">
        <v>10</v>
      </c>
    </row>
    <row r="624" spans="1:17" x14ac:dyDescent="0.35">
      <c r="A624" s="2" t="s">
        <v>5884</v>
      </c>
      <c r="B624" s="2" t="s">
        <v>2892</v>
      </c>
      <c r="C624" s="2" t="s">
        <v>2893</v>
      </c>
      <c r="D624" s="2">
        <v>2013</v>
      </c>
      <c r="E624" s="2" t="s">
        <v>2894</v>
      </c>
      <c r="F624" s="2" t="s">
        <v>2895</v>
      </c>
      <c r="G624" s="2" t="s">
        <v>2896</v>
      </c>
      <c r="H624" s="2" t="s">
        <v>2769</v>
      </c>
      <c r="I624" s="2" t="str" cm="1">
        <f t="array" ref="I624">H624 &amp; _xlfn.REGEXEXTRACT(G624,"^[^_]+_\d{4}") &amp; ".pdf"</f>
        <v>https://www.ocf.berkeley.edu/~pkmendez/envsci/projects/2013final/IndrieriS_2013.pdf</v>
      </c>
      <c r="J624" s="1" t="str">
        <f t="shared" si="10"/>
        <v>https://www.ocf.berkeley.edu/~pkmendez/envsci/projects/2013final/IndrieriS_2013.pdf</v>
      </c>
      <c r="K624" s="2" t="str" cm="1">
        <f t="array" ref="K624:O624">_xlfn.TAKE(TRIM(_xlfn.TEXTSPLIT(F624,{",",";"})),,5)</f>
        <v>development pressure</v>
      </c>
      <c r="L624" s="2" t="str">
        <v>tax incentives</v>
      </c>
      <c r="M624" s="2" t="str">
        <v>land-use change</v>
      </c>
      <c r="N624" s="2" t="str">
        <v>economic pressure</v>
      </c>
      <c r="O624" s="2" t="str">
        <v>landowner</v>
      </c>
      <c r="P624" s="2" t="s">
        <v>9</v>
      </c>
      <c r="Q624" s="2" t="s">
        <v>10</v>
      </c>
    </row>
    <row r="625" spans="1:17" x14ac:dyDescent="0.35">
      <c r="A625" s="2" t="s">
        <v>5884</v>
      </c>
      <c r="B625" s="2" t="s">
        <v>2897</v>
      </c>
      <c r="C625" s="2" t="s">
        <v>2898</v>
      </c>
      <c r="D625" s="2">
        <v>2013</v>
      </c>
      <c r="E625" s="2" t="s">
        <v>2899</v>
      </c>
      <c r="F625" s="2" t="s">
        <v>2900</v>
      </c>
      <c r="G625" s="2" t="s">
        <v>2901</v>
      </c>
      <c r="H625" s="2" t="s">
        <v>2769</v>
      </c>
      <c r="I625" s="2" t="str" cm="1">
        <f t="array" ref="I625">H625 &amp; _xlfn.REGEXEXTRACT(G625,"^[^_]+_\d{4}") &amp; ".pdf"</f>
        <v>https://www.ocf.berkeley.edu/~pkmendez/envsci/projects/2013final/IyerK_2013.pdf</v>
      </c>
      <c r="J625" s="1" t="str">
        <f t="shared" si="10"/>
        <v>https://www.ocf.berkeley.edu/~pkmendez/envsci/projects/2013final/IyerK_2013.pdf</v>
      </c>
      <c r="K625" s="2" t="str" cm="1">
        <f t="array" ref="K625:O625">_xlfn.TAKE(TRIM(_xlfn.TEXTSPLIT(F625,{",",";"})),,5)</f>
        <v>rural agriculture</v>
      </c>
      <c r="L625" s="2" t="str">
        <v>food access</v>
      </c>
      <c r="M625" s="2" t="str">
        <v>agro-industry</v>
      </c>
      <c r="N625" s="2" t="str">
        <v>regional assessment</v>
      </c>
      <c r="O625" s="2" t="str">
        <v>Public Distribution System (PDS)</v>
      </c>
      <c r="P625" s="2" t="s">
        <v>9</v>
      </c>
      <c r="Q625" s="2" t="s">
        <v>10</v>
      </c>
    </row>
    <row r="626" spans="1:17" x14ac:dyDescent="0.35">
      <c r="A626" s="2" t="s">
        <v>5884</v>
      </c>
      <c r="B626" s="2" t="s">
        <v>2902</v>
      </c>
      <c r="C626" s="2" t="s">
        <v>2903</v>
      </c>
      <c r="D626" s="2">
        <v>2013</v>
      </c>
      <c r="E626" s="2" t="s">
        <v>2904</v>
      </c>
      <c r="F626" s="2" t="s">
        <v>2905</v>
      </c>
      <c r="G626" s="2" t="s">
        <v>2906</v>
      </c>
      <c r="H626" s="2" t="s">
        <v>2769</v>
      </c>
      <c r="I626" s="2" t="str" cm="1">
        <f t="array" ref="I626">H626 &amp; _xlfn.REGEXEXTRACT(G626,"^[^_]+_\d{4}") &amp; ".pdf"</f>
        <v>https://www.ocf.berkeley.edu/~pkmendez/envsci/projects/2013final/JonesA_2013.pdf</v>
      </c>
      <c r="J626" s="1" t="str">
        <f t="shared" si="10"/>
        <v>https://www.ocf.berkeley.edu/~pkmendez/envsci/projects/2013final/JonesA_2013.pdf</v>
      </c>
      <c r="K626" s="2" t="str" cm="1">
        <f t="array" ref="K626:O626">_xlfn.TAKE(TRIM(_xlfn.TEXTSPLIT(F626,{",",";"})),,5)</f>
        <v>synthetic biology</v>
      </c>
      <c r="L626" s="2" t="str">
        <v>leucine zipper</v>
      </c>
      <c r="M626" s="2" t="str">
        <v>protein interaction</v>
      </c>
      <c r="N626" s="2" t="str">
        <v>subcellular localization</v>
      </c>
      <c r="O626" s="2" t="str">
        <v>library screening</v>
      </c>
      <c r="P626" s="2" t="s">
        <v>9</v>
      </c>
      <c r="Q626" s="2" t="s">
        <v>10</v>
      </c>
    </row>
    <row r="627" spans="1:17" x14ac:dyDescent="0.35">
      <c r="A627" s="2" t="s">
        <v>5884</v>
      </c>
      <c r="B627" s="2" t="s">
        <v>2907</v>
      </c>
      <c r="C627" s="2" t="s">
        <v>2908</v>
      </c>
      <c r="D627" s="2">
        <v>2013</v>
      </c>
      <c r="E627" s="2" t="s">
        <v>2909</v>
      </c>
      <c r="F627" s="2" t="s">
        <v>2910</v>
      </c>
      <c r="G627" s="2" t="s">
        <v>2911</v>
      </c>
      <c r="H627" s="2" t="s">
        <v>2769</v>
      </c>
      <c r="I627" s="2" t="str" cm="1">
        <f t="array" ref="I627">H627 &amp; _xlfn.REGEXEXTRACT(G627,"^[^_]+_\d{4}") &amp; ".pdf"</f>
        <v>https://www.ocf.berkeley.edu/~pkmendez/envsci/projects/2013final/JongJ_2013.pdf</v>
      </c>
      <c r="J627" s="1" t="str">
        <f t="shared" si="10"/>
        <v>https://www.ocf.berkeley.edu/~pkmendez/envsci/projects/2013final/JongJ_2013.pdf</v>
      </c>
      <c r="K627" s="2" t="str" cm="1">
        <f t="array" ref="K627:O627">_xlfn.TAKE(TRIM(_xlfn.TEXTSPLIT(F627,{",",";"})),,5)</f>
        <v>cellulosic biofuels</v>
      </c>
      <c r="L627" s="2" t="str">
        <v>perennial feedstock</v>
      </c>
      <c r="M627" s="2" t="str">
        <v>hemicellulose</v>
      </c>
      <c r="N627" s="2" t="str">
        <v>rice</v>
      </c>
      <c r="O627" s="2" t="str">
        <v>complementation experiment</v>
      </c>
      <c r="P627" s="2" t="s">
        <v>9</v>
      </c>
      <c r="Q627" s="2" t="s">
        <v>10</v>
      </c>
    </row>
    <row r="628" spans="1:17" x14ac:dyDescent="0.35">
      <c r="A628" s="2" t="s">
        <v>5884</v>
      </c>
      <c r="B628" s="2" t="s">
        <v>2912</v>
      </c>
      <c r="C628" s="2" t="s">
        <v>2913</v>
      </c>
      <c r="D628" s="2">
        <v>2013</v>
      </c>
      <c r="E628" s="2" t="s">
        <v>2914</v>
      </c>
      <c r="F628" s="2" t="s">
        <v>2915</v>
      </c>
      <c r="G628" s="2" t="s">
        <v>2916</v>
      </c>
      <c r="H628" s="2" t="s">
        <v>2769</v>
      </c>
      <c r="I628" s="2" t="str" cm="1">
        <f t="array" ref="I628">H628 &amp; _xlfn.REGEXEXTRACT(G628,"^[^_]+_\d{4}") &amp; ".pdf"</f>
        <v>https://www.ocf.berkeley.edu/~pkmendez/envsci/projects/2013final/KimJ_2013.pdf</v>
      </c>
      <c r="J628" s="1" t="str">
        <f t="shared" si="10"/>
        <v>https://www.ocf.berkeley.edu/~pkmendez/envsci/projects/2013final/KimJ_2013.pdf</v>
      </c>
      <c r="K628" s="2" t="str" cm="1">
        <f t="array" ref="K628:O628">_xlfn.TAKE(TRIM(_xlfn.TEXTSPLIT(F628,{",",";"})),,5)</f>
        <v>San Francisco Bay</v>
      </c>
      <c r="L628" s="2" t="str">
        <v>ocean-atmosphere exchange</v>
      </c>
      <c r="M628" s="2" t="str">
        <v>photochemical reaction</v>
      </c>
      <c r="N628" s="2" t="str">
        <v>oxidation reaction</v>
      </c>
      <c r="O628" s="2" t="str">
        <v>metals</v>
      </c>
      <c r="P628" s="2" t="s">
        <v>9</v>
      </c>
      <c r="Q628" s="2" t="s">
        <v>10</v>
      </c>
    </row>
    <row r="629" spans="1:17" x14ac:dyDescent="0.35">
      <c r="A629" s="2" t="s">
        <v>5884</v>
      </c>
      <c r="B629" s="2" t="s">
        <v>2917</v>
      </c>
      <c r="C629" s="2" t="s">
        <v>2918</v>
      </c>
      <c r="D629" s="2">
        <v>2013</v>
      </c>
      <c r="E629" s="2" t="s">
        <v>2919</v>
      </c>
      <c r="F629" s="2" t="s">
        <v>2920</v>
      </c>
      <c r="G629" s="2" t="s">
        <v>2921</v>
      </c>
      <c r="H629" s="2" t="s">
        <v>2769</v>
      </c>
      <c r="I629" s="2" t="str" cm="1">
        <f t="array" ref="I629">H629 &amp; _xlfn.REGEXEXTRACT(G629,"^[^_]+_\d{4}") &amp; ".pdf"</f>
        <v>https://www.ocf.berkeley.edu/~pkmendez/envsci/projects/2013final/LeeA_2013.pdf</v>
      </c>
      <c r="J629" s="1" t="str">
        <f t="shared" si="10"/>
        <v>https://www.ocf.berkeley.edu/~pkmendez/envsci/projects/2013final/LeeA_2013.pdf</v>
      </c>
      <c r="K629" s="2" t="str" cm="1">
        <f t="array" ref="K629:O629">_xlfn.TAKE(TRIM(_xlfn.TEXTSPLIT(F629,{",",";"})),,5)</f>
        <v>Australian endemics</v>
      </c>
      <c r="L629" s="2" t="str">
        <v>biodiversity conservation</v>
      </c>
      <c r="M629" s="2" t="str">
        <v>phylogeny</v>
      </c>
      <c r="N629" s="2" t="str">
        <v>Biodiverse</v>
      </c>
      <c r="O629" s="2" t="str">
        <v>ArcMap</v>
      </c>
      <c r="P629" s="2" t="s">
        <v>9</v>
      </c>
      <c r="Q629" s="2" t="s">
        <v>10</v>
      </c>
    </row>
    <row r="630" spans="1:17" x14ac:dyDescent="0.35">
      <c r="A630" s="2" t="s">
        <v>5884</v>
      </c>
      <c r="B630" s="2" t="s">
        <v>2922</v>
      </c>
      <c r="C630" s="2" t="s">
        <v>2923</v>
      </c>
      <c r="D630" s="2">
        <v>2013</v>
      </c>
      <c r="E630" s="2" t="s">
        <v>2924</v>
      </c>
      <c r="F630" s="2" t="s">
        <v>2925</v>
      </c>
      <c r="G630" s="2" t="s">
        <v>2926</v>
      </c>
      <c r="H630" s="2" t="s">
        <v>2769</v>
      </c>
      <c r="I630" s="2" t="str" cm="1">
        <f t="array" ref="I630">H630 &amp; _xlfn.REGEXEXTRACT(G630,"^[^_]+_\d{4}") &amp; ".pdf"</f>
        <v>https://www.ocf.berkeley.edu/~pkmendez/envsci/projects/2013final/LeeL_2013.pdf</v>
      </c>
      <c r="J630" s="1" t="str">
        <f t="shared" si="10"/>
        <v>https://www.ocf.berkeley.edu/~pkmendez/envsci/projects/2013final/LeeL_2013.pdf</v>
      </c>
      <c r="K630" s="2" t="str" cm="1">
        <f t="array" ref="K630:O630">_xlfn.TAKE(TRIM(_xlfn.TEXTSPLIT(F630,{",",";"})),,5)</f>
        <v>Edge environments</v>
      </c>
      <c r="L630" s="2" t="str">
        <v>landscape variables</v>
      </c>
      <c r="M630" s="2" t="str">
        <v>woody vegetation</v>
      </c>
      <c r="N630" s="2" t="str">
        <v>road</v>
      </c>
      <c r="O630" s="2" t="str">
        <v>grassland bird</v>
      </c>
      <c r="P630" s="2" t="s">
        <v>9</v>
      </c>
      <c r="Q630" s="2" t="s">
        <v>10</v>
      </c>
    </row>
    <row r="631" spans="1:17" x14ac:dyDescent="0.35">
      <c r="A631" s="2" t="s">
        <v>5884</v>
      </c>
      <c r="B631" s="2" t="s">
        <v>2927</v>
      </c>
      <c r="C631" s="2" t="s">
        <v>2928</v>
      </c>
      <c r="D631" s="2">
        <v>2013</v>
      </c>
      <c r="E631" s="2" t="s">
        <v>2929</v>
      </c>
      <c r="F631" s="2" t="s">
        <v>2930</v>
      </c>
      <c r="G631" s="2" t="s">
        <v>2931</v>
      </c>
      <c r="H631" s="2" t="s">
        <v>2769</v>
      </c>
      <c r="I631" s="2" t="str" cm="1">
        <f t="array" ref="I631">H631 &amp; _xlfn.REGEXEXTRACT(G631,"^[^_]+_\d{4}") &amp; ".pdf"</f>
        <v>https://www.ocf.berkeley.edu/~pkmendez/envsci/projects/2013final/LozanoP_2013.pdf</v>
      </c>
      <c r="J631" s="1" t="str">
        <f t="shared" si="10"/>
        <v>https://www.ocf.berkeley.edu/~pkmendez/envsci/projects/2013final/LozanoP_2013.pdf</v>
      </c>
      <c r="K631" s="2" t="str" cm="1">
        <f t="array" ref="K631:O631">_xlfn.TAKE(TRIM(_xlfn.TEXTSPLIT(F631,{",",";"})),,5)</f>
        <v>Sudden Oak Death (SOD)</v>
      </c>
      <c r="L631" s="2" t="str">
        <v>Umbellularia californica</v>
      </c>
      <c r="M631" s="2" t="str">
        <v>forest pathology</v>
      </c>
      <c r="N631" s="2" t="str">
        <v>climate change</v>
      </c>
      <c r="O631" s="2" t="str">
        <v>plant diseases</v>
      </c>
      <c r="P631" s="2" t="s">
        <v>9</v>
      </c>
      <c r="Q631" s="2" t="s">
        <v>10</v>
      </c>
    </row>
    <row r="632" spans="1:17" x14ac:dyDescent="0.35">
      <c r="A632" s="2" t="s">
        <v>5884</v>
      </c>
      <c r="B632" s="2" t="s">
        <v>2932</v>
      </c>
      <c r="C632" s="2" t="s">
        <v>2933</v>
      </c>
      <c r="D632" s="2">
        <v>2013</v>
      </c>
      <c r="E632" s="2" t="s">
        <v>2934</v>
      </c>
      <c r="F632" s="2" t="s">
        <v>2935</v>
      </c>
      <c r="G632" s="2" t="s">
        <v>2936</v>
      </c>
      <c r="H632" s="2" t="s">
        <v>2769</v>
      </c>
      <c r="I632" s="2" t="str" cm="1">
        <f t="array" ref="I632">H632 &amp; _xlfn.REGEXEXTRACT(G632,"^[^_]+_\d{4}") &amp; ".pdf"</f>
        <v>https://www.ocf.berkeley.edu/~pkmendez/envsci/projects/2013final/McGuaneR_2013.pdf</v>
      </c>
      <c r="J632" s="1" t="str">
        <f t="shared" si="10"/>
        <v>https://www.ocf.berkeley.edu/~pkmendez/envsci/projects/2013final/McGuaneR_2013.pdf</v>
      </c>
      <c r="K632" s="2" t="str" cm="1">
        <f t="array" ref="K632:O632">_xlfn.TAKE(TRIM(_xlfn.TEXTSPLIT(F632,{",",";"})),,5)</f>
        <v>climate change</v>
      </c>
      <c r="L632" s="2" t="str">
        <v>public opinion</v>
      </c>
      <c r="M632" s="2" t="str">
        <v>energy</v>
      </c>
      <c r="N632" s="2" t="str">
        <v>intervention</v>
      </c>
      <c r="O632" s="2" t="str">
        <v>de-biasing</v>
      </c>
      <c r="P632" s="2" t="s">
        <v>9</v>
      </c>
      <c r="Q632" s="2" t="s">
        <v>10</v>
      </c>
    </row>
    <row r="633" spans="1:17" x14ac:dyDescent="0.35">
      <c r="A633" s="2" t="s">
        <v>5884</v>
      </c>
      <c r="B633" s="2" t="s">
        <v>2937</v>
      </c>
      <c r="C633" s="2" t="s">
        <v>2938</v>
      </c>
      <c r="D633" s="2">
        <v>2013</v>
      </c>
      <c r="E633" s="2" t="s">
        <v>2939</v>
      </c>
      <c r="F633" s="2" t="s">
        <v>2940</v>
      </c>
      <c r="G633" s="2" t="s">
        <v>2941</v>
      </c>
      <c r="H633" s="2" t="s">
        <v>2769</v>
      </c>
      <c r="I633" s="2" t="str" cm="1">
        <f t="array" ref="I633">H633 &amp; _xlfn.REGEXEXTRACT(G633,"^[^_]+_\d{4}") &amp; ".pdf"</f>
        <v>https://www.ocf.berkeley.edu/~pkmendez/envsci/projects/2013final/MonizP_2013.pdf</v>
      </c>
      <c r="J633" s="1" t="str">
        <f t="shared" si="10"/>
        <v>https://www.ocf.berkeley.edu/~pkmendez/envsci/projects/2013final/MonizP_2013.pdf</v>
      </c>
      <c r="K633" s="2" t="str" cm="1">
        <f t="array" ref="K633:O633">_xlfn.TAKE(TRIM(_xlfn.TEXTSPLIT(F633,{",",";"})),,5)</f>
        <v>Benthic macroinvertebrates</v>
      </c>
      <c r="L633" s="2" t="str">
        <v>water-quality</v>
      </c>
      <c r="M633" s="2" t="str">
        <v>habitat assessment</v>
      </c>
      <c r="N633" s="2" t="str">
        <v>urban stream</v>
      </c>
      <c r="O633" s="2" t="str">
        <v>restoration</v>
      </c>
      <c r="P633" s="2" t="s">
        <v>9</v>
      </c>
      <c r="Q633" s="2" t="s">
        <v>10</v>
      </c>
    </row>
    <row r="634" spans="1:17" x14ac:dyDescent="0.35">
      <c r="A634" s="2" t="s">
        <v>5884</v>
      </c>
      <c r="B634" s="2" t="s">
        <v>2942</v>
      </c>
      <c r="C634" s="2" t="s">
        <v>2943</v>
      </c>
      <c r="D634" s="2">
        <v>2013</v>
      </c>
      <c r="E634" s="2" t="s">
        <v>2944</v>
      </c>
      <c r="F634" s="2" t="s">
        <v>2945</v>
      </c>
      <c r="G634" s="2" t="s">
        <v>2946</v>
      </c>
      <c r="H634" s="2" t="s">
        <v>2769</v>
      </c>
      <c r="I634" s="2" t="str" cm="1">
        <f t="array" ref="I634">H634 &amp; _xlfn.REGEXEXTRACT(G634,"^[^_]+_\d{4}") &amp; ".pdf"</f>
        <v>https://www.ocf.berkeley.edu/~pkmendez/envsci/projects/2013final/MumbyW_2013.pdf</v>
      </c>
      <c r="J634" s="1" t="str">
        <f t="shared" si="10"/>
        <v>https://www.ocf.berkeley.edu/~pkmendez/envsci/projects/2013final/MumbyW_2013.pdf</v>
      </c>
      <c r="K634" s="2" t="str" cm="1">
        <f t="array" ref="K634:O634">_xlfn.TAKE(TRIM(_xlfn.TEXTSPLIT(F634,{",",";"})),,5)</f>
        <v>Groundwater</v>
      </c>
      <c r="L634" s="2" t="str">
        <v>stakeholder theory</v>
      </c>
      <c r="M634" s="2" t="str">
        <v>Integrated Regional Water Management (IRWM)</v>
      </c>
      <c r="N634" s="2" t="str">
        <v>water scarcity</v>
      </c>
      <c r="O634" s="2" t="str">
        <v>fire management</v>
      </c>
      <c r="P634" s="2" t="s">
        <v>9</v>
      </c>
      <c r="Q634" s="2" t="s">
        <v>10</v>
      </c>
    </row>
    <row r="635" spans="1:17" x14ac:dyDescent="0.35">
      <c r="A635" s="2" t="s">
        <v>5884</v>
      </c>
      <c r="B635" s="2" t="s">
        <v>2947</v>
      </c>
      <c r="C635" s="2" t="s">
        <v>2948</v>
      </c>
      <c r="D635" s="2">
        <v>2013</v>
      </c>
      <c r="E635" s="2" t="s">
        <v>2949</v>
      </c>
      <c r="F635" s="2" t="s">
        <v>2950</v>
      </c>
      <c r="G635" s="2" t="s">
        <v>2951</v>
      </c>
      <c r="H635" s="2" t="s">
        <v>2769</v>
      </c>
      <c r="I635" s="2" t="str" cm="1">
        <f t="array" ref="I635">H635 &amp; _xlfn.REGEXEXTRACT(G635,"^[^_]+_\d{4}") &amp; ".pdf"</f>
        <v>https://www.ocf.berkeley.edu/~pkmendez/envsci/projects/2013final/NguyenH_2013.pdf</v>
      </c>
      <c r="J635" s="1" t="str">
        <f t="shared" si="10"/>
        <v>https://www.ocf.berkeley.edu/~pkmendez/envsci/projects/2013final/NguyenH_2013.pdf</v>
      </c>
      <c r="K635" s="2" t="str" cm="1">
        <f t="array" ref="K635:O635">_xlfn.TAKE(TRIM(_xlfn.TEXTSPLIT(F635,{",",";"})),,5)</f>
        <v>environmental health</v>
      </c>
      <c r="L635" s="2" t="str">
        <v>endocrine disruption</v>
      </c>
      <c r="M635" s="2" t="str">
        <v>amphibian reproduction</v>
      </c>
      <c r="N635" s="2" t="str">
        <v>behavioral sciences</v>
      </c>
      <c r="O635" s="2" t="str">
        <v>reproductive endocrinology</v>
      </c>
      <c r="P635" s="2" t="s">
        <v>9</v>
      </c>
      <c r="Q635" s="2" t="s">
        <v>10</v>
      </c>
    </row>
    <row r="636" spans="1:17" x14ac:dyDescent="0.35">
      <c r="A636" s="2" t="s">
        <v>5884</v>
      </c>
      <c r="B636" s="2" t="s">
        <v>2952</v>
      </c>
      <c r="C636" s="2" t="s">
        <v>2953</v>
      </c>
      <c r="D636" s="2">
        <v>2013</v>
      </c>
      <c r="E636" s="2" t="s">
        <v>3313</v>
      </c>
      <c r="F636" s="2" t="s">
        <v>2954</v>
      </c>
      <c r="G636" s="2" t="s">
        <v>2955</v>
      </c>
      <c r="H636" s="2" t="s">
        <v>2769</v>
      </c>
      <c r="I636" s="2" t="str" cm="1">
        <f t="array" ref="I636">H636 &amp; _xlfn.REGEXEXTRACT(G636,"^[^_]+_\d{4}") &amp; ".pdf"</f>
        <v>https://www.ocf.berkeley.edu/~pkmendez/envsci/projects/2013final/PaviaC_2013.pdf</v>
      </c>
      <c r="J636" s="1" t="str">
        <f t="shared" si="10"/>
        <v>https://www.ocf.berkeley.edu/~pkmendez/envsci/projects/2013final/PaviaC_2013.pdf</v>
      </c>
      <c r="K636" s="2" t="str" cm="1">
        <f t="array" ref="K636:O636">_xlfn.TAKE(TRIM(_xlfn.TEXTSPLIT(F636,{",",";"})),,5)</f>
        <v>National Land Cover Dataset (NLCD)</v>
      </c>
      <c r="L636" s="2" t="str">
        <v>geospatial information systems (GIS)</v>
      </c>
      <c r="M636" s="2" t="str">
        <v>benthic macroinvertebrate</v>
      </c>
      <c r="N636" s="2" t="str">
        <v>landscape characteristic</v>
      </c>
      <c r="O636" s="2" t="str">
        <v>urbanization</v>
      </c>
      <c r="P636" s="2" t="s">
        <v>9</v>
      </c>
      <c r="Q636" s="2" t="s">
        <v>10</v>
      </c>
    </row>
    <row r="637" spans="1:17" x14ac:dyDescent="0.35">
      <c r="A637" s="2" t="s">
        <v>5884</v>
      </c>
      <c r="B637" s="2" t="s">
        <v>2956</v>
      </c>
      <c r="C637" s="2" t="s">
        <v>2957</v>
      </c>
      <c r="D637" s="2">
        <v>2013</v>
      </c>
      <c r="E637" s="2" t="s">
        <v>2958</v>
      </c>
      <c r="F637" s="2" t="s">
        <v>2959</v>
      </c>
      <c r="G637" s="2" t="s">
        <v>2960</v>
      </c>
      <c r="H637" s="2" t="s">
        <v>2769</v>
      </c>
      <c r="I637" s="2" t="str" cm="1">
        <f t="array" ref="I637">H637 &amp; _xlfn.REGEXEXTRACT(G637,"^[^_]+_\d{4}") &amp; ".pdf"</f>
        <v>https://www.ocf.berkeley.edu/~pkmendez/envsci/projects/2013final/PeirisS_2013.pdf</v>
      </c>
      <c r="J637" s="1" t="str">
        <f t="shared" si="10"/>
        <v>https://www.ocf.berkeley.edu/~pkmendez/envsci/projects/2013final/PeirisS_2013.pdf</v>
      </c>
      <c r="K637" s="2" t="str" cm="1">
        <f t="array" ref="K637:N637">_xlfn.TAKE(TRIM(_xlfn.TEXTSPLIT(F637,{",",";"})),,5)</f>
        <v>Keep America Beautiful</v>
      </c>
      <c r="L637" s="2" t="str">
        <v>StopWaste.org</v>
      </c>
      <c r="M637" s="2" t="str">
        <v>waste management education</v>
      </c>
      <c r="N637" s="2" t="str">
        <v>K-12 schools</v>
      </c>
      <c r="P637" s="2" t="s">
        <v>9</v>
      </c>
      <c r="Q637" s="2" t="s">
        <v>10</v>
      </c>
    </row>
    <row r="638" spans="1:17" x14ac:dyDescent="0.35">
      <c r="A638" s="2" t="s">
        <v>5884</v>
      </c>
      <c r="B638" s="2" t="s">
        <v>2961</v>
      </c>
      <c r="C638" s="2" t="s">
        <v>2962</v>
      </c>
      <c r="D638" s="2">
        <v>2013</v>
      </c>
      <c r="E638" s="2" t="s">
        <v>2963</v>
      </c>
      <c r="F638" s="2" t="s">
        <v>2964</v>
      </c>
      <c r="G638" s="2" t="s">
        <v>2965</v>
      </c>
      <c r="H638" s="2" t="s">
        <v>2769</v>
      </c>
      <c r="I638" s="2" t="str" cm="1">
        <f t="array" ref="I638">H638 &amp; _xlfn.REGEXEXTRACT(G638,"^[^_]+_\d{4}") &amp; ".pdf"</f>
        <v>https://www.ocf.berkeley.edu/~pkmendez/envsci/projects/2013final/PerrymanM_2013.pdf</v>
      </c>
      <c r="J638" s="1" t="str">
        <f t="shared" si="10"/>
        <v>https://www.ocf.berkeley.edu/~pkmendez/envsci/projects/2013final/PerrymanM_2013.pdf</v>
      </c>
      <c r="K638" s="2" t="str" cm="1">
        <f t="array" ref="K638:O638">_xlfn.TAKE(TRIM(_xlfn.TEXTSPLIT(F638,{",",";"})),,5)</f>
        <v>Hydrocotyle umbellata</v>
      </c>
      <c r="L638" s="2" t="str">
        <v>Eichhornia crassipes</v>
      </c>
      <c r="M638" s="2" t="str">
        <v>salinity</v>
      </c>
      <c r="N638" s="2" t="str">
        <v>competition</v>
      </c>
      <c r="O638" s="2" t="str">
        <v>Relative Competitive Intensity Index (RCI)</v>
      </c>
      <c r="P638" s="2" t="s">
        <v>9</v>
      </c>
      <c r="Q638" s="2" t="s">
        <v>10</v>
      </c>
    </row>
    <row r="639" spans="1:17" x14ac:dyDescent="0.35">
      <c r="A639" s="2" t="s">
        <v>5884</v>
      </c>
      <c r="B639" s="2" t="s">
        <v>2966</v>
      </c>
      <c r="C639" s="2" t="s">
        <v>2967</v>
      </c>
      <c r="D639" s="2">
        <v>2013</v>
      </c>
      <c r="E639" s="2" t="s">
        <v>2968</v>
      </c>
      <c r="F639" s="2" t="s">
        <v>2969</v>
      </c>
      <c r="G639" s="2" t="s">
        <v>2970</v>
      </c>
      <c r="H639" s="2" t="s">
        <v>2769</v>
      </c>
      <c r="I639" s="2" t="str" cm="1">
        <f t="array" ref="I639">H639 &amp; _xlfn.REGEXEXTRACT(G639,"^[^_]+_\d{4}") &amp; ".pdf"</f>
        <v>https://www.ocf.berkeley.edu/~pkmendez/envsci/projects/2013final/PompeyK_2013.pdf</v>
      </c>
      <c r="J639" s="1" t="str">
        <f t="shared" si="10"/>
        <v>https://www.ocf.berkeley.edu/~pkmendez/envsci/projects/2013final/PompeyK_2013.pdf</v>
      </c>
      <c r="K639" s="2" t="str" cm="1">
        <f t="array" ref="K639:O639">_xlfn.TAKE(TRIM(_xlfn.TEXTSPLIT(F639,{",",";"})),,5)</f>
        <v>bioremediation</v>
      </c>
      <c r="L639" s="2" t="str">
        <v>Taqman real time PCR</v>
      </c>
      <c r="M639" s="2" t="str">
        <v>Biocontrol</v>
      </c>
      <c r="N639" s="2" t="str">
        <v>Sudden Oak Death</v>
      </c>
      <c r="O639" s="2" t="str">
        <v>organic solutions</v>
      </c>
      <c r="P639" s="2" t="s">
        <v>9</v>
      </c>
      <c r="Q639" s="2" t="s">
        <v>10</v>
      </c>
    </row>
    <row r="640" spans="1:17" x14ac:dyDescent="0.35">
      <c r="A640" s="2" t="s">
        <v>5884</v>
      </c>
      <c r="B640" s="2" t="s">
        <v>2971</v>
      </c>
      <c r="C640" s="2" t="s">
        <v>2972</v>
      </c>
      <c r="D640" s="2">
        <v>2013</v>
      </c>
      <c r="E640" s="2" t="s">
        <v>2973</v>
      </c>
      <c r="F640" s="2" t="s">
        <v>2974</v>
      </c>
      <c r="G640" s="2" t="s">
        <v>2975</v>
      </c>
      <c r="H640" s="2" t="s">
        <v>2769</v>
      </c>
      <c r="I640" s="2" t="str" cm="1">
        <f t="array" ref="I640">H640 &amp; _xlfn.REGEXEXTRACT(G640,"^[^_]+_\d{4}") &amp; ".pdf"</f>
        <v>https://www.ocf.berkeley.edu/~pkmendez/envsci/projects/2013final/ReeseA_2013.pdf</v>
      </c>
      <c r="J640" s="1" t="str">
        <f t="shared" si="10"/>
        <v>https://www.ocf.berkeley.edu/~pkmendez/envsci/projects/2013final/ReeseA_2013.pdf</v>
      </c>
      <c r="K640" s="2" t="str" cm="1">
        <f t="array" ref="K640:O640">_xlfn.TAKE(TRIM(_xlfn.TEXTSPLIT(F640,{",",";"})),,5)</f>
        <v>Geographic Imaging System (GIS)</v>
      </c>
      <c r="L640" s="2" t="str">
        <v>suitability analysis</v>
      </c>
      <c r="M640" s="2" t="str">
        <v>opportunity</v>
      </c>
      <c r="N640" s="2" t="str">
        <v>constraint</v>
      </c>
      <c r="O640" s="2" t="str">
        <v>National Environmental Protection Act of 1969 (NEPA)</v>
      </c>
      <c r="P640" s="2" t="s">
        <v>9</v>
      </c>
      <c r="Q640" s="2" t="s">
        <v>10</v>
      </c>
    </row>
    <row r="641" spans="1:17" x14ac:dyDescent="0.35">
      <c r="A641" s="2" t="s">
        <v>5884</v>
      </c>
      <c r="B641" s="2" t="s">
        <v>2976</v>
      </c>
      <c r="C641" s="2" t="s">
        <v>2977</v>
      </c>
      <c r="D641" s="2">
        <v>2013</v>
      </c>
      <c r="E641" s="2" t="s">
        <v>2978</v>
      </c>
      <c r="F641" s="2" t="s">
        <v>2979</v>
      </c>
      <c r="G641" s="2" t="s">
        <v>2980</v>
      </c>
      <c r="H641" s="2" t="s">
        <v>2769</v>
      </c>
      <c r="I641" s="2" t="str" cm="1">
        <f t="array" ref="I641">H641 &amp; _xlfn.REGEXEXTRACT(G641,"^[^_]+_\d{4}") &amp; ".pdf"</f>
        <v>https://www.ocf.berkeley.edu/~pkmendez/envsci/projects/2013final/ReyesL_2013.pdf</v>
      </c>
      <c r="J641" s="1" t="str">
        <f t="shared" si="10"/>
        <v>https://www.ocf.berkeley.edu/~pkmendez/envsci/projects/2013final/ReyesL_2013.pdf</v>
      </c>
      <c r="K641" s="2" t="str" cm="1">
        <f t="array" ref="K641:O641">_xlfn.TAKE(TRIM(_xlfn.TEXTSPLIT(F641,{",",";"})),,5)</f>
        <v>CDA</v>
      </c>
      <c r="L641" s="2" t="str">
        <v>Sustainable Development</v>
      </c>
      <c r="M641" s="2" t="str">
        <v>Post-Modernism</v>
      </c>
      <c r="N641" s="2" t="str">
        <v>Modernist</v>
      </c>
      <c r="O641" s="2" t="str">
        <v>Triple Bottom Line</v>
      </c>
      <c r="P641" s="2" t="s">
        <v>9</v>
      </c>
      <c r="Q641" s="2" t="s">
        <v>10</v>
      </c>
    </row>
    <row r="642" spans="1:17" x14ac:dyDescent="0.35">
      <c r="A642" s="2" t="s">
        <v>5884</v>
      </c>
      <c r="B642" s="2" t="s">
        <v>2981</v>
      </c>
      <c r="C642" s="2" t="s">
        <v>2982</v>
      </c>
      <c r="D642" s="2">
        <v>2013</v>
      </c>
      <c r="E642" s="2" t="s">
        <v>2983</v>
      </c>
      <c r="F642" s="2" t="s">
        <v>2984</v>
      </c>
      <c r="G642" s="2" t="s">
        <v>2985</v>
      </c>
      <c r="H642" s="2" t="s">
        <v>2769</v>
      </c>
      <c r="I642" s="2" t="str" cm="1">
        <f t="array" ref="I642">H642 &amp; _xlfn.REGEXEXTRACT(G642,"^[^_]+_\d{4}") &amp; ".pdf"</f>
        <v>https://www.ocf.berkeley.edu/~pkmendez/envsci/projects/2013final/RodriguezB_2013.pdf</v>
      </c>
      <c r="J642" s="1" t="str">
        <f t="shared" si="10"/>
        <v>https://www.ocf.berkeley.edu/~pkmendez/envsci/projects/2013final/RodriguezB_2013.pdf</v>
      </c>
      <c r="K642" s="2" t="str" cm="1">
        <f t="array" ref="K642:N642">_xlfn.TAKE(TRIM(_xlfn.TEXTSPLIT(F642,{",",";"})),,5)</f>
        <v>ArcMap</v>
      </c>
      <c r="L642" s="2" t="str">
        <v>socio-economic status</v>
      </c>
      <c r="M642" s="2" t="str">
        <v>spatial analysis</v>
      </c>
      <c r="N642" s="2" t="str">
        <v>environmental justice</v>
      </c>
      <c r="P642" s="2" t="s">
        <v>9</v>
      </c>
      <c r="Q642" s="2" t="s">
        <v>10</v>
      </c>
    </row>
    <row r="643" spans="1:17" x14ac:dyDescent="0.35">
      <c r="A643" s="2" t="s">
        <v>5884</v>
      </c>
      <c r="B643" s="2" t="s">
        <v>2986</v>
      </c>
      <c r="C643" s="2" t="s">
        <v>2987</v>
      </c>
      <c r="D643" s="2">
        <v>2013</v>
      </c>
      <c r="E643" s="2" t="s">
        <v>2988</v>
      </c>
      <c r="F643" s="2" t="s">
        <v>2989</v>
      </c>
      <c r="G643" s="2" t="s">
        <v>2990</v>
      </c>
      <c r="H643" s="2" t="s">
        <v>2769</v>
      </c>
      <c r="I643" s="2" t="str" cm="1">
        <f t="array" ref="I643">H643 &amp; _xlfn.REGEXEXTRACT(G643,"^[^_]+_\d{4}") &amp; ".pdf"</f>
        <v>https://www.ocf.berkeley.edu/~pkmendez/envsci/projects/2013final/RubinE_2013.pdf</v>
      </c>
      <c r="J643" s="1" t="str">
        <f t="shared" ref="J643:J706" si="11">HYPERLINK(I643, I643)</f>
        <v>https://www.ocf.berkeley.edu/~pkmendez/envsci/projects/2013final/RubinE_2013.pdf</v>
      </c>
      <c r="K643" s="2" t="str" cm="1">
        <f t="array" ref="K643:O643">_xlfn.TAKE(TRIM(_xlfn.TEXTSPLIT(F643,{",",";"})),,5)</f>
        <v>normative beliefs</v>
      </c>
      <c r="L643" s="2" t="str">
        <v>misperception</v>
      </c>
      <c r="M643" s="2" t="str">
        <v>Focus Theory of Normative Conduct</v>
      </c>
      <c r="N643" s="2" t="str">
        <v>Social Norms Theory</v>
      </c>
      <c r="O643" s="2" t="str">
        <v>Opower</v>
      </c>
      <c r="P643" s="2" t="s">
        <v>9</v>
      </c>
      <c r="Q643" s="2" t="s">
        <v>10</v>
      </c>
    </row>
    <row r="644" spans="1:17" x14ac:dyDescent="0.35">
      <c r="A644" s="2" t="s">
        <v>5884</v>
      </c>
      <c r="B644" s="2" t="s">
        <v>2991</v>
      </c>
      <c r="C644" s="2" t="s">
        <v>2992</v>
      </c>
      <c r="D644" s="2">
        <v>2013</v>
      </c>
      <c r="E644" s="2" t="s">
        <v>2993</v>
      </c>
      <c r="F644" s="2" t="s">
        <v>2994</v>
      </c>
      <c r="G644" s="2" t="s">
        <v>2995</v>
      </c>
      <c r="H644" s="2" t="s">
        <v>2769</v>
      </c>
      <c r="I644" s="2" t="str" cm="1">
        <f t="array" ref="I644">H644 &amp; _xlfn.REGEXEXTRACT(G644,"^[^_]+_\d{4}") &amp; ".pdf"</f>
        <v>https://www.ocf.berkeley.edu/~pkmendez/envsci/projects/2013final/SalladayR_2013.pdf</v>
      </c>
      <c r="J644" s="1" t="str">
        <f t="shared" si="11"/>
        <v>https://www.ocf.berkeley.edu/~pkmendez/envsci/projects/2013final/SalladayR_2013.pdf</v>
      </c>
      <c r="K644" s="2" t="str" cm="1">
        <f t="array" ref="K644:O644">_xlfn.TAKE(TRIM(_xlfn.TEXTSPLIT(F644,{",",";"})),,5)</f>
        <v>cyanogenesis</v>
      </c>
      <c r="L644" s="2" t="str">
        <v>feeding preference</v>
      </c>
      <c r="M644" s="2" t="str">
        <v>spinescence</v>
      </c>
      <c r="N644" s="2" t="str">
        <v>leaf toughness</v>
      </c>
      <c r="O644" s="2" t="str">
        <v>chaparral</v>
      </c>
      <c r="P644" s="2" t="s">
        <v>9</v>
      </c>
      <c r="Q644" s="2" t="s">
        <v>10</v>
      </c>
    </row>
    <row r="645" spans="1:17" x14ac:dyDescent="0.35">
      <c r="A645" s="2" t="s">
        <v>5884</v>
      </c>
      <c r="B645" s="2" t="s">
        <v>2996</v>
      </c>
      <c r="C645" s="2" t="s">
        <v>2997</v>
      </c>
      <c r="D645" s="2">
        <v>2013</v>
      </c>
      <c r="E645" s="2" t="s">
        <v>2998</v>
      </c>
      <c r="F645" s="2" t="s">
        <v>2999</v>
      </c>
      <c r="G645" s="2" t="s">
        <v>3000</v>
      </c>
      <c r="H645" s="2" t="s">
        <v>2769</v>
      </c>
      <c r="I645" s="2" t="str" cm="1">
        <f t="array" ref="I645">H645 &amp; _xlfn.REGEXEXTRACT(G645,"^[^_]+_\d{4}") &amp; ".pdf"</f>
        <v>https://www.ocf.berkeley.edu/~pkmendez/envsci/projects/2013final/SantacruzE_2013.pdf</v>
      </c>
      <c r="J645" s="1" t="str">
        <f t="shared" si="11"/>
        <v>https://www.ocf.berkeley.edu/~pkmendez/envsci/projects/2013final/SantacruzE_2013.pdf</v>
      </c>
      <c r="K645" s="2" t="str" cm="1">
        <f t="array" ref="K645:O645">_xlfn.TAKE(TRIM(_xlfn.TEXTSPLIT(F645,{",",";"})),,5)</f>
        <v>municipal code</v>
      </c>
      <c r="L645" s="2" t="str">
        <v>ordinance code</v>
      </c>
      <c r="M645" s="2" t="str">
        <v>home gardens</v>
      </c>
      <c r="N645" s="2" t="str">
        <v>community gardens</v>
      </c>
      <c r="O645" s="2" t="str">
        <v>urban farms</v>
      </c>
      <c r="P645" s="2" t="s">
        <v>9</v>
      </c>
      <c r="Q645" s="2" t="s">
        <v>10</v>
      </c>
    </row>
    <row r="646" spans="1:17" x14ac:dyDescent="0.35">
      <c r="A646" s="2" t="s">
        <v>5884</v>
      </c>
      <c r="B646" s="2" t="s">
        <v>3001</v>
      </c>
      <c r="C646" s="2" t="s">
        <v>3002</v>
      </c>
      <c r="D646" s="2">
        <v>2013</v>
      </c>
      <c r="E646" s="2" t="s">
        <v>3003</v>
      </c>
      <c r="F646" s="2" t="s">
        <v>3004</v>
      </c>
      <c r="G646" s="2" t="s">
        <v>3005</v>
      </c>
      <c r="H646" s="2" t="s">
        <v>2769</v>
      </c>
      <c r="I646" s="2" t="str" cm="1">
        <f t="array" ref="I646">H646 &amp; _xlfn.REGEXEXTRACT(G646,"^[^_]+_\d{4}") &amp; ".pdf"</f>
        <v>https://www.ocf.berkeley.edu/~pkmendez/envsci/projects/2013final/ScottM_2013.pdf</v>
      </c>
      <c r="J646" s="1" t="str">
        <f t="shared" si="11"/>
        <v>https://www.ocf.berkeley.edu/~pkmendez/envsci/projects/2013final/ScottM_2013.pdf</v>
      </c>
      <c r="K646" s="2" t="str" cm="1">
        <f t="array" ref="K646:O646">_xlfn.TAKE(TRIM(_xlfn.TEXTSPLIT(F646,{",",";"})),,5)</f>
        <v>overwintering</v>
      </c>
      <c r="L646" s="2" t="str">
        <v>leafhoppers</v>
      </c>
      <c r="M646" s="2" t="str">
        <v>Erythroneura elegantula</v>
      </c>
      <c r="N646" s="2" t="str">
        <v>vineyard</v>
      </c>
      <c r="O646" s="2" t="str">
        <v>grapes</v>
      </c>
      <c r="P646" s="2" t="s">
        <v>9</v>
      </c>
      <c r="Q646" s="2" t="s">
        <v>10</v>
      </c>
    </row>
    <row r="647" spans="1:17" x14ac:dyDescent="0.35">
      <c r="A647" s="2" t="s">
        <v>5884</v>
      </c>
      <c r="B647" s="2" t="s">
        <v>3006</v>
      </c>
      <c r="C647" s="2" t="s">
        <v>3007</v>
      </c>
      <c r="D647" s="2">
        <v>2013</v>
      </c>
      <c r="E647" s="2" t="s">
        <v>3008</v>
      </c>
      <c r="F647" s="2" t="s">
        <v>3009</v>
      </c>
      <c r="G647" s="2" t="s">
        <v>3010</v>
      </c>
      <c r="H647" s="2" t="s">
        <v>2769</v>
      </c>
      <c r="I647" s="2" t="str" cm="1">
        <f t="array" ref="I647">H647 &amp; _xlfn.REGEXEXTRACT(G647,"^[^_]+_\d{4}") &amp; ".pdf"</f>
        <v>https://www.ocf.berkeley.edu/~pkmendez/envsci/projects/2013final/SiuT_2013.pdf</v>
      </c>
      <c r="J647" s="1" t="str">
        <f t="shared" si="11"/>
        <v>https://www.ocf.berkeley.edu/~pkmendez/envsci/projects/2013final/SiuT_2013.pdf</v>
      </c>
      <c r="K647" s="2" t="str" cm="1">
        <f t="array" ref="K647:O647">_xlfn.TAKE(TRIM(_xlfn.TEXTSPLIT(F647,{",",";"})),,5)</f>
        <v>Bed bugs</v>
      </c>
      <c r="L647" s="2" t="str">
        <v>epidemiology</v>
      </c>
      <c r="M647" s="2" t="str">
        <v>environmental health</v>
      </c>
      <c r="N647" s="2" t="str">
        <v>UC Berkeley</v>
      </c>
      <c r="O647" s="2" t="str">
        <v>infestation</v>
      </c>
      <c r="P647" s="2" t="s">
        <v>9</v>
      </c>
      <c r="Q647" s="2" t="s">
        <v>10</v>
      </c>
    </row>
    <row r="648" spans="1:17" x14ac:dyDescent="0.35">
      <c r="A648" s="2" t="s">
        <v>5884</v>
      </c>
      <c r="B648" s="2" t="s">
        <v>3011</v>
      </c>
      <c r="C648" s="2" t="s">
        <v>3012</v>
      </c>
      <c r="D648" s="2">
        <v>2013</v>
      </c>
      <c r="E648" s="2" t="s">
        <v>3013</v>
      </c>
      <c r="F648" s="2" t="s">
        <v>3014</v>
      </c>
      <c r="G648" s="2" t="s">
        <v>3015</v>
      </c>
      <c r="H648" s="2" t="s">
        <v>2769</v>
      </c>
      <c r="I648" s="2" t="str" cm="1">
        <f t="array" ref="I648">H648 &amp; _xlfn.REGEXEXTRACT(G648,"^[^_]+_\d{4}") &amp; ".pdf"</f>
        <v>https://www.ocf.berkeley.edu/~pkmendez/envsci/projects/2013final/SolaresN_2013.pdf</v>
      </c>
      <c r="J648" s="1" t="str">
        <f t="shared" si="11"/>
        <v>https://www.ocf.berkeley.edu/~pkmendez/envsci/projects/2013final/SolaresN_2013.pdf</v>
      </c>
      <c r="K648" s="2" t="str" cm="1">
        <f t="array" ref="K648:O648">_xlfn.TAKE(TRIM(_xlfn.TEXTSPLIT(F648,{",",";"})),,5)</f>
        <v>Landscape ecology</v>
      </c>
      <c r="L648" s="2" t="str">
        <v>crop diversity</v>
      </c>
      <c r="M648" s="2" t="str">
        <v>agroecosystems</v>
      </c>
      <c r="N648" s="2" t="str">
        <v>Lygus hesperus</v>
      </c>
      <c r="O648" s="2" t="str">
        <v>edge effects</v>
      </c>
      <c r="P648" s="2" t="s">
        <v>9</v>
      </c>
      <c r="Q648" s="2" t="s">
        <v>10</v>
      </c>
    </row>
    <row r="649" spans="1:17" x14ac:dyDescent="0.35">
      <c r="A649" s="2" t="s">
        <v>5884</v>
      </c>
      <c r="B649" s="2" t="s">
        <v>3016</v>
      </c>
      <c r="C649" s="2" t="s">
        <v>3017</v>
      </c>
      <c r="D649" s="2">
        <v>2013</v>
      </c>
      <c r="E649" s="2" t="s">
        <v>3018</v>
      </c>
      <c r="F649" s="2" t="s">
        <v>3019</v>
      </c>
      <c r="G649" s="2" t="s">
        <v>3020</v>
      </c>
      <c r="H649" s="2" t="s">
        <v>2769</v>
      </c>
      <c r="I649" s="2" t="str" cm="1">
        <f t="array" ref="I649">H649 &amp; _xlfn.REGEXEXTRACT(G649,"^[^_]+_\d{4}") &amp; ".pdf"</f>
        <v>https://www.ocf.berkeley.edu/~pkmendez/envsci/projects/2013final/SunC_2013.pdf</v>
      </c>
      <c r="J649" s="1" t="str">
        <f t="shared" si="11"/>
        <v>https://www.ocf.berkeley.edu/~pkmendez/envsci/projects/2013final/SunC_2013.pdf</v>
      </c>
      <c r="K649" s="2" t="str" cm="1">
        <f t="array" ref="K649:O649">_xlfn.TAKE(TRIM(_xlfn.TEXTSPLIT(F649,{",",";"})),,5)</f>
        <v>compost</v>
      </c>
      <c r="L649" s="2" t="str">
        <v>landfill</v>
      </c>
      <c r="M649" s="2" t="str">
        <v>emissions</v>
      </c>
      <c r="N649" s="2" t="str">
        <v>Waste Reduction Model (WARM)</v>
      </c>
      <c r="O649" s="2" t="str">
        <v>geographic information systems</v>
      </c>
      <c r="P649" s="2" t="s">
        <v>9</v>
      </c>
      <c r="Q649" s="2" t="s">
        <v>10</v>
      </c>
    </row>
    <row r="650" spans="1:17" x14ac:dyDescent="0.35">
      <c r="A650" s="2" t="s">
        <v>5884</v>
      </c>
      <c r="B650" s="2" t="s">
        <v>3021</v>
      </c>
      <c r="C650" s="2" t="s">
        <v>3022</v>
      </c>
      <c r="D650" s="2">
        <v>2013</v>
      </c>
      <c r="E650" s="2" t="s">
        <v>3023</v>
      </c>
      <c r="F650" s="2" t="s">
        <v>3024</v>
      </c>
      <c r="G650" s="2" t="s">
        <v>3025</v>
      </c>
      <c r="H650" s="2" t="s">
        <v>2769</v>
      </c>
      <c r="I650" s="2" t="str" cm="1">
        <f t="array" ref="I650">H650 &amp; _xlfn.REGEXEXTRACT(G650,"^[^_]+_\d{4}") &amp; ".pdf"</f>
        <v>https://www.ocf.berkeley.edu/~pkmendez/envsci/projects/2013final/TangJ_2013.pdf</v>
      </c>
      <c r="J650" s="1" t="str">
        <f t="shared" si="11"/>
        <v>https://www.ocf.berkeley.edu/~pkmendez/envsci/projects/2013final/TangJ_2013.pdf</v>
      </c>
      <c r="K650" s="2" t="str" cm="1">
        <f t="array" ref="K650:O650">_xlfn.TAKE(TRIM(_xlfn.TEXTSPLIT(F650,{",",";"})),,5)</f>
        <v>Geothermal gas</v>
      </c>
      <c r="L650" s="2" t="str">
        <v>gas venting</v>
      </c>
      <c r="M650" s="2" t="str">
        <v>volcanic gases</v>
      </c>
      <c r="N650" s="2" t="str">
        <v>kriging</v>
      </c>
      <c r="O650" s="2" t="str">
        <v>public health</v>
      </c>
      <c r="P650" s="2" t="s">
        <v>9</v>
      </c>
      <c r="Q650" s="2" t="s">
        <v>10</v>
      </c>
    </row>
    <row r="651" spans="1:17" x14ac:dyDescent="0.35">
      <c r="A651" s="2" t="s">
        <v>5884</v>
      </c>
      <c r="B651" s="2" t="s">
        <v>3026</v>
      </c>
      <c r="C651" s="2" t="s">
        <v>3027</v>
      </c>
      <c r="D651" s="2">
        <v>2013</v>
      </c>
      <c r="E651" s="2" t="s">
        <v>3028</v>
      </c>
      <c r="F651" s="2" t="s">
        <v>3029</v>
      </c>
      <c r="G651" s="2" t="s">
        <v>3030</v>
      </c>
      <c r="H651" s="2" t="s">
        <v>2769</v>
      </c>
      <c r="I651" s="2" t="str" cm="1">
        <f t="array" ref="I651">H651 &amp; _xlfn.REGEXEXTRACT(G651,"^[^_]+_\d{4}") &amp; ".pdf"</f>
        <v>https://www.ocf.berkeley.edu/~pkmendez/envsci/projects/2013final/TomK_2013.pdf</v>
      </c>
      <c r="J651" s="1" t="str">
        <f t="shared" si="11"/>
        <v>https://www.ocf.berkeley.edu/~pkmendez/envsci/projects/2013final/TomK_2013.pdf</v>
      </c>
      <c r="K651" s="2" t="str" cm="1">
        <f t="array" ref="K651:O651">_xlfn.TAKE(TRIM(_xlfn.TEXTSPLIT(F651,{",",";"})),,5)</f>
        <v>pollination</v>
      </c>
      <c r="L651" s="2" t="str">
        <v>hybrid sunflower</v>
      </c>
      <c r="M651" s="2" t="str">
        <v>honey bee</v>
      </c>
      <c r="N651" s="2" t="str">
        <v>biodiversity</v>
      </c>
      <c r="O651" s="2" t="str">
        <v>generalized linear mixed model</v>
      </c>
      <c r="P651" s="2" t="s">
        <v>9</v>
      </c>
      <c r="Q651" s="2" t="s">
        <v>10</v>
      </c>
    </row>
    <row r="652" spans="1:17" x14ac:dyDescent="0.35">
      <c r="A652" s="2" t="s">
        <v>5884</v>
      </c>
      <c r="B652" s="2" t="s">
        <v>3031</v>
      </c>
      <c r="C652" s="2" t="s">
        <v>3032</v>
      </c>
      <c r="D652" s="2">
        <v>2013</v>
      </c>
      <c r="E652" s="2" t="s">
        <v>3033</v>
      </c>
      <c r="F652" s="2" t="s">
        <v>3034</v>
      </c>
      <c r="G652" s="2" t="s">
        <v>3035</v>
      </c>
      <c r="H652" s="2" t="s">
        <v>2769</v>
      </c>
      <c r="I652" s="2" t="str" cm="1">
        <f t="array" ref="I652">H652 &amp; _xlfn.REGEXEXTRACT(G652,"^[^_]+_\d{4}") &amp; ".pdf"</f>
        <v>https://www.ocf.berkeley.edu/~pkmendez/envsci/projects/2013final/VelascoK_2013.pdf</v>
      </c>
      <c r="J652" s="1" t="str">
        <f t="shared" si="11"/>
        <v>https://www.ocf.berkeley.edu/~pkmendez/envsci/projects/2013final/VelascoK_2013.pdf</v>
      </c>
      <c r="K652" s="2" t="str" cm="1">
        <f t="array" ref="K652:O652">_xlfn.TAKE(TRIM(_xlfn.TEXTSPLIT(F652,{",",";"})),,5)</f>
        <v>high-gradient stream</v>
      </c>
      <c r="L652" s="2" t="str">
        <v>urban system</v>
      </c>
      <c r="M652" s="2" t="str">
        <v>geomorphological significance</v>
      </c>
      <c r="N652" s="2" t="str">
        <v>stream engineering</v>
      </c>
      <c r="O652" s="2" t="str">
        <v>bioassessment</v>
      </c>
      <c r="P652" s="2" t="s">
        <v>9</v>
      </c>
      <c r="Q652" s="2" t="s">
        <v>10</v>
      </c>
    </row>
    <row r="653" spans="1:17" x14ac:dyDescent="0.35">
      <c r="A653" s="2" t="s">
        <v>5884</v>
      </c>
      <c r="B653" s="2" t="s">
        <v>3036</v>
      </c>
      <c r="C653" s="2" t="s">
        <v>3037</v>
      </c>
      <c r="D653" s="2">
        <v>2013</v>
      </c>
      <c r="E653" s="2" t="s">
        <v>3038</v>
      </c>
      <c r="F653" s="2" t="s">
        <v>3039</v>
      </c>
      <c r="G653" s="2" t="s">
        <v>3040</v>
      </c>
      <c r="H653" s="2" t="s">
        <v>2769</v>
      </c>
      <c r="I653" s="2" t="str" cm="1">
        <f t="array" ref="I653">H653 &amp; _xlfn.REGEXEXTRACT(G653,"^[^_]+_\d{4}") &amp; ".pdf"</f>
        <v>https://www.ocf.berkeley.edu/~pkmendez/envsci/projects/2013final/VeylitL_2013.pdf</v>
      </c>
      <c r="J653" s="1" t="str">
        <f t="shared" si="11"/>
        <v>https://www.ocf.berkeley.edu/~pkmendez/envsci/projects/2013final/VeylitL_2013.pdf</v>
      </c>
      <c r="K653" s="2" t="str" cm="1">
        <f t="array" ref="K653:O653">_xlfn.TAKE(TRIM(_xlfn.TEXTSPLIT(F653,{",",";"})),,5)</f>
        <v>Integrated Pest Management</v>
      </c>
      <c r="L653" s="2" t="str">
        <v>alternative pest management</v>
      </c>
      <c r="M653" s="2" t="str">
        <v>multigenerational study</v>
      </c>
      <c r="N653" s="2" t="str">
        <v>biological control</v>
      </c>
      <c r="O653" s="2" t="str">
        <v>fecundity</v>
      </c>
      <c r="P653" s="2" t="s">
        <v>9</v>
      </c>
      <c r="Q653" s="2" t="s">
        <v>10</v>
      </c>
    </row>
    <row r="654" spans="1:17" x14ac:dyDescent="0.35">
      <c r="A654" s="2" t="s">
        <v>5884</v>
      </c>
      <c r="B654" s="2" t="s">
        <v>3041</v>
      </c>
      <c r="C654" s="2" t="s">
        <v>3042</v>
      </c>
      <c r="D654" s="2">
        <v>2013</v>
      </c>
      <c r="E654" s="2" t="s">
        <v>3043</v>
      </c>
      <c r="F654" s="2" t="s">
        <v>3044</v>
      </c>
      <c r="G654" s="2" t="s">
        <v>3045</v>
      </c>
      <c r="H654" s="2" t="s">
        <v>2769</v>
      </c>
      <c r="I654" s="2" t="str" cm="1">
        <f t="array" ref="I654">H654 &amp; _xlfn.REGEXEXTRACT(G654,"^[^_]+_\d{4}") &amp; ".pdf"</f>
        <v>https://www.ocf.berkeley.edu/~pkmendez/envsci/projects/2013final/VozzaG_2013.pdf</v>
      </c>
      <c r="J654" s="1" t="str">
        <f t="shared" si="11"/>
        <v>https://www.ocf.berkeley.edu/~pkmendez/envsci/projects/2013final/VozzaG_2013.pdf</v>
      </c>
      <c r="K654" s="2" t="str" cm="1">
        <f t="array" ref="K654:O654">_xlfn.TAKE(TRIM(_xlfn.TEXTSPLIT(F654,{",",";"})),,5)</f>
        <v>Hydraulic conductivity</v>
      </c>
      <c r="L654" s="2" t="str">
        <v>water supply</v>
      </c>
      <c r="M654" s="2" t="str">
        <v>cryogenic coring</v>
      </c>
      <c r="N654" s="2" t="str">
        <v>seasonal sedimentation</v>
      </c>
      <c r="O654" s="2" t="str">
        <v>grain size distribution</v>
      </c>
      <c r="P654" s="2" t="s">
        <v>9</v>
      </c>
      <c r="Q654" s="2" t="s">
        <v>10</v>
      </c>
    </row>
    <row r="655" spans="1:17" x14ac:dyDescent="0.35">
      <c r="A655" s="2" t="s">
        <v>5884</v>
      </c>
      <c r="B655" s="2" t="s">
        <v>3046</v>
      </c>
      <c r="C655" s="2" t="s">
        <v>3047</v>
      </c>
      <c r="D655" s="2">
        <v>2013</v>
      </c>
      <c r="E655" s="2" t="s">
        <v>3048</v>
      </c>
      <c r="F655" s="2" t="s">
        <v>3049</v>
      </c>
      <c r="G655" s="2" t="s">
        <v>3050</v>
      </c>
      <c r="H655" s="2" t="s">
        <v>2769</v>
      </c>
      <c r="I655" s="2" t="str" cm="1">
        <f t="array" ref="I655">H655 &amp; _xlfn.REGEXEXTRACT(G655,"^[^_]+_\d{4}") &amp; ".pdf"</f>
        <v>https://www.ocf.berkeley.edu/~pkmendez/envsci/projects/2013final/WalpertT_2013.pdf</v>
      </c>
      <c r="J655" s="1" t="str">
        <f t="shared" si="11"/>
        <v>https://www.ocf.berkeley.edu/~pkmendez/envsci/projects/2013final/WalpertT_2013.pdf</v>
      </c>
      <c r="K655" s="2" t="str" cm="1">
        <f t="array" ref="K655:O655">_xlfn.TAKE(TRIM(_xlfn.TEXTSPLIT(F655,{",",";"})),,5)</f>
        <v>methane</v>
      </c>
      <c r="L655" s="2" t="str">
        <v>house</v>
      </c>
      <c r="M655" s="2" t="str">
        <v>greenhouse gas</v>
      </c>
      <c r="N655" s="2" t="str">
        <v>on-demand water heater</v>
      </c>
      <c r="O655" s="2" t="str">
        <v>tankless water heater</v>
      </c>
      <c r="P655" s="2" t="s">
        <v>9</v>
      </c>
      <c r="Q655" s="2" t="s">
        <v>10</v>
      </c>
    </row>
    <row r="656" spans="1:17" x14ac:dyDescent="0.35">
      <c r="A656" s="2" t="s">
        <v>5884</v>
      </c>
      <c r="B656" s="2" t="s">
        <v>3051</v>
      </c>
      <c r="C656" s="2" t="s">
        <v>3052</v>
      </c>
      <c r="D656" s="2">
        <v>2013</v>
      </c>
      <c r="E656" s="2" t="s">
        <v>3053</v>
      </c>
      <c r="F656" s="2" t="s">
        <v>3054</v>
      </c>
      <c r="G656" s="2" t="s">
        <v>3055</v>
      </c>
      <c r="H656" s="2" t="s">
        <v>2769</v>
      </c>
      <c r="I656" s="2" t="str" cm="1">
        <f t="array" ref="I656">H656 &amp; _xlfn.REGEXEXTRACT(G656,"^[^_]+_\d{4}") &amp; ".pdf"</f>
        <v>https://www.ocf.berkeley.edu/~pkmendez/envsci/projects/2013final/WeiseB_2013.pdf</v>
      </c>
      <c r="J656" s="1" t="str">
        <f t="shared" si="11"/>
        <v>https://www.ocf.berkeley.edu/~pkmendez/envsci/projects/2013final/WeiseB_2013.pdf</v>
      </c>
      <c r="K656" s="2" t="str" cm="1">
        <f t="array" ref="K656:O656">_xlfn.TAKE(TRIM(_xlfn.TEXTSPLIT(F656,{",",";"})),,5)</f>
        <v>critical discourse analysis (CDA)</v>
      </c>
      <c r="L656" s="2" t="str">
        <v>newspapers</v>
      </c>
      <c r="M656" s="2" t="str">
        <v>politics</v>
      </c>
      <c r="N656" s="2" t="str">
        <v>editorials</v>
      </c>
      <c r="O656" s="2" t="str">
        <v>Letters to the Editor</v>
      </c>
      <c r="P656" s="2" t="s">
        <v>9</v>
      </c>
      <c r="Q656" s="2" t="s">
        <v>10</v>
      </c>
    </row>
    <row r="657" spans="1:17" x14ac:dyDescent="0.35">
      <c r="A657" s="2" t="s">
        <v>5884</v>
      </c>
      <c r="B657" s="2" t="s">
        <v>3056</v>
      </c>
      <c r="C657" s="2" t="s">
        <v>3057</v>
      </c>
      <c r="D657" s="2">
        <v>2013</v>
      </c>
      <c r="E657" s="2" t="s">
        <v>3058</v>
      </c>
      <c r="F657" s="2" t="s">
        <v>3059</v>
      </c>
      <c r="G657" s="2" t="s">
        <v>3060</v>
      </c>
      <c r="H657" s="2" t="s">
        <v>2769</v>
      </c>
      <c r="I657" s="2" t="str" cm="1">
        <f t="array" ref="I657">H657 &amp; _xlfn.REGEXEXTRACT(G657,"^[^_]+_\d{4}") &amp; ".pdf"</f>
        <v>https://www.ocf.berkeley.edu/~pkmendez/envsci/projects/2013final/WinsemiusS_2013.pdf</v>
      </c>
      <c r="J657" s="1" t="str">
        <f t="shared" si="11"/>
        <v>https://www.ocf.berkeley.edu/~pkmendez/envsci/projects/2013final/WinsemiusS_2013.pdf</v>
      </c>
      <c r="K657" s="2" t="str" cm="1">
        <f t="array" ref="K657:O657">_xlfn.TAKE(TRIM(_xlfn.TEXTSPLIT(F657,{",",";"})),,5)</f>
        <v>Carpobrotus edulis</v>
      </c>
      <c r="L657" s="2" t="str">
        <v>Ammophila arenaria</v>
      </c>
      <c r="M657" s="2" t="str">
        <v>habitat restoration</v>
      </c>
      <c r="N657" s="2" t="str">
        <v>invasive species</v>
      </c>
      <c r="O657" s="2" t="str">
        <v>soil parameters</v>
      </c>
      <c r="P657" s="2" t="s">
        <v>9</v>
      </c>
      <c r="Q657" s="2" t="s">
        <v>10</v>
      </c>
    </row>
    <row r="658" spans="1:17" x14ac:dyDescent="0.35">
      <c r="A658" s="2" t="s">
        <v>5884</v>
      </c>
      <c r="B658" s="2" t="s">
        <v>3061</v>
      </c>
      <c r="C658" s="2" t="s">
        <v>3062</v>
      </c>
      <c r="D658" s="2">
        <v>2013</v>
      </c>
      <c r="E658" s="2" t="s">
        <v>3063</v>
      </c>
      <c r="F658" s="2" t="s">
        <v>3064</v>
      </c>
      <c r="G658" s="2" t="s">
        <v>3065</v>
      </c>
      <c r="H658" s="2" t="s">
        <v>2769</v>
      </c>
      <c r="I658" s="2" t="str" cm="1">
        <f t="array" ref="I658">H658 &amp; _xlfn.REGEXEXTRACT(G658,"^[^_]+_\d{4}") &amp; ".pdf"</f>
        <v>https://www.ocf.berkeley.edu/~pkmendez/envsci/projects/2013final/WolfA_2013.pdf</v>
      </c>
      <c r="J658" s="1" t="str">
        <f t="shared" si="11"/>
        <v>https://www.ocf.berkeley.edu/~pkmendez/envsci/projects/2013final/WolfA_2013.pdf</v>
      </c>
      <c r="K658" s="2" t="str" cm="1">
        <f t="array" ref="K658:O658">_xlfn.TAKE(TRIM(_xlfn.TEXTSPLIT(F658,{",",";"})),,5)</f>
        <v>Transit oriented development (TOD)</v>
      </c>
      <c r="L658" s="2" t="str">
        <v>Contra Costa Center Transit Village</v>
      </c>
      <c r="M658" s="2" t="str">
        <v>mode choice</v>
      </c>
      <c r="N658" s="2" t="str">
        <v>parking development standards</v>
      </c>
      <c r="O658" s="2" t="str">
        <v>greenhouse gas emissions</v>
      </c>
      <c r="P658" s="2" t="s">
        <v>9</v>
      </c>
      <c r="Q658" s="2" t="s">
        <v>10</v>
      </c>
    </row>
    <row r="659" spans="1:17" x14ac:dyDescent="0.35">
      <c r="A659" s="2" t="s">
        <v>5884</v>
      </c>
      <c r="B659" s="2" t="s">
        <v>3066</v>
      </c>
      <c r="C659" s="2" t="s">
        <v>3067</v>
      </c>
      <c r="D659" s="2">
        <v>2013</v>
      </c>
      <c r="E659" s="2" t="s">
        <v>3068</v>
      </c>
      <c r="F659" s="2" t="s">
        <v>3069</v>
      </c>
      <c r="G659" s="2" t="s">
        <v>3070</v>
      </c>
      <c r="H659" s="2" t="s">
        <v>2769</v>
      </c>
      <c r="I659" s="2" t="str" cm="1">
        <f t="array" ref="I659">H659 &amp; _xlfn.REGEXEXTRACT(G659,"^[^_]+_\d{4}") &amp; ".pdf"</f>
        <v>https://www.ocf.berkeley.edu/~pkmendez/envsci/projects/2013final/WongR_2013.pdf</v>
      </c>
      <c r="J659" s="1" t="str">
        <f t="shared" si="11"/>
        <v>https://www.ocf.berkeley.edu/~pkmendez/envsci/projects/2013final/WongR_2013.pdf</v>
      </c>
      <c r="K659" s="2" t="str" cm="1">
        <f t="array" ref="K659:O659">_xlfn.TAKE(TRIM(_xlfn.TEXTSPLIT(F659,{",",";"})),,5)</f>
        <v>Specialization</v>
      </c>
      <c r="L659" s="2" t="str">
        <v>generalization</v>
      </c>
      <c r="M659" s="2" t="str">
        <v>modularity</v>
      </c>
      <c r="N659" s="2" t="str">
        <v>plant-pollinator interactions</v>
      </c>
      <c r="O659" s="2" t="str">
        <v>pollen analysis</v>
      </c>
      <c r="P659" s="2" t="s">
        <v>9</v>
      </c>
      <c r="Q659" s="2" t="s">
        <v>10</v>
      </c>
    </row>
    <row r="660" spans="1:17" x14ac:dyDescent="0.35">
      <c r="A660" s="2" t="s">
        <v>5884</v>
      </c>
      <c r="B660" s="2" t="s">
        <v>3071</v>
      </c>
      <c r="C660" s="2" t="s">
        <v>3072</v>
      </c>
      <c r="D660" s="2">
        <v>2013</v>
      </c>
      <c r="E660" s="2" t="s">
        <v>3073</v>
      </c>
      <c r="F660" s="2" t="s">
        <v>3074</v>
      </c>
      <c r="G660" s="2" t="s">
        <v>3075</v>
      </c>
      <c r="H660" s="2" t="s">
        <v>2769</v>
      </c>
      <c r="I660" s="2" t="str" cm="1">
        <f t="array" ref="I660">H660 &amp; _xlfn.REGEXEXTRACT(G660,"^[^_]+_\d{4}") &amp; ".pdf"</f>
        <v>https://www.ocf.berkeley.edu/~pkmendez/envsci/projects/2013final/WuD_2013.pdf</v>
      </c>
      <c r="J660" s="1" t="str">
        <f t="shared" si="11"/>
        <v>https://www.ocf.berkeley.edu/~pkmendez/envsci/projects/2013final/WuD_2013.pdf</v>
      </c>
      <c r="K660" s="2" t="str" cm="1">
        <f t="array" ref="K660:O660">_xlfn.TAKE(TRIM(_xlfn.TEXTSPLIT(F660,{",",";"})),,5)</f>
        <v>Anagrus</v>
      </c>
      <c r="L660" s="2" t="str">
        <v>alternate host</v>
      </c>
      <c r="M660" s="2" t="str">
        <v>landscape ecology</v>
      </c>
      <c r="N660" s="2" t="str">
        <v>leafhopper</v>
      </c>
      <c r="O660" s="2" t="str">
        <v>conservation biological control</v>
      </c>
      <c r="P660" s="2" t="s">
        <v>9</v>
      </c>
      <c r="Q660" s="2" t="s">
        <v>10</v>
      </c>
    </row>
    <row r="661" spans="1:17" x14ac:dyDescent="0.35">
      <c r="A661" s="2" t="s">
        <v>5884</v>
      </c>
      <c r="B661" s="2" t="s">
        <v>3076</v>
      </c>
      <c r="C661" s="2" t="s">
        <v>3077</v>
      </c>
      <c r="D661" s="2">
        <v>2013</v>
      </c>
      <c r="E661" s="2" t="s">
        <v>3078</v>
      </c>
      <c r="F661" s="2" t="s">
        <v>3079</v>
      </c>
      <c r="G661" s="2" t="s">
        <v>3080</v>
      </c>
      <c r="H661" s="2" t="s">
        <v>2769</v>
      </c>
      <c r="I661" s="2" t="str" cm="1">
        <f t="array" ref="I661">H661 &amp; _xlfn.REGEXEXTRACT(G661,"^[^_]+_\d{4}") &amp; ".pdf"</f>
        <v>https://www.ocf.berkeley.edu/~pkmendez/envsci/projects/2013final/ZhengD_2013.pdf</v>
      </c>
      <c r="J661" s="1" t="str">
        <f t="shared" si="11"/>
        <v>https://www.ocf.berkeley.edu/~pkmendez/envsci/projects/2013final/ZhengD_2013.pdf</v>
      </c>
      <c r="K661" s="2" t="str" cm="1">
        <f t="array" ref="K661:O661">_xlfn.TAKE(TRIM(_xlfn.TEXTSPLIT(F661,{",",";"})),,5)</f>
        <v>sustainable design</v>
      </c>
      <c r="L661" s="2" t="str">
        <v>post-occupancy evaluation</v>
      </c>
      <c r="M661" s="2" t="str">
        <v>energy efficiency</v>
      </c>
      <c r="N661" s="2" t="str">
        <v>energy conservation</v>
      </c>
      <c r="O661" s="2" t="str">
        <v>green buildings</v>
      </c>
      <c r="P661" s="2" t="s">
        <v>9</v>
      </c>
      <c r="Q661" s="2" t="s">
        <v>10</v>
      </c>
    </row>
    <row r="662" spans="1:17" x14ac:dyDescent="0.35">
      <c r="A662" s="2" t="s">
        <v>5884</v>
      </c>
      <c r="B662" s="2" t="s">
        <v>3314</v>
      </c>
      <c r="C662" s="2" t="s">
        <v>3315</v>
      </c>
      <c r="D662" s="2">
        <v>2012</v>
      </c>
      <c r="E662" s="2" t="s">
        <v>3316</v>
      </c>
      <c r="F662" s="2" t="s">
        <v>3317</v>
      </c>
      <c r="G662" s="2" t="s">
        <v>3318</v>
      </c>
      <c r="H662" s="2" t="s">
        <v>3319</v>
      </c>
      <c r="I662" s="2" t="str" cm="1">
        <f t="array" ref="I662">H662 &amp; _xlfn.REGEXEXTRACT(G662,"^[^_]+_\d{4}") &amp; ".pdf"</f>
        <v>https://www.ocf.berkeley.edu/~pkmendez/envsci/projects/2012final/AdaoA_2012.pdf</v>
      </c>
      <c r="J662" s="1" t="str">
        <f t="shared" si="11"/>
        <v>https://www.ocf.berkeley.edu/~pkmendez/envsci/projects/2012final/AdaoA_2012.pdf</v>
      </c>
      <c r="K662" s="2" t="str" cm="1">
        <f t="array" ref="K662:O662">_xlfn.TAKE(TRIM(_xlfn.TEXTSPLIT(F662,{",",";"})),,5)</f>
        <v>environmental education</v>
      </c>
      <c r="L662" s="2" t="str">
        <v>sustainability</v>
      </c>
      <c r="M662" s="2" t="str">
        <v>syllabi</v>
      </c>
      <c r="N662" s="2" t="str">
        <v>content analysis</v>
      </c>
      <c r="O662" s="2" t="str">
        <v>innovation theory</v>
      </c>
      <c r="P662" s="2" t="s">
        <v>9</v>
      </c>
      <c r="Q662" s="2" t="s">
        <v>10</v>
      </c>
    </row>
    <row r="663" spans="1:17" x14ac:dyDescent="0.35">
      <c r="A663" s="2" t="s">
        <v>5884</v>
      </c>
      <c r="B663" s="2" t="s">
        <v>3320</v>
      </c>
      <c r="C663" s="2" t="s">
        <v>3321</v>
      </c>
      <c r="D663" s="2">
        <v>2012</v>
      </c>
      <c r="E663" s="2" t="s">
        <v>3322</v>
      </c>
      <c r="F663" s="2" t="s">
        <v>3323</v>
      </c>
      <c r="G663" s="2" t="s">
        <v>3324</v>
      </c>
      <c r="H663" s="2" t="s">
        <v>3319</v>
      </c>
      <c r="I663" s="2" t="str" cm="1">
        <f t="array" ref="I663">H663 &amp; _xlfn.REGEXEXTRACT(G663,"^[^_]+_\d{4}") &amp; ".pdf"</f>
        <v>https://www.ocf.berkeley.edu/~pkmendez/envsci/projects/2012final/AshtonS_2012.pdf</v>
      </c>
      <c r="J663" s="1" t="str">
        <f t="shared" si="11"/>
        <v>https://www.ocf.berkeley.edu/~pkmendez/envsci/projects/2012final/AshtonS_2012.pdf</v>
      </c>
      <c r="K663" s="2" t="str" cm="1">
        <f t="array" ref="K663:O663">_xlfn.TAKE(TRIM(_xlfn.TEXTSPLIT(F663,{",",";"})),,5)</f>
        <v>foreclosure</v>
      </c>
      <c r="L663" s="2" t="str">
        <v>renter</v>
      </c>
      <c r="M663" s="2" t="str">
        <v>Multiple Listing Service</v>
      </c>
      <c r="N663" s="2" t="str">
        <v>urban ecology</v>
      </c>
      <c r="O663" s="2" t="str">
        <v>urban forestry</v>
      </c>
      <c r="P663" s="2" t="s">
        <v>9</v>
      </c>
      <c r="Q663" s="2" t="s">
        <v>10</v>
      </c>
    </row>
    <row r="664" spans="1:17" x14ac:dyDescent="0.35">
      <c r="A664" s="2" t="s">
        <v>5884</v>
      </c>
      <c r="B664" s="2" t="s">
        <v>3325</v>
      </c>
      <c r="C664" s="2" t="s">
        <v>3326</v>
      </c>
      <c r="D664" s="2">
        <v>2012</v>
      </c>
      <c r="E664" s="2" t="s">
        <v>3327</v>
      </c>
      <c r="F664" s="2" t="s">
        <v>3328</v>
      </c>
      <c r="G664" s="2" t="s">
        <v>3329</v>
      </c>
      <c r="H664" s="2" t="s">
        <v>3319</v>
      </c>
      <c r="I664" s="2" t="str" cm="1">
        <f t="array" ref="I664">H664 &amp; _xlfn.REGEXEXTRACT(G664,"^[^_]+_\d{4}") &amp; ".pdf"</f>
        <v>https://www.ocf.berkeley.edu/~pkmendez/envsci/projects/2012final/BakerS_2012.pdf</v>
      </c>
      <c r="J664" s="1" t="str">
        <f t="shared" si="11"/>
        <v>https://www.ocf.berkeley.edu/~pkmendez/envsci/projects/2012final/BakerS_2012.pdf</v>
      </c>
      <c r="K664" s="2" t="str" cm="1">
        <f t="array" ref="K664:O664">_xlfn.TAKE(TRIM(_xlfn.TEXTSPLIT(F664,{",",";"})),,5)</f>
        <v>Food desert</v>
      </c>
      <c r="L664" s="2" t="str">
        <v>community garden</v>
      </c>
      <c r="M664" s="2" t="str">
        <v>farming</v>
      </c>
      <c r="N664" s="2" t="str">
        <v>environmental justice</v>
      </c>
      <c r="O664" s="2" t="str">
        <v>suitability analysis</v>
      </c>
      <c r="P664" s="2" t="s">
        <v>9</v>
      </c>
      <c r="Q664" s="2" t="s">
        <v>10</v>
      </c>
    </row>
    <row r="665" spans="1:17" x14ac:dyDescent="0.35">
      <c r="A665" s="2" t="s">
        <v>5884</v>
      </c>
      <c r="B665" s="2" t="s">
        <v>3330</v>
      </c>
      <c r="C665" s="2" t="s">
        <v>3331</v>
      </c>
      <c r="D665" s="2">
        <v>2012</v>
      </c>
      <c r="E665" s="2" t="s">
        <v>3332</v>
      </c>
      <c r="F665" s="2" t="s">
        <v>3333</v>
      </c>
      <c r="G665" s="2" t="s">
        <v>3334</v>
      </c>
      <c r="H665" s="2" t="s">
        <v>3319</v>
      </c>
      <c r="I665" s="2" t="str" cm="1">
        <f t="array" ref="I665">H665 &amp; _xlfn.REGEXEXTRACT(G665,"^[^_]+_\d{4}") &amp; ".pdf"</f>
        <v>https://www.ocf.berkeley.edu/~pkmendez/envsci/projects/2012final/BischoffA_2012.pdf</v>
      </c>
      <c r="J665" s="1" t="str">
        <f t="shared" si="11"/>
        <v>https://www.ocf.berkeley.edu/~pkmendez/envsci/projects/2012final/BischoffA_2012.pdf</v>
      </c>
      <c r="K665" s="2" t="str" cm="1">
        <f t="array" ref="K665:O665">_xlfn.TAKE(TRIM(_xlfn.TEXTSPLIT(F665,{",",";"})),,5)</f>
        <v>Functional humic fractions</v>
      </c>
      <c r="L665" s="2" t="str">
        <v>density fractionation</v>
      </c>
      <c r="M665" s="2" t="str">
        <v>relative recalcitrance</v>
      </c>
      <c r="N665" s="2" t="str">
        <v>occlusion in aggregates</v>
      </c>
      <c r="O665" s="2" t="str">
        <v>mineral binding</v>
      </c>
      <c r="P665" s="2" t="s">
        <v>9</v>
      </c>
      <c r="Q665" s="2" t="s">
        <v>10</v>
      </c>
    </row>
    <row r="666" spans="1:17" x14ac:dyDescent="0.35">
      <c r="A666" s="2" t="s">
        <v>5884</v>
      </c>
      <c r="B666" s="2" t="s">
        <v>3335</v>
      </c>
      <c r="C666" s="2" t="s">
        <v>3336</v>
      </c>
      <c r="D666" s="2">
        <v>2012</v>
      </c>
      <c r="E666" s="2" t="s">
        <v>3337</v>
      </c>
      <c r="F666" s="2" t="s">
        <v>3338</v>
      </c>
      <c r="G666" s="2" t="s">
        <v>3339</v>
      </c>
      <c r="H666" s="2" t="s">
        <v>3319</v>
      </c>
      <c r="I666" s="2" t="str" cm="1">
        <f t="array" ref="I666">H666 &amp; _xlfn.REGEXEXTRACT(G666,"^[^_]+_\d{4}") &amp; ".pdf"</f>
        <v>https://www.ocf.berkeley.edu/~pkmendez/envsci/projects/2012final/BoosL_2012.pdf</v>
      </c>
      <c r="J666" s="1" t="str">
        <f t="shared" si="11"/>
        <v>https://www.ocf.berkeley.edu/~pkmendez/envsci/projects/2012final/BoosL_2012.pdf</v>
      </c>
      <c r="K666" s="2" t="str" cm="1">
        <f t="array" ref="K666:O666">_xlfn.TAKE(TRIM(_xlfn.TEXTSPLIT(F666,{",",";"})),,5)</f>
        <v>Food environment</v>
      </c>
      <c r="L666" s="2" t="str">
        <v>food desert solutions</v>
      </c>
      <c r="M666" s="2" t="str">
        <v>food insecurity</v>
      </c>
      <c r="N666" s="2" t="str">
        <v>survey</v>
      </c>
      <c r="O666" s="2" t="str">
        <v>urban environments</v>
      </c>
      <c r="P666" s="2" t="s">
        <v>9</v>
      </c>
      <c r="Q666" s="2" t="s">
        <v>10</v>
      </c>
    </row>
    <row r="667" spans="1:17" x14ac:dyDescent="0.35">
      <c r="A667" s="2" t="s">
        <v>5884</v>
      </c>
      <c r="B667" s="2" t="s">
        <v>3340</v>
      </c>
      <c r="C667" s="2" t="s">
        <v>3341</v>
      </c>
      <c r="D667" s="2">
        <v>2012</v>
      </c>
      <c r="E667" s="2" t="s">
        <v>3342</v>
      </c>
      <c r="F667" s="2" t="s">
        <v>3343</v>
      </c>
      <c r="G667" s="2" t="s">
        <v>3344</v>
      </c>
      <c r="H667" s="2" t="s">
        <v>3319</v>
      </c>
      <c r="I667" s="2" t="str" cm="1">
        <f t="array" ref="I667">H667 &amp; _xlfn.REGEXEXTRACT(G667,"^[^_]+_\d{4}") &amp; ".pdf"</f>
        <v>https://www.ocf.berkeley.edu/~pkmendez/envsci/projects/2012final/CastroD_2012.pdf</v>
      </c>
      <c r="J667" s="1" t="str">
        <f t="shared" si="11"/>
        <v>https://www.ocf.berkeley.edu/~pkmendez/envsci/projects/2012final/CastroD_2012.pdf</v>
      </c>
      <c r="K667" s="2" t="str" cm="1">
        <f t="array" ref="K667:N667">_xlfn.TAKE(TRIM(_xlfn.TEXTSPLIT(F667,{",",";"})),,5)</f>
        <v>bay laurel</v>
      </c>
      <c r="L667" s="2" t="str">
        <v>madrone</v>
      </c>
      <c r="M667" s="2" t="str">
        <v>abundance model (count model)</v>
      </c>
      <c r="N667" s="2" t="str">
        <v>weighted model (proportion model)</v>
      </c>
      <c r="P667" s="2" t="s">
        <v>9</v>
      </c>
      <c r="Q667" s="2" t="s">
        <v>10</v>
      </c>
    </row>
    <row r="668" spans="1:17" x14ac:dyDescent="0.35">
      <c r="A668" s="2" t="s">
        <v>5884</v>
      </c>
      <c r="B668" s="2" t="s">
        <v>3345</v>
      </c>
      <c r="C668" s="2" t="s">
        <v>3346</v>
      </c>
      <c r="D668" s="2">
        <v>2012</v>
      </c>
      <c r="E668" s="2" t="s">
        <v>3347</v>
      </c>
      <c r="F668" s="2" t="s">
        <v>3348</v>
      </c>
      <c r="G668" s="2" t="s">
        <v>3349</v>
      </c>
      <c r="H668" s="2" t="s">
        <v>3319</v>
      </c>
      <c r="I668" s="2" t="str" cm="1">
        <f t="array" ref="I668">H668 &amp; _xlfn.REGEXEXTRACT(G668,"^[^_]+_\d{4}") &amp; ".pdf"</f>
        <v>https://www.ocf.berkeley.edu/~pkmendez/envsci/projects/2012final/ChanA_2012.pdf</v>
      </c>
      <c r="J668" s="1" t="str">
        <f t="shared" si="11"/>
        <v>https://www.ocf.berkeley.edu/~pkmendez/envsci/projects/2012final/ChanA_2012.pdf</v>
      </c>
      <c r="K668" s="2" t="str" cm="1">
        <f t="array" ref="K668:O668">_xlfn.TAKE(TRIM(_xlfn.TEXTSPLIT(F668,{",",";"})),,5)</f>
        <v>air pollution emissions</v>
      </c>
      <c r="L668" s="2" t="str">
        <v>children’s health</v>
      </c>
      <c r="M668" s="2" t="str">
        <v>schools and childcare centers</v>
      </c>
      <c r="N668" s="2" t="str">
        <v>geographic information systems</v>
      </c>
      <c r="O668" s="2" t="str">
        <v>buffer analysis</v>
      </c>
      <c r="P668" s="2" t="s">
        <v>9</v>
      </c>
      <c r="Q668" s="2" t="s">
        <v>10</v>
      </c>
    </row>
    <row r="669" spans="1:17" x14ac:dyDescent="0.35">
      <c r="A669" s="2" t="s">
        <v>5884</v>
      </c>
      <c r="B669" s="2" t="s">
        <v>3350</v>
      </c>
      <c r="C669" s="2" t="s">
        <v>3351</v>
      </c>
      <c r="D669" s="2">
        <v>2012</v>
      </c>
      <c r="E669" s="2" t="s">
        <v>3352</v>
      </c>
      <c r="F669" s="2" t="s">
        <v>3353</v>
      </c>
      <c r="G669" s="2" t="s">
        <v>3354</v>
      </c>
      <c r="H669" s="2" t="s">
        <v>3319</v>
      </c>
      <c r="I669" s="2" t="str" cm="1">
        <f t="array" ref="I669">H669 &amp; _xlfn.REGEXEXTRACT(G669,"^[^_]+_\d{4}") &amp; ".pdf"</f>
        <v>https://www.ocf.berkeley.edu/~pkmendez/envsci/projects/2012final/ChangT_2012.pdf</v>
      </c>
      <c r="J669" s="1" t="str">
        <f t="shared" si="11"/>
        <v>https://www.ocf.berkeley.edu/~pkmendez/envsci/projects/2012final/ChangT_2012.pdf</v>
      </c>
      <c r="K669" s="2" t="str" cm="1">
        <f t="array" ref="K669:O669">_xlfn.TAKE(TRIM(_xlfn.TEXTSPLIT(F669,{",",";"})),,5)</f>
        <v>carbon nanotube</v>
      </c>
      <c r="L669" s="2" t="str">
        <v>energy storage device</v>
      </c>
      <c r="M669" s="2" t="str">
        <v>bending test</v>
      </c>
      <c r="N669" s="2" t="str">
        <v>polydimethylsiloxane</v>
      </c>
      <c r="O669" s="2" t="str">
        <v>polycarbonate</v>
      </c>
      <c r="P669" s="2" t="s">
        <v>9</v>
      </c>
      <c r="Q669" s="2" t="s">
        <v>10</v>
      </c>
    </row>
    <row r="670" spans="1:17" x14ac:dyDescent="0.35">
      <c r="A670" s="2" t="s">
        <v>5884</v>
      </c>
      <c r="B670" s="2" t="s">
        <v>3355</v>
      </c>
      <c r="C670" s="2" t="s">
        <v>3356</v>
      </c>
      <c r="D670" s="2">
        <v>2012</v>
      </c>
      <c r="E670" s="2" t="s">
        <v>3357</v>
      </c>
      <c r="F670" s="2" t="s">
        <v>3358</v>
      </c>
      <c r="G670" s="2" t="s">
        <v>3359</v>
      </c>
      <c r="H670" s="2" t="s">
        <v>3319</v>
      </c>
      <c r="I670" s="2" t="str" cm="1">
        <f t="array" ref="I670">H670 &amp; _xlfn.REGEXEXTRACT(G670,"^[^_]+_\d{4}") &amp; ".pdf"</f>
        <v>https://www.ocf.berkeley.edu/~pkmendez/envsci/projects/2012final/CherukumilliK_2012.pdf</v>
      </c>
      <c r="J670" s="1" t="str">
        <f t="shared" si="11"/>
        <v>https://www.ocf.berkeley.edu/~pkmendez/envsci/projects/2012final/CherukumilliK_2012.pdf</v>
      </c>
      <c r="K670" s="2" t="str" cm="1">
        <f t="array" ref="K670:O670">_xlfn.TAKE(TRIM(_xlfn.TEXTSPLIT(F670,{",",";"})),,5)</f>
        <v>disturbance</v>
      </c>
      <c r="L670" s="2" t="str">
        <v>ecosystem</v>
      </c>
      <c r="M670" s="2" t="str">
        <v>macroecology</v>
      </c>
      <c r="N670" s="2" t="str">
        <v>biodiversity</v>
      </c>
      <c r="O670" s="2" t="str">
        <v>climate change</v>
      </c>
      <c r="P670" s="2" t="s">
        <v>9</v>
      </c>
      <c r="Q670" s="2" t="s">
        <v>10</v>
      </c>
    </row>
    <row r="671" spans="1:17" x14ac:dyDescent="0.35">
      <c r="A671" s="2" t="s">
        <v>5884</v>
      </c>
      <c r="B671" s="2" t="s">
        <v>3360</v>
      </c>
      <c r="C671" s="2" t="s">
        <v>3361</v>
      </c>
      <c r="D671" s="2">
        <v>2012</v>
      </c>
      <c r="E671" s="2" t="s">
        <v>3362</v>
      </c>
      <c r="F671" s="2" t="s">
        <v>3363</v>
      </c>
      <c r="G671" s="2" t="s">
        <v>3364</v>
      </c>
      <c r="H671" s="2" t="s">
        <v>3319</v>
      </c>
      <c r="I671" s="2" t="str" cm="1">
        <f t="array" ref="I671">H671 &amp; _xlfn.REGEXEXTRACT(G671,"^[^_]+_\d{4}") &amp; ".pdf"</f>
        <v>https://www.ocf.berkeley.edu/~pkmendez/envsci/projects/2012final/ChowE_2012.pdf</v>
      </c>
      <c r="J671" s="1" t="str">
        <f t="shared" si="11"/>
        <v>https://www.ocf.berkeley.edu/~pkmendez/envsci/projects/2012final/ChowE_2012.pdf</v>
      </c>
      <c r="K671" s="2" t="str" cm="1">
        <f t="array" ref="K671:O671">_xlfn.TAKE(TRIM(_xlfn.TEXTSPLIT(F671,{",",";"})),,5)</f>
        <v>Carbon flux</v>
      </c>
      <c r="L671" s="2" t="str">
        <v>peat soils</v>
      </c>
      <c r="M671" s="2" t="str">
        <v>methanogenesis</v>
      </c>
      <c r="N671" s="2" t="str">
        <v>land use</v>
      </c>
      <c r="O671" s="2" t="str">
        <v>time series analysis</v>
      </c>
      <c r="P671" s="2" t="s">
        <v>9</v>
      </c>
      <c r="Q671" s="2" t="s">
        <v>10</v>
      </c>
    </row>
    <row r="672" spans="1:17" x14ac:dyDescent="0.35">
      <c r="A672" s="2" t="s">
        <v>5884</v>
      </c>
      <c r="B672" s="2" t="s">
        <v>3365</v>
      </c>
      <c r="C672" s="2" t="s">
        <v>3366</v>
      </c>
      <c r="D672" s="2">
        <v>2012</v>
      </c>
      <c r="E672" s="2" t="s">
        <v>3367</v>
      </c>
      <c r="F672" s="2" t="s">
        <v>3368</v>
      </c>
      <c r="G672" s="2" t="s">
        <v>3369</v>
      </c>
      <c r="H672" s="2" t="s">
        <v>3319</v>
      </c>
      <c r="I672" s="2" t="str" cm="1">
        <f t="array" ref="I672">H672 &amp; _xlfn.REGEXEXTRACT(G672,"^[^_]+_\d{4}") &amp; ".pdf"</f>
        <v>https://www.ocf.berkeley.edu/~pkmendez/envsci/projects/2012final/ChristinaE_2012.pdf</v>
      </c>
      <c r="J672" s="1" t="str">
        <f t="shared" si="11"/>
        <v>https://www.ocf.berkeley.edu/~pkmendez/envsci/projects/2012final/ChristinaE_2012.pdf</v>
      </c>
      <c r="K672" s="2" t="str" cm="1">
        <f t="array" ref="K672:O672">_xlfn.TAKE(TRIM(_xlfn.TEXTSPLIT(F672,{",",";"})),,5)</f>
        <v>wild boar</v>
      </c>
      <c r="L672" s="2" t="str">
        <v>wildlife hunting</v>
      </c>
      <c r="M672" s="2" t="str">
        <v>pest management</v>
      </c>
      <c r="N672" s="2" t="str">
        <v>ethnicity</v>
      </c>
      <c r="O672" s="2" t="str">
        <v>wildlife demand</v>
      </c>
      <c r="P672" s="2" t="s">
        <v>9</v>
      </c>
      <c r="Q672" s="2" t="s">
        <v>10</v>
      </c>
    </row>
    <row r="673" spans="1:17" x14ac:dyDescent="0.35">
      <c r="A673" s="2" t="s">
        <v>5884</v>
      </c>
      <c r="B673" s="2" t="s">
        <v>3370</v>
      </c>
      <c r="C673" s="2" t="s">
        <v>3371</v>
      </c>
      <c r="D673" s="2">
        <v>2012</v>
      </c>
      <c r="E673" s="2" t="s">
        <v>3372</v>
      </c>
      <c r="F673" s="2" t="s">
        <v>3373</v>
      </c>
      <c r="G673" s="2" t="s">
        <v>3374</v>
      </c>
      <c r="H673" s="2" t="s">
        <v>3319</v>
      </c>
      <c r="I673" s="2" t="str" cm="1">
        <f t="array" ref="I673">H673 &amp; _xlfn.REGEXEXTRACT(G673,"^[^_]+_\d{4}") &amp; ".pdf"</f>
        <v>https://www.ocf.berkeley.edu/~pkmendez/envsci/projects/2012final/CohenS_2012.pdf</v>
      </c>
      <c r="J673" s="1" t="str">
        <f t="shared" si="11"/>
        <v>https://www.ocf.berkeley.edu/~pkmendez/envsci/projects/2012final/CohenS_2012.pdf</v>
      </c>
      <c r="K673" s="2" t="str" cm="1">
        <f t="array" ref="K673:O673">_xlfn.TAKE(TRIM(_xlfn.TEXTSPLIT(F673,{",",";"})),,5)</f>
        <v>Global warming</v>
      </c>
      <c r="L673" s="2" t="str">
        <v>policy</v>
      </c>
      <c r="M673" s="2" t="str">
        <v>public understanding of science</v>
      </c>
      <c r="N673" s="2" t="str">
        <v>ordinal modeling</v>
      </c>
      <c r="O673" s="2" t="str">
        <v>the greenhouse effect</v>
      </c>
      <c r="P673" s="2" t="s">
        <v>9</v>
      </c>
      <c r="Q673" s="2" t="s">
        <v>10</v>
      </c>
    </row>
    <row r="674" spans="1:17" x14ac:dyDescent="0.35">
      <c r="A674" s="2" t="s">
        <v>5884</v>
      </c>
      <c r="B674" s="2" t="s">
        <v>3380</v>
      </c>
      <c r="C674" s="2" t="s">
        <v>3381</v>
      </c>
      <c r="D674" s="2">
        <v>2012</v>
      </c>
      <c r="E674" s="2" t="s">
        <v>3382</v>
      </c>
      <c r="F674" s="2" t="s">
        <v>3383</v>
      </c>
      <c r="G674" s="2" t="s">
        <v>3384</v>
      </c>
      <c r="H674" s="2" t="s">
        <v>3319</v>
      </c>
      <c r="I674" s="2" t="str" cm="1">
        <f t="array" ref="I674">H674 &amp; _xlfn.REGEXEXTRACT(G674,"^[^_]+_\d{4}") &amp; ".pdf"</f>
        <v>https://www.ocf.berkeley.edu/~pkmendez/envsci/projects/2012final/DesaiD_2012.pdf</v>
      </c>
      <c r="J674" s="1" t="str">
        <f t="shared" si="11"/>
        <v>https://www.ocf.berkeley.edu/~pkmendez/envsci/projects/2012final/DesaiD_2012.pdf</v>
      </c>
      <c r="K674" s="2" t="str" cm="1">
        <f t="array" ref="K674:N674">_xlfn.TAKE(TRIM(_xlfn.TEXTSPLIT(F674,{",",";"})),,5)</f>
        <v>Disasters</v>
      </c>
      <c r="L674" s="2" t="str">
        <v>packages</v>
      </c>
      <c r="M674" s="2" t="str">
        <v>media sources</v>
      </c>
      <c r="N674" s="2" t="str">
        <v>nuclear discourse</v>
      </c>
      <c r="P674" s="2" t="s">
        <v>9</v>
      </c>
      <c r="Q674" s="2" t="s">
        <v>10</v>
      </c>
    </row>
    <row r="675" spans="1:17" x14ac:dyDescent="0.35">
      <c r="A675" s="2" t="s">
        <v>5884</v>
      </c>
      <c r="B675" s="2" t="s">
        <v>3385</v>
      </c>
      <c r="C675" s="2" t="s">
        <v>3386</v>
      </c>
      <c r="D675" s="2">
        <v>2012</v>
      </c>
      <c r="E675" s="2" t="s">
        <v>3387</v>
      </c>
      <c r="F675" s="2" t="s">
        <v>3388</v>
      </c>
      <c r="G675" s="2" t="s">
        <v>3389</v>
      </c>
      <c r="H675" s="2" t="s">
        <v>3319</v>
      </c>
      <c r="I675" s="2" t="str" cm="1">
        <f t="array" ref="I675">H675 &amp; _xlfn.REGEXEXTRACT(G675,"^[^_]+_\d{4}") &amp; ".pdf"</f>
        <v>https://www.ocf.berkeley.edu/~pkmendez/envsci/projects/2012final/DiRoccoT_2012.pdf</v>
      </c>
      <c r="J675" s="1" t="str">
        <f t="shared" si="11"/>
        <v>https://www.ocf.berkeley.edu/~pkmendez/envsci/projects/2012final/DiRoccoT_2012.pdf</v>
      </c>
      <c r="K675" s="2" t="str" cm="1">
        <f t="array" ref="K675:O675">_xlfn.TAKE(TRIM(_xlfn.TEXTSPLIT(F675,{",",";"})),,5)</f>
        <v>Reducing Emissions from Deforestation and Degradation</v>
      </c>
      <c r="L675" s="2" t="str">
        <v>upper hill dipterocarp forest</v>
      </c>
      <c r="M675" s="2" t="str">
        <v>Peninsular Malaysia</v>
      </c>
      <c r="N675" s="2" t="str">
        <v>logging</v>
      </c>
      <c r="O675" s="2" t="str">
        <v>aboveground biomass</v>
      </c>
      <c r="P675" s="2" t="s">
        <v>9</v>
      </c>
      <c r="Q675" s="2" t="s">
        <v>10</v>
      </c>
    </row>
    <row r="676" spans="1:17" x14ac:dyDescent="0.35">
      <c r="A676" s="2" t="s">
        <v>5884</v>
      </c>
      <c r="B676" s="2" t="s">
        <v>3390</v>
      </c>
      <c r="C676" s="2" t="s">
        <v>3391</v>
      </c>
      <c r="D676" s="2">
        <v>2012</v>
      </c>
      <c r="E676" s="2" t="s">
        <v>3392</v>
      </c>
      <c r="F676" s="2" t="s">
        <v>3393</v>
      </c>
      <c r="G676" s="2" t="s">
        <v>3394</v>
      </c>
      <c r="H676" s="2" t="s">
        <v>3319</v>
      </c>
      <c r="I676" s="2" t="str" cm="1">
        <f t="array" ref="I676">H676 &amp; _xlfn.REGEXEXTRACT(G676,"^[^_]+_\d{4}") &amp; ".pdf"</f>
        <v>https://www.ocf.berkeley.edu/~pkmendez/envsci/projects/2012final/DoyleK_2012.pdf</v>
      </c>
      <c r="J676" s="1" t="str">
        <f t="shared" si="11"/>
        <v>https://www.ocf.berkeley.edu/~pkmendez/envsci/projects/2012final/DoyleK_2012.pdf</v>
      </c>
      <c r="K676" s="2" t="str" cm="1">
        <f t="array" ref="K676:O676">_xlfn.TAKE(TRIM(_xlfn.TEXTSPLIT(F676,{",",";"})),,5)</f>
        <v>Climate change mitigation</v>
      </c>
      <c r="L676" s="2" t="str">
        <v>emission factors</v>
      </c>
      <c r="M676" s="2" t="str">
        <v>hybrid methodology</v>
      </c>
      <c r="N676" s="2" t="str">
        <v>life cycle assessment</v>
      </c>
      <c r="O676" s="2" t="str">
        <v>procurement</v>
      </c>
      <c r="P676" s="2" t="s">
        <v>9</v>
      </c>
      <c r="Q676" s="2" t="s">
        <v>10</v>
      </c>
    </row>
    <row r="677" spans="1:17" x14ac:dyDescent="0.35">
      <c r="A677" s="2" t="s">
        <v>5884</v>
      </c>
      <c r="B677" s="2" t="s">
        <v>3395</v>
      </c>
      <c r="C677" s="2" t="s">
        <v>3396</v>
      </c>
      <c r="D677" s="2">
        <v>2012</v>
      </c>
      <c r="E677" s="2" t="s">
        <v>3397</v>
      </c>
      <c r="F677" s="2" t="s">
        <v>3398</v>
      </c>
      <c r="G677" s="2" t="s">
        <v>3399</v>
      </c>
      <c r="H677" s="2" t="s">
        <v>3319</v>
      </c>
      <c r="I677" s="2" t="str" cm="1">
        <f t="array" ref="I677">H677 &amp; _xlfn.REGEXEXTRACT(G677,"^[^_]+_\d{4}") &amp; ".pdf"</f>
        <v>https://www.ocf.berkeley.edu/~pkmendez/envsci/projects/2012final/FinkleJ_2012.pdf</v>
      </c>
      <c r="J677" s="1" t="str">
        <f t="shared" si="11"/>
        <v>https://www.ocf.berkeley.edu/~pkmendez/envsci/projects/2012final/FinkleJ_2012.pdf</v>
      </c>
      <c r="K677" s="2" t="str" cm="1">
        <f t="array" ref="K677:O677">_xlfn.TAKE(TRIM(_xlfn.TEXTSPLIT(F677,{",",";"})),,5)</f>
        <v>Rana catesbeiana</v>
      </c>
      <c r="L677" s="2" t="str">
        <v>Pseudacris regilla</v>
      </c>
      <c r="M677" s="2" t="str">
        <v>Diablo Range</v>
      </c>
      <c r="N677" s="2" t="str">
        <v>invasive species</v>
      </c>
      <c r="O677" s="2" t="str">
        <v>ephemeral pond</v>
      </c>
      <c r="P677" s="2" t="s">
        <v>9</v>
      </c>
      <c r="Q677" s="2" t="s">
        <v>10</v>
      </c>
    </row>
    <row r="678" spans="1:17" x14ac:dyDescent="0.35">
      <c r="A678" s="2" t="s">
        <v>5884</v>
      </c>
      <c r="B678" s="2" t="s">
        <v>3400</v>
      </c>
      <c r="C678" s="2" t="s">
        <v>3401</v>
      </c>
      <c r="D678" s="2">
        <v>2012</v>
      </c>
      <c r="E678" s="2" t="s">
        <v>3402</v>
      </c>
      <c r="F678" s="2" t="s">
        <v>3403</v>
      </c>
      <c r="G678" s="2" t="s">
        <v>3404</v>
      </c>
      <c r="H678" s="2" t="s">
        <v>3319</v>
      </c>
      <c r="I678" s="2" t="str" cm="1">
        <f t="array" ref="I678">H678 &amp; _xlfn.REGEXEXTRACT(G678,"^[^_]+_\d{4}") &amp; ".pdf"</f>
        <v>https://www.ocf.berkeley.edu/~pkmendez/envsci/projects/2012final/GaoZ_2012.pdf</v>
      </c>
      <c r="J678" s="1" t="str">
        <f t="shared" si="11"/>
        <v>https://www.ocf.berkeley.edu/~pkmendez/envsci/projects/2012final/GaoZ_2012.pdf</v>
      </c>
      <c r="K678" s="2" t="str" cm="1">
        <f t="array" ref="K678:O678">_xlfn.TAKE(TRIM(_xlfn.TEXTSPLIT(F678,{",",";"})),,5)</f>
        <v>Carbon dioxide</v>
      </c>
      <c r="L678" s="2" t="str">
        <v>nitrous oxide</v>
      </c>
      <c r="M678" s="2" t="str">
        <v>land management</v>
      </c>
      <c r="N678" s="2" t="str">
        <v>greenhouse gas emission</v>
      </c>
      <c r="O678" s="2" t="str">
        <v>carbon sequestration</v>
      </c>
      <c r="P678" s="2" t="s">
        <v>9</v>
      </c>
      <c r="Q678" s="2" t="s">
        <v>10</v>
      </c>
    </row>
    <row r="679" spans="1:17" x14ac:dyDescent="0.35">
      <c r="A679" s="2" t="s">
        <v>5884</v>
      </c>
      <c r="B679" s="2" t="s">
        <v>3405</v>
      </c>
      <c r="C679" s="2" t="s">
        <v>3406</v>
      </c>
      <c r="D679" s="2">
        <v>2012</v>
      </c>
      <c r="E679" s="2" t="s">
        <v>3407</v>
      </c>
      <c r="F679" s="2" t="s">
        <v>3408</v>
      </c>
      <c r="G679" s="2" t="s">
        <v>3409</v>
      </c>
      <c r="H679" s="2" t="s">
        <v>3319</v>
      </c>
      <c r="I679" s="2" t="str" cm="1">
        <f t="array" ref="I679">H679 &amp; _xlfn.REGEXEXTRACT(G679,"^[^_]+_\d{4}") &amp; ".pdf"</f>
        <v>https://www.ocf.berkeley.edu/~pkmendez/envsci/projects/2012final/GarciaU_2012.pdf</v>
      </c>
      <c r="J679" s="1" t="str">
        <f t="shared" si="11"/>
        <v>https://www.ocf.berkeley.edu/~pkmendez/envsci/projects/2012final/GarciaU_2012.pdf</v>
      </c>
      <c r="K679" s="2" t="str" cm="1">
        <f t="array" ref="K679:O679">_xlfn.TAKE(TRIM(_xlfn.TEXTSPLIT(F679,{",",";"})),,5)</f>
        <v>Enhydra lutris</v>
      </c>
      <c r="L679" s="2" t="str">
        <v>Optimal Foraging theory</v>
      </c>
      <c r="M679" s="2" t="str">
        <v>specialization</v>
      </c>
      <c r="N679" s="2" t="str">
        <v>theory of profitable location</v>
      </c>
      <c r="O679" s="2" t="str">
        <v>Density Dependence</v>
      </c>
      <c r="P679" s="2" t="s">
        <v>9</v>
      </c>
      <c r="Q679" s="2" t="s">
        <v>10</v>
      </c>
    </row>
    <row r="680" spans="1:17" x14ac:dyDescent="0.35">
      <c r="A680" s="2" t="s">
        <v>5884</v>
      </c>
      <c r="B680" s="2" t="s">
        <v>3410</v>
      </c>
      <c r="C680" s="2" t="s">
        <v>3411</v>
      </c>
      <c r="D680" s="2">
        <v>2012</v>
      </c>
      <c r="E680" s="2" t="s">
        <v>3412</v>
      </c>
      <c r="F680" s="2" t="s">
        <v>3413</v>
      </c>
      <c r="G680" s="2" t="s">
        <v>3414</v>
      </c>
      <c r="H680" s="2" t="s">
        <v>3319</v>
      </c>
      <c r="I680" s="2" t="str" cm="1">
        <f t="array" ref="I680">H680 &amp; _xlfn.REGEXEXTRACT(G680,"^[^_]+_\d{4}") &amp; ".pdf"</f>
        <v>https://www.ocf.berkeley.edu/~pkmendez/envsci/projects/2012final/GawC_2012.pdf</v>
      </c>
      <c r="J680" s="1" t="str">
        <f t="shared" si="11"/>
        <v>https://www.ocf.berkeley.edu/~pkmendez/envsci/projects/2012final/GawC_2012.pdf</v>
      </c>
      <c r="K680" s="2" t="str" cm="1">
        <f t="array" ref="K680:O680">_xlfn.TAKE(TRIM(_xlfn.TEXTSPLIT(F680,{",",";"})),,5)</f>
        <v>Polyurethane foam</v>
      </c>
      <c r="L680" s="2" t="str">
        <v>TB 117</v>
      </c>
      <c r="M680" s="2" t="str">
        <v>Mattress Pads</v>
      </c>
      <c r="N680" s="2" t="str">
        <v>Flammability standards</v>
      </c>
      <c r="O680" s="2" t="str">
        <v>Chlorinated Tris</v>
      </c>
      <c r="P680" s="2" t="s">
        <v>9</v>
      </c>
      <c r="Q680" s="2" t="s">
        <v>10</v>
      </c>
    </row>
    <row r="681" spans="1:17" x14ac:dyDescent="0.35">
      <c r="A681" s="2" t="s">
        <v>5884</v>
      </c>
      <c r="B681" s="2" t="s">
        <v>3415</v>
      </c>
      <c r="C681" s="2" t="s">
        <v>3416</v>
      </c>
      <c r="D681" s="2">
        <v>2012</v>
      </c>
      <c r="E681" s="2" t="s">
        <v>3417</v>
      </c>
      <c r="F681" s="2" t="s">
        <v>3418</v>
      </c>
      <c r="G681" s="2" t="s">
        <v>3419</v>
      </c>
      <c r="H681" s="2" t="s">
        <v>3319</v>
      </c>
      <c r="I681" s="2" t="str" cm="1">
        <f t="array" ref="I681">H681 &amp; _xlfn.REGEXEXTRACT(G681,"^[^_]+_\d{4}") &amp; ".pdf"</f>
        <v>https://www.ocf.berkeley.edu/~pkmendez/envsci/projects/2012final/GuptaS_2012.pdf</v>
      </c>
      <c r="J681" s="1" t="str">
        <f t="shared" si="11"/>
        <v>https://www.ocf.berkeley.edu/~pkmendez/envsci/projects/2012final/GuptaS_2012.pdf</v>
      </c>
      <c r="K681" s="2" t="str" cm="1">
        <f t="array" ref="K681:O681">_xlfn.TAKE(TRIM(_xlfn.TEXTSPLIT(F681,{",",";"})),,5)</f>
        <v>phylogenetic signal</v>
      </c>
      <c r="L681" s="2" t="str">
        <v>niche conservatism</v>
      </c>
      <c r="M681" s="2" t="str">
        <v>Maxent</v>
      </c>
      <c r="N681" s="2" t="str">
        <v>age range correlation</v>
      </c>
      <c r="O681" s="2" t="str">
        <v>mantel test</v>
      </c>
      <c r="P681" s="2" t="s">
        <v>9</v>
      </c>
      <c r="Q681" s="2" t="s">
        <v>10</v>
      </c>
    </row>
    <row r="682" spans="1:17" x14ac:dyDescent="0.35">
      <c r="A682" s="2" t="s">
        <v>5884</v>
      </c>
      <c r="B682" s="2" t="s">
        <v>3420</v>
      </c>
      <c r="C682" s="2" t="s">
        <v>3421</v>
      </c>
      <c r="D682" s="2">
        <v>2012</v>
      </c>
      <c r="E682" s="2" t="s">
        <v>3422</v>
      </c>
      <c r="F682" s="2" t="s">
        <v>3423</v>
      </c>
      <c r="G682" s="2" t="s">
        <v>3424</v>
      </c>
      <c r="H682" s="2" t="s">
        <v>3319</v>
      </c>
      <c r="I682" s="2" t="str" cm="1">
        <f t="array" ref="I682">H682 &amp; _xlfn.REGEXEXTRACT(G682,"^[^_]+_\d{4}") &amp; ".pdf"</f>
        <v>https://www.ocf.berkeley.edu/~pkmendez/envsci/projects/2012final/HeK_2012.pdf</v>
      </c>
      <c r="J682" s="1" t="str">
        <f t="shared" si="11"/>
        <v>https://www.ocf.berkeley.edu/~pkmendez/envsci/projects/2012final/HeK_2012.pdf</v>
      </c>
      <c r="K682" s="2" t="str" cm="1">
        <f t="array" ref="K682:O682">_xlfn.TAKE(TRIM(_xlfn.TEXTSPLIT(F682,{",",";"})),,5)</f>
        <v>remediation</v>
      </c>
      <c r="L682" s="2" t="str">
        <v>carbon footprint</v>
      </c>
      <c r="M682" s="2" t="str">
        <v>climate change</v>
      </c>
      <c r="N682" s="2" t="str">
        <v>Environmental Protection Agency (EPA)</v>
      </c>
      <c r="O682" s="2" t="str">
        <v>Superfund</v>
      </c>
      <c r="P682" s="2" t="s">
        <v>9</v>
      </c>
      <c r="Q682" s="2" t="s">
        <v>10</v>
      </c>
    </row>
    <row r="683" spans="1:17" x14ac:dyDescent="0.35">
      <c r="A683" s="2" t="s">
        <v>5884</v>
      </c>
      <c r="B683" s="2" t="s">
        <v>3425</v>
      </c>
      <c r="C683" s="2" t="s">
        <v>3426</v>
      </c>
      <c r="D683" s="2">
        <v>2012</v>
      </c>
      <c r="E683" s="2" t="s">
        <v>3427</v>
      </c>
      <c r="F683" s="2" t="s">
        <v>3428</v>
      </c>
      <c r="G683" s="2" t="s">
        <v>3429</v>
      </c>
      <c r="H683" s="2" t="s">
        <v>3319</v>
      </c>
      <c r="I683" s="2" t="str" cm="1">
        <f t="array" ref="I683">H683 &amp; _xlfn.REGEXEXTRACT(G683,"^[^_]+_\d{4}") &amp; ".pdf"</f>
        <v>https://www.ocf.berkeley.edu/~pkmendez/envsci/projects/2012final/HennessyP_2012.pdf</v>
      </c>
      <c r="J683" s="1" t="str">
        <f t="shared" si="11"/>
        <v>https://www.ocf.berkeley.edu/~pkmendez/envsci/projects/2012final/HennessyP_2012.pdf</v>
      </c>
      <c r="K683" s="2" t="str" cm="1">
        <f t="array" ref="K683:O683">_xlfn.TAKE(TRIM(_xlfn.TEXTSPLIT(F683,{",",";"})),,5)</f>
        <v>1991 Oakland-Berkeley Fire</v>
      </c>
      <c r="L683" s="2" t="str">
        <v>social construction of nature</v>
      </c>
      <c r="M683" s="2" t="str">
        <v>invasive species</v>
      </c>
      <c r="N683" s="2" t="str">
        <v>land management policy</v>
      </c>
      <c r="O683" s="2" t="str">
        <v>urban fire hazards</v>
      </c>
      <c r="P683" s="2" t="s">
        <v>9</v>
      </c>
      <c r="Q683" s="2" t="s">
        <v>10</v>
      </c>
    </row>
    <row r="684" spans="1:17" x14ac:dyDescent="0.35">
      <c r="A684" s="2" t="s">
        <v>5884</v>
      </c>
      <c r="B684" s="2" t="s">
        <v>3430</v>
      </c>
      <c r="C684" s="2" t="s">
        <v>3431</v>
      </c>
      <c r="D684" s="2">
        <v>2012</v>
      </c>
      <c r="E684" s="2" t="s">
        <v>3432</v>
      </c>
      <c r="F684" s="2" t="s">
        <v>3433</v>
      </c>
      <c r="G684" s="2" t="s">
        <v>3434</v>
      </c>
      <c r="H684" s="2" t="s">
        <v>3319</v>
      </c>
      <c r="I684" s="2" t="str" cm="1">
        <f t="array" ref="I684">H684 &amp; _xlfn.REGEXEXTRACT(G684,"^[^_]+_\d{4}") &amp; ".pdf"</f>
        <v>https://www.ocf.berkeley.edu/~pkmendez/envsci/projects/2012final/IaquintaJ_2012.pdf</v>
      </c>
      <c r="J684" s="1" t="str">
        <f t="shared" si="11"/>
        <v>https://www.ocf.berkeley.edu/~pkmendez/envsci/projects/2012final/IaquintaJ_2012.pdf</v>
      </c>
      <c r="K684" s="2" t="str" cm="1">
        <f t="array" ref="K684:O684">_xlfn.TAKE(TRIM(_xlfn.TEXTSPLIT(F684,{",",";"})),,5)</f>
        <v>host regulation</v>
      </c>
      <c r="L684" s="2" t="str">
        <v>biological control</v>
      </c>
      <c r="M684" s="2" t="str">
        <v>nutritional ecology</v>
      </c>
      <c r="N684" s="2" t="str">
        <v>parasitization</v>
      </c>
      <c r="O684" s="2" t="str">
        <v>parasitoid nutrition</v>
      </c>
      <c r="P684" s="2" t="s">
        <v>9</v>
      </c>
      <c r="Q684" s="2" t="s">
        <v>10</v>
      </c>
    </row>
    <row r="685" spans="1:17" x14ac:dyDescent="0.35">
      <c r="A685" s="2" t="s">
        <v>5884</v>
      </c>
      <c r="B685" s="2" t="s">
        <v>3435</v>
      </c>
      <c r="C685" s="2" t="s">
        <v>3436</v>
      </c>
      <c r="D685" s="2">
        <v>2012</v>
      </c>
      <c r="E685" s="2" t="s">
        <v>3437</v>
      </c>
      <c r="F685" s="2" t="s">
        <v>3438</v>
      </c>
      <c r="G685" s="2" t="s">
        <v>3439</v>
      </c>
      <c r="H685" s="2" t="s">
        <v>3319</v>
      </c>
      <c r="I685" s="2" t="str" cm="1">
        <f t="array" ref="I685">H685 &amp; _xlfn.REGEXEXTRACT(G685,"^[^_]+_\d{4}") &amp; ".pdf"</f>
        <v>https://www.ocf.berkeley.edu/~pkmendez/envsci/projects/2012final/JeongJ_2012.pdf</v>
      </c>
      <c r="J685" s="1" t="str">
        <f t="shared" si="11"/>
        <v>https://www.ocf.berkeley.edu/~pkmendez/envsci/projects/2012final/JeongJ_2012.pdf</v>
      </c>
      <c r="K685" s="2" t="str" cm="1">
        <f t="array" ref="K685:O685">_xlfn.TAKE(TRIM(_xlfn.TEXTSPLIT(F685,{",",";"})),,5)</f>
        <v>vegetation cover</v>
      </c>
      <c r="L685" s="2" t="str">
        <v>solar energy</v>
      </c>
      <c r="M685" s="2" t="str">
        <v>heat stress</v>
      </c>
      <c r="N685" s="2" t="str">
        <v>land conversion</v>
      </c>
      <c r="O685" s="2" t="str">
        <v>urban heat island</v>
      </c>
      <c r="P685" s="2" t="s">
        <v>9</v>
      </c>
      <c r="Q685" s="2" t="s">
        <v>10</v>
      </c>
    </row>
    <row r="686" spans="1:17" x14ac:dyDescent="0.35">
      <c r="A686" s="2" t="s">
        <v>5884</v>
      </c>
      <c r="B686" s="2" t="s">
        <v>3440</v>
      </c>
      <c r="C686" s="2" t="s">
        <v>3441</v>
      </c>
      <c r="D686" s="2">
        <v>2012</v>
      </c>
      <c r="E686" s="2" t="s">
        <v>3442</v>
      </c>
      <c r="F686" s="2" t="s">
        <v>3443</v>
      </c>
      <c r="G686" s="2" t="s">
        <v>3444</v>
      </c>
      <c r="H686" s="2" t="s">
        <v>3319</v>
      </c>
      <c r="I686" s="2" t="str" cm="1">
        <f t="array" ref="I686">H686 &amp; _xlfn.REGEXEXTRACT(G686,"^[^_]+_\d{4}") &amp; ".pdf"</f>
        <v>https://www.ocf.berkeley.edu/~pkmendez/envsci/projects/2012final/JonesM_2012.pdf</v>
      </c>
      <c r="J686" s="1" t="str">
        <f t="shared" si="11"/>
        <v>https://www.ocf.berkeley.edu/~pkmendez/envsci/projects/2012final/JonesM_2012.pdf</v>
      </c>
      <c r="K686" s="2" t="str" cm="1">
        <f t="array" ref="K686:O686">_xlfn.TAKE(TRIM(_xlfn.TEXTSPLIT(F686,{",",";"})),,5)</f>
        <v>General plan</v>
      </c>
      <c r="L686" s="2" t="str">
        <v>urban land use</v>
      </c>
      <c r="M686" s="2" t="str">
        <v>public participation</v>
      </c>
      <c r="N686" s="2" t="str">
        <v>policy</v>
      </c>
      <c r="O686" s="2" t="str">
        <v>procedural justice</v>
      </c>
      <c r="P686" s="2" t="s">
        <v>9</v>
      </c>
      <c r="Q686" s="2" t="s">
        <v>10</v>
      </c>
    </row>
    <row r="687" spans="1:17" x14ac:dyDescent="0.35">
      <c r="A687" s="2" t="s">
        <v>5884</v>
      </c>
      <c r="B687" s="2" t="s">
        <v>3445</v>
      </c>
      <c r="C687" s="2" t="s">
        <v>3446</v>
      </c>
      <c r="D687" s="2">
        <v>2012</v>
      </c>
      <c r="E687" s="2" t="s">
        <v>3447</v>
      </c>
      <c r="F687" s="2" t="s">
        <v>3448</v>
      </c>
      <c r="G687" s="2" t="s">
        <v>3449</v>
      </c>
      <c r="H687" s="2" t="s">
        <v>3319</v>
      </c>
      <c r="I687" s="2" t="str" cm="1">
        <f t="array" ref="I687">H687 &amp; _xlfn.REGEXEXTRACT(G687,"^[^_]+_\d{4}") &amp; ".pdf"</f>
        <v>https://www.ocf.berkeley.edu/~pkmendez/envsci/projects/2012final/KahngJ_2012.pdf</v>
      </c>
      <c r="J687" s="1" t="str">
        <f t="shared" si="11"/>
        <v>https://www.ocf.berkeley.edu/~pkmendez/envsci/projects/2012final/KahngJ_2012.pdf</v>
      </c>
      <c r="K687" s="2" t="str" cm="1">
        <f t="array" ref="K687:O687">_xlfn.TAKE(TRIM(_xlfn.TEXTSPLIT(F687,{",",";"})),,5)</f>
        <v>air pollution</v>
      </c>
      <c r="L687" s="2" t="str">
        <v>literature review</v>
      </c>
      <c r="M687" s="2" t="str">
        <v>children</v>
      </c>
      <c r="N687" s="2" t="str">
        <v>particulate matter</v>
      </c>
      <c r="O687" s="2" t="str">
        <v>asthsma trigger</v>
      </c>
      <c r="P687" s="2" t="s">
        <v>9</v>
      </c>
      <c r="Q687" s="2" t="s">
        <v>10</v>
      </c>
    </row>
    <row r="688" spans="1:17" x14ac:dyDescent="0.35">
      <c r="A688" s="2" t="s">
        <v>5884</v>
      </c>
      <c r="B688" s="2" t="s">
        <v>3450</v>
      </c>
      <c r="C688" s="2" t="s">
        <v>3451</v>
      </c>
      <c r="D688" s="2">
        <v>2012</v>
      </c>
      <c r="E688" s="2" t="s">
        <v>3452</v>
      </c>
      <c r="F688" s="2" t="s">
        <v>3453</v>
      </c>
      <c r="G688" s="2" t="s">
        <v>3454</v>
      </c>
      <c r="H688" s="2" t="s">
        <v>3319</v>
      </c>
      <c r="I688" s="2" t="str" cm="1">
        <f t="array" ref="I688">H688 &amp; _xlfn.REGEXEXTRACT(G688,"^[^_]+_\d{4}") &amp; ".pdf"</f>
        <v>https://www.ocf.berkeley.edu/~pkmendez/envsci/projects/2012final/KaingS_2012.pdf</v>
      </c>
      <c r="J688" s="1" t="str">
        <f t="shared" si="11"/>
        <v>https://www.ocf.berkeley.edu/~pkmendez/envsci/projects/2012final/KaingS_2012.pdf</v>
      </c>
      <c r="K688" s="2" t="str" cm="1">
        <f t="array" ref="K688:O688">_xlfn.TAKE(TRIM(_xlfn.TEXTSPLIT(F688,{",",";"})),,5)</f>
        <v>water stress</v>
      </c>
      <c r="L688" s="2" t="str">
        <v>urbanization</v>
      </c>
      <c r="M688" s="2" t="str">
        <v>habitat quality</v>
      </c>
      <c r="N688" s="2" t="str">
        <v>Mediterranean climate</v>
      </c>
      <c r="O688" s="2" t="str">
        <v>bioassessment</v>
      </c>
      <c r="P688" s="2" t="s">
        <v>9</v>
      </c>
      <c r="Q688" s="2" t="s">
        <v>10</v>
      </c>
    </row>
    <row r="689" spans="1:17" x14ac:dyDescent="0.35">
      <c r="A689" s="2" t="s">
        <v>5884</v>
      </c>
      <c r="B689" s="2" t="s">
        <v>3455</v>
      </c>
      <c r="C689" s="2" t="s">
        <v>3456</v>
      </c>
      <c r="D689" s="2">
        <v>2012</v>
      </c>
      <c r="E689" s="2" t="s">
        <v>3457</v>
      </c>
      <c r="F689" s="2" t="s">
        <v>3458</v>
      </c>
      <c r="G689" s="2" t="s">
        <v>3459</v>
      </c>
      <c r="H689" s="2" t="s">
        <v>3319</v>
      </c>
      <c r="I689" s="2" t="str" cm="1">
        <f t="array" ref="I689">H689 &amp; _xlfn.REGEXEXTRACT(G689,"^[^_]+_\d{4}") &amp; ".pdf"</f>
        <v>https://www.ocf.berkeley.edu/~pkmendez/envsci/projects/2012final/KastelyC_2012.pdf</v>
      </c>
      <c r="J689" s="1" t="str">
        <f t="shared" si="11"/>
        <v>https://www.ocf.berkeley.edu/~pkmendez/envsci/projects/2012final/KastelyC_2012.pdf</v>
      </c>
      <c r="K689" s="2" t="str" cm="1">
        <f t="array" ref="K689:O689">_xlfn.TAKE(TRIM(_xlfn.TEXTSPLIT(F689,{",",";"})),,5)</f>
        <v>Alarm call</v>
      </c>
      <c r="L689" s="2" t="str">
        <v>acoustic variability</v>
      </c>
      <c r="M689" s="2" t="str">
        <v>kin recognition</v>
      </c>
      <c r="N689" s="2" t="str">
        <v>microsatellite analysis</v>
      </c>
      <c r="O689" s="2" t="str">
        <v>population call structure</v>
      </c>
      <c r="P689" s="2" t="s">
        <v>9</v>
      </c>
      <c r="Q689" s="2" t="s">
        <v>10</v>
      </c>
    </row>
    <row r="690" spans="1:17" x14ac:dyDescent="0.35">
      <c r="A690" s="2" t="s">
        <v>5884</v>
      </c>
      <c r="B690" s="2" t="s">
        <v>3460</v>
      </c>
      <c r="C690" s="2" t="s">
        <v>3461</v>
      </c>
      <c r="D690" s="2">
        <v>2012</v>
      </c>
      <c r="E690" s="2" t="s">
        <v>3462</v>
      </c>
      <c r="F690" s="2" t="s">
        <v>3463</v>
      </c>
      <c r="G690" s="2" t="s">
        <v>3464</v>
      </c>
      <c r="H690" s="2" t="s">
        <v>3319</v>
      </c>
      <c r="I690" s="2" t="str" cm="1">
        <f t="array" ref="I690">H690 &amp; _xlfn.REGEXEXTRACT(G690,"^[^_]+_\d{4}") &amp; ".pdf"</f>
        <v>https://www.ocf.berkeley.edu/~pkmendez/envsci/projects/2012final/KodaniS_2012.pdf</v>
      </c>
      <c r="J690" s="1" t="str">
        <f t="shared" si="11"/>
        <v>https://www.ocf.berkeley.edu/~pkmendez/envsci/projects/2012final/KodaniS_2012.pdf</v>
      </c>
      <c r="K690" s="2" t="str" cm="1">
        <f t="array" ref="K690:N690">_xlfn.TAKE(TRIM(_xlfn.TEXTSPLIT(F690,{",",";"})),,5)</f>
        <v>Glutathione S-transferase (GST)</v>
      </c>
      <c r="L690" s="2" t="str">
        <v>glutathione (GSH)</v>
      </c>
      <c r="M690" s="2" t="str">
        <v>cholinesterase</v>
      </c>
      <c r="N690" s="2" t="str">
        <v>nuclear magnetic resonance (NMR)</v>
      </c>
      <c r="P690" s="2" t="s">
        <v>9</v>
      </c>
      <c r="Q690" s="2" t="s">
        <v>10</v>
      </c>
    </row>
    <row r="691" spans="1:17" x14ac:dyDescent="0.35">
      <c r="A691" s="2" t="s">
        <v>5884</v>
      </c>
      <c r="B691" s="2" t="s">
        <v>3465</v>
      </c>
      <c r="C691" s="2" t="s">
        <v>3466</v>
      </c>
      <c r="D691" s="2">
        <v>2012</v>
      </c>
      <c r="E691" s="2" t="s">
        <v>3467</v>
      </c>
      <c r="F691" s="2" t="s">
        <v>3468</v>
      </c>
      <c r="G691" s="2" t="s">
        <v>3469</v>
      </c>
      <c r="H691" s="2" t="s">
        <v>3319</v>
      </c>
      <c r="I691" s="2" t="str" cm="1">
        <f t="array" ref="I691">H691 &amp; _xlfn.REGEXEXTRACT(G691,"^[^_]+_\d{4}") &amp; ".pdf"</f>
        <v>https://www.ocf.berkeley.edu/~pkmendez/envsci/projects/2012final/LamK_2012.pdf</v>
      </c>
      <c r="J691" s="1" t="str">
        <f t="shared" si="11"/>
        <v>https://www.ocf.berkeley.edu/~pkmendez/envsci/projects/2012final/LamK_2012.pdf</v>
      </c>
      <c r="K691" s="2" t="str" cm="1">
        <f t="array" ref="K691:O691">_xlfn.TAKE(TRIM(_xlfn.TEXTSPLIT(F691,{",",";"})),,5)</f>
        <v>Phytoremediation</v>
      </c>
      <c r="L691" s="2" t="str">
        <v>polycyclic aromatic hydrocarbons</v>
      </c>
      <c r="M691" s="2" t="str">
        <v>greenhouse study</v>
      </c>
      <c r="N691" s="2" t="str">
        <v>petroleum uptake</v>
      </c>
      <c r="O691" s="2" t="str">
        <v>marsh restoration</v>
      </c>
      <c r="P691" s="2" t="s">
        <v>9</v>
      </c>
      <c r="Q691" s="2" t="s">
        <v>10</v>
      </c>
    </row>
    <row r="692" spans="1:17" x14ac:dyDescent="0.35">
      <c r="A692" s="2" t="s">
        <v>5884</v>
      </c>
      <c r="B692" s="2" t="s">
        <v>3470</v>
      </c>
      <c r="C692" s="2" t="s">
        <v>3471</v>
      </c>
      <c r="D692" s="2">
        <v>2012</v>
      </c>
      <c r="E692" s="2" t="s">
        <v>3472</v>
      </c>
      <c r="F692" s="2" t="s">
        <v>3473</v>
      </c>
      <c r="G692" s="2" t="s">
        <v>3474</v>
      </c>
      <c r="H692" s="2" t="s">
        <v>3319</v>
      </c>
      <c r="I692" s="2" t="str" cm="1">
        <f t="array" ref="I692">H692 &amp; _xlfn.REGEXEXTRACT(G692,"^[^_]+_\d{4}") &amp; ".pdf"</f>
        <v>https://www.ocf.berkeley.edu/~pkmendez/envsci/projects/2012final/LyV_2012.pdf</v>
      </c>
      <c r="J692" s="1" t="str">
        <f t="shared" si="11"/>
        <v>https://www.ocf.berkeley.edu/~pkmendez/envsci/projects/2012final/LyV_2012.pdf</v>
      </c>
      <c r="K692" s="2" t="str" cm="1">
        <f t="array" ref="K692:O692">_xlfn.TAKE(TRIM(_xlfn.TEXTSPLIT(F692,{",",";"})),,5)</f>
        <v>Range shift</v>
      </c>
      <c r="L692" s="2" t="str">
        <v>niche partitioning</v>
      </c>
      <c r="M692" s="2" t="str">
        <v>interspecific competition</v>
      </c>
      <c r="N692" s="2" t="str">
        <v>tree structure</v>
      </c>
      <c r="O692" s="2" t="str">
        <v>elevation</v>
      </c>
      <c r="P692" s="2" t="s">
        <v>9</v>
      </c>
      <c r="Q692" s="2" t="s">
        <v>10</v>
      </c>
    </row>
    <row r="693" spans="1:17" x14ac:dyDescent="0.35">
      <c r="A693" s="2" t="s">
        <v>5884</v>
      </c>
      <c r="B693" s="2" t="s">
        <v>3475</v>
      </c>
      <c r="C693" s="2" t="s">
        <v>3476</v>
      </c>
      <c r="D693" s="2">
        <v>2012</v>
      </c>
      <c r="E693" s="2" t="s">
        <v>3477</v>
      </c>
      <c r="F693" s="2" t="s">
        <v>3478</v>
      </c>
      <c r="G693" s="2" t="s">
        <v>3479</v>
      </c>
      <c r="H693" s="2" t="s">
        <v>3319</v>
      </c>
      <c r="I693" s="2" t="str" cm="1">
        <f t="array" ref="I693">H693 &amp; _xlfn.REGEXEXTRACT(G693,"^[^_]+_\d{4}") &amp; ".pdf"</f>
        <v>https://www.ocf.berkeley.edu/~pkmendez/envsci/projects/2012final/McGrathA_2012.pdf</v>
      </c>
      <c r="J693" s="1" t="str">
        <f t="shared" si="11"/>
        <v>https://www.ocf.berkeley.edu/~pkmendez/envsci/projects/2012final/McGrathA_2012.pdf</v>
      </c>
      <c r="K693" s="2" t="str" cm="1">
        <f t="array" ref="K693:O693">_xlfn.TAKE(TRIM(_xlfn.TEXTSPLIT(F693,{",",";"})),,5)</f>
        <v>fast fashion</v>
      </c>
      <c r="L693" s="2" t="str">
        <v>human needs satisfaction</v>
      </c>
      <c r="M693" s="2" t="str">
        <v>needs based design</v>
      </c>
      <c r="N693" s="2" t="str">
        <v>consumer behavior</v>
      </c>
      <c r="O693" s="2" t="str">
        <v>user involvement</v>
      </c>
      <c r="P693" s="2" t="s">
        <v>9</v>
      </c>
      <c r="Q693" s="2" t="s">
        <v>10</v>
      </c>
    </row>
    <row r="694" spans="1:17" x14ac:dyDescent="0.35">
      <c r="A694" s="2" t="s">
        <v>5884</v>
      </c>
      <c r="B694" s="2" t="s">
        <v>3480</v>
      </c>
      <c r="C694" s="2" t="s">
        <v>3481</v>
      </c>
      <c r="D694" s="2">
        <v>2012</v>
      </c>
      <c r="E694" s="2" t="s">
        <v>3482</v>
      </c>
      <c r="F694" s="2" t="s">
        <v>3483</v>
      </c>
      <c r="G694" s="2" t="s">
        <v>3484</v>
      </c>
      <c r="H694" s="2" t="s">
        <v>3319</v>
      </c>
      <c r="I694" s="2" t="str" cm="1">
        <f t="array" ref="I694">H694 &amp; _xlfn.REGEXEXTRACT(G694,"^[^_]+_\d{4}") &amp; ".pdf"</f>
        <v>https://www.ocf.berkeley.edu/~pkmendez/envsci/projects/2012final/MendezC_2012.pdf</v>
      </c>
      <c r="J694" s="1" t="str">
        <f t="shared" si="11"/>
        <v>https://www.ocf.berkeley.edu/~pkmendez/envsci/projects/2012final/MendezC_2012.pdf</v>
      </c>
      <c r="K694" s="2" t="str" cm="1">
        <f t="array" ref="K694:O694">_xlfn.TAKE(TRIM(_xlfn.TEXTSPLIT(F694,{",",";"})),,5)</f>
        <v>seasonal movement</v>
      </c>
      <c r="L694" s="2" t="str">
        <v>habitat restoration</v>
      </c>
      <c r="M694" s="2" t="str">
        <v>natural and human disturbances</v>
      </c>
      <c r="N694" s="2" t="str">
        <v>physical barriers</v>
      </c>
      <c r="O694" s="2" t="str">
        <v>PIT tags</v>
      </c>
      <c r="P694" s="2" t="s">
        <v>9</v>
      </c>
      <c r="Q694" s="2" t="s">
        <v>10</v>
      </c>
    </row>
    <row r="695" spans="1:17" x14ac:dyDescent="0.35">
      <c r="A695" s="2" t="s">
        <v>5884</v>
      </c>
      <c r="B695" s="2" t="s">
        <v>3485</v>
      </c>
      <c r="C695" s="2" t="s">
        <v>3486</v>
      </c>
      <c r="D695" s="2">
        <v>2012</v>
      </c>
      <c r="E695" s="2" t="s">
        <v>3487</v>
      </c>
      <c r="F695" s="2" t="s">
        <v>3488</v>
      </c>
      <c r="G695" s="2" t="s">
        <v>3489</v>
      </c>
      <c r="H695" s="2" t="s">
        <v>3319</v>
      </c>
      <c r="I695" s="2" t="str" cm="1">
        <f t="array" ref="I695">H695 &amp; _xlfn.REGEXEXTRACT(G695,"^[^_]+_\d{4}") &amp; ".pdf"</f>
        <v>https://www.ocf.berkeley.edu/~pkmendez/envsci/projects/2012final/MontjoyM_2012.pdf</v>
      </c>
      <c r="J695" s="1" t="str">
        <f t="shared" si="11"/>
        <v>https://www.ocf.berkeley.edu/~pkmendez/envsci/projects/2012final/MontjoyM_2012.pdf</v>
      </c>
      <c r="K695" s="2" t="str" cm="1">
        <f t="array" ref="K695:O695">_xlfn.TAKE(TRIM(_xlfn.TEXTSPLIT(F695,{",",";"})),,5)</f>
        <v>Phytophthora ramorum</v>
      </c>
      <c r="L695" s="2" t="str">
        <v>Notholithocarpus densiflorus</v>
      </c>
      <c r="M695" s="2" t="str">
        <v>multi-point sapling inoculations</v>
      </c>
      <c r="N695" s="2" t="str">
        <v>detached leaf inoculations</v>
      </c>
      <c r="O695" s="2" t="str">
        <v>tanoak clonal propagation</v>
      </c>
      <c r="P695" s="2" t="s">
        <v>9</v>
      </c>
      <c r="Q695" s="2" t="s">
        <v>10</v>
      </c>
    </row>
    <row r="696" spans="1:17" x14ac:dyDescent="0.35">
      <c r="A696" s="2" t="s">
        <v>5884</v>
      </c>
      <c r="B696" s="2" t="s">
        <v>3490</v>
      </c>
      <c r="C696" s="2" t="s">
        <v>3491</v>
      </c>
      <c r="D696" s="2">
        <v>2012</v>
      </c>
      <c r="E696" s="2" t="s">
        <v>3492</v>
      </c>
      <c r="F696" s="2" t="s">
        <v>3493</v>
      </c>
      <c r="G696" s="2" t="s">
        <v>3494</v>
      </c>
      <c r="H696" s="2" t="s">
        <v>3319</v>
      </c>
      <c r="I696" s="2" t="str" cm="1">
        <f t="array" ref="I696">H696 &amp; _xlfn.REGEXEXTRACT(G696,"^[^_]+_\d{4}") &amp; ".pdf"</f>
        <v>https://www.ocf.berkeley.edu/~pkmendez/envsci/projects/2012final/NatakeT_2012.pdf</v>
      </c>
      <c r="J696" s="1" t="str">
        <f t="shared" si="11"/>
        <v>https://www.ocf.berkeley.edu/~pkmendez/envsci/projects/2012final/NatakeT_2012.pdf</v>
      </c>
      <c r="K696" s="2" t="str" cm="1">
        <f t="array" ref="K696:O696">_xlfn.TAKE(TRIM(_xlfn.TEXTSPLIT(F696,{",",";"})),,5)</f>
        <v>topography</v>
      </c>
      <c r="L696" s="2" t="str">
        <v>lateral and vertical translocation</v>
      </c>
      <c r="M696" s="2" t="str">
        <v>clay and sand content</v>
      </c>
      <c r="N696" s="2" t="str">
        <v>precipitation</v>
      </c>
      <c r="O696" s="2" t="str">
        <v>Luquillo Experimental Forest</v>
      </c>
      <c r="P696" s="2" t="s">
        <v>9</v>
      </c>
      <c r="Q696" s="2" t="s">
        <v>10</v>
      </c>
    </row>
    <row r="697" spans="1:17" x14ac:dyDescent="0.35">
      <c r="A697" s="2" t="s">
        <v>5884</v>
      </c>
      <c r="B697" s="2" t="s">
        <v>3495</v>
      </c>
      <c r="C697" s="2" t="s">
        <v>3496</v>
      </c>
      <c r="D697" s="2">
        <v>2012</v>
      </c>
      <c r="E697" s="2" t="s">
        <v>3497</v>
      </c>
      <c r="F697" s="2" t="s">
        <v>3498</v>
      </c>
      <c r="G697" s="2" t="s">
        <v>3499</v>
      </c>
      <c r="H697" s="2" t="s">
        <v>3319</v>
      </c>
      <c r="I697" s="2" t="str" cm="1">
        <f t="array" ref="I697">H697 &amp; _xlfn.REGEXEXTRACT(G697,"^[^_]+_\d{4}") &amp; ".pdf"</f>
        <v>https://www.ocf.berkeley.edu/~pkmendez/envsci/projects/2012final/NgoL_2012.pdf</v>
      </c>
      <c r="J697" s="1" t="str">
        <f t="shared" si="11"/>
        <v>https://www.ocf.berkeley.edu/~pkmendez/envsci/projects/2012final/NgoL_2012.pdf</v>
      </c>
      <c r="K697" s="2" t="str" cm="1">
        <f t="array" ref="K697:O697">_xlfn.TAKE(TRIM(_xlfn.TEXTSPLIT(F697,{",",";"})),,5)</f>
        <v>Vietnam War</v>
      </c>
      <c r="L697" s="2" t="str">
        <v>environmental justice</v>
      </c>
      <c r="M697" s="2" t="str">
        <v>political mobilization</v>
      </c>
      <c r="N697" s="2" t="str">
        <v>generation gap</v>
      </c>
      <c r="O697" s="2" t="str">
        <v>education</v>
      </c>
      <c r="P697" s="2" t="s">
        <v>9</v>
      </c>
      <c r="Q697" s="2" t="s">
        <v>10</v>
      </c>
    </row>
    <row r="698" spans="1:17" x14ac:dyDescent="0.35">
      <c r="A698" s="2" t="s">
        <v>5884</v>
      </c>
      <c r="B698" s="2" t="s">
        <v>3500</v>
      </c>
      <c r="C698" s="2" t="s">
        <v>3501</v>
      </c>
      <c r="D698" s="2">
        <v>2012</v>
      </c>
      <c r="E698" s="2" t="s">
        <v>3502</v>
      </c>
      <c r="F698" s="2" t="s">
        <v>3503</v>
      </c>
      <c r="G698" s="2" t="s">
        <v>3504</v>
      </c>
      <c r="H698" s="2" t="s">
        <v>3319</v>
      </c>
      <c r="I698" s="2" t="str" cm="1">
        <f t="array" ref="I698">H698 &amp; _xlfn.REGEXEXTRACT(G698,"^[^_]+_\d{4}") &amp; ".pdf"</f>
        <v>https://www.ocf.berkeley.edu/~pkmendez/envsci/projects/2012final/OhashiY_2012.pdf</v>
      </c>
      <c r="J698" s="1" t="str">
        <f t="shared" si="11"/>
        <v>https://www.ocf.berkeley.edu/~pkmendez/envsci/projects/2012final/OhashiY_2012.pdf</v>
      </c>
      <c r="K698" s="2" t="str" cm="1">
        <f t="array" ref="K698:O698">_xlfn.TAKE(TRIM(_xlfn.TEXTSPLIT(F698,{",",";"})),,5)</f>
        <v>agroforestry</v>
      </c>
      <c r="L698" s="2" t="str">
        <v>optimal land reserve</v>
      </c>
      <c r="M698" s="2" t="str">
        <v>forest fragmentation</v>
      </c>
      <c r="N698" s="2" t="str">
        <v>quantifying ecosystem services</v>
      </c>
      <c r="O698" s="2" t="str">
        <v>Mixed Integer Non-Linear Programming (MINLP)</v>
      </c>
      <c r="P698" s="2" t="s">
        <v>9</v>
      </c>
      <c r="Q698" s="2" t="s">
        <v>10</v>
      </c>
    </row>
    <row r="699" spans="1:17" x14ac:dyDescent="0.35">
      <c r="A699" s="2" t="s">
        <v>5884</v>
      </c>
      <c r="B699" s="2" t="s">
        <v>3505</v>
      </c>
      <c r="C699" s="2" t="s">
        <v>3506</v>
      </c>
      <c r="D699" s="2">
        <v>2012</v>
      </c>
      <c r="E699" s="2" t="s">
        <v>3507</v>
      </c>
      <c r="F699" s="2" t="s">
        <v>3508</v>
      </c>
      <c r="G699" s="2" t="s">
        <v>3509</v>
      </c>
      <c r="H699" s="2" t="s">
        <v>3319</v>
      </c>
      <c r="I699" s="2" t="str" cm="1">
        <f t="array" ref="I699">H699 &amp; _xlfn.REGEXEXTRACT(G699,"^[^_]+_\d{4}") &amp; ".pdf"</f>
        <v>https://www.ocf.berkeley.edu/~pkmendez/envsci/projects/2012final/PinheiroM_2012.pdf</v>
      </c>
      <c r="J699" s="1" t="str">
        <f t="shared" si="11"/>
        <v>https://www.ocf.berkeley.edu/~pkmendez/envsci/projects/2012final/PinheiroM_2012.pdf</v>
      </c>
      <c r="K699" s="2" t="str" cm="1">
        <f t="array" ref="K699:O699">_xlfn.TAKE(TRIM(_xlfn.TEXTSPLIT(F699,{",",";"})),,5)</f>
        <v>transportation</v>
      </c>
      <c r="L699" s="2" t="str">
        <v>Pleasanton</v>
      </c>
      <c r="M699" s="2" t="str">
        <v>knowledge-action gap</v>
      </c>
      <c r="N699" s="2" t="str">
        <v>survey analysis</v>
      </c>
      <c r="O699" s="2" t="str">
        <v>GIS</v>
      </c>
      <c r="P699" s="2" t="s">
        <v>9</v>
      </c>
      <c r="Q699" s="2" t="s">
        <v>10</v>
      </c>
    </row>
    <row r="700" spans="1:17" x14ac:dyDescent="0.35">
      <c r="A700" s="2" t="s">
        <v>5884</v>
      </c>
      <c r="B700" s="2" t="s">
        <v>3510</v>
      </c>
      <c r="C700" s="2" t="s">
        <v>3511</v>
      </c>
      <c r="D700" s="2">
        <v>2012</v>
      </c>
      <c r="E700" s="2" t="s">
        <v>3512</v>
      </c>
      <c r="F700" s="2" t="s">
        <v>3513</v>
      </c>
      <c r="G700" s="2" t="s">
        <v>3514</v>
      </c>
      <c r="H700" s="2" t="s">
        <v>3319</v>
      </c>
      <c r="I700" s="2" t="str" cm="1">
        <f t="array" ref="I700">H700 &amp; _xlfn.REGEXEXTRACT(G700,"^[^_]+_\d{4}") &amp; ".pdf"</f>
        <v>https://www.ocf.berkeley.edu/~pkmendez/envsci/projects/2012final/PonD_2012.pdf</v>
      </c>
      <c r="J700" s="1" t="str">
        <f t="shared" si="11"/>
        <v>https://www.ocf.berkeley.edu/~pkmendez/envsci/projects/2012final/PonD_2012.pdf</v>
      </c>
      <c r="K700" s="2" t="str" cm="1">
        <f t="array" ref="K700:O700">_xlfn.TAKE(TRIM(_xlfn.TEXTSPLIT(F700,{",",";"})),,5)</f>
        <v>Long range development plan</v>
      </c>
      <c r="L700" s="2" t="str">
        <v>nature discourse</v>
      </c>
      <c r="M700" s="2" t="str">
        <v>social construction of nature</v>
      </c>
      <c r="N700" s="2" t="str">
        <v>University of California</v>
      </c>
      <c r="O700" s="2" t="str">
        <v>Berkeley campus</v>
      </c>
      <c r="P700" s="2" t="s">
        <v>9</v>
      </c>
      <c r="Q700" s="2" t="s">
        <v>10</v>
      </c>
    </row>
    <row r="701" spans="1:17" x14ac:dyDescent="0.35">
      <c r="A701" s="2" t="s">
        <v>5884</v>
      </c>
      <c r="B701" s="2" t="s">
        <v>3515</v>
      </c>
      <c r="C701" s="2" t="s">
        <v>3516</v>
      </c>
      <c r="D701" s="2">
        <v>2012</v>
      </c>
      <c r="E701" s="2" t="s">
        <v>3517</v>
      </c>
      <c r="F701" s="2" t="s">
        <v>3518</v>
      </c>
      <c r="G701" s="2" t="s">
        <v>3519</v>
      </c>
      <c r="H701" s="2" t="s">
        <v>3319</v>
      </c>
      <c r="I701" s="2" t="str" cm="1">
        <f t="array" ref="I701">H701 &amp; _xlfn.REGEXEXTRACT(G701,"^[^_]+_\d{4}") &amp; ".pdf"</f>
        <v>https://www.ocf.berkeley.edu/~pkmendez/envsci/projects/2012final/RoughtonA_2012.pdf</v>
      </c>
      <c r="J701" s="1" t="str">
        <f t="shared" si="11"/>
        <v>https://www.ocf.berkeley.edu/~pkmendez/envsci/projects/2012final/RoughtonA_2012.pdf</v>
      </c>
      <c r="K701" s="2" t="str" cm="1">
        <f t="array" ref="K701:O701">_xlfn.TAKE(TRIM(_xlfn.TEXTSPLIT(F701,{",",";"})),,5)</f>
        <v>biological control</v>
      </c>
      <c r="L701" s="2" t="str">
        <v>parasitoid</v>
      </c>
      <c r="M701" s="2" t="str">
        <v>grape</v>
      </c>
      <c r="N701" s="2" t="str">
        <v>leafhopper</v>
      </c>
      <c r="O701" s="2" t="str">
        <v>alternate host</v>
      </c>
      <c r="P701" s="2" t="s">
        <v>9</v>
      </c>
      <c r="Q701" s="2" t="s">
        <v>10</v>
      </c>
    </row>
    <row r="702" spans="1:17" x14ac:dyDescent="0.35">
      <c r="A702" s="2" t="s">
        <v>5884</v>
      </c>
      <c r="B702" s="2" t="s">
        <v>3520</v>
      </c>
      <c r="C702" s="2" t="s">
        <v>3521</v>
      </c>
      <c r="D702" s="2">
        <v>2012</v>
      </c>
      <c r="E702" s="2" t="s">
        <v>3522</v>
      </c>
      <c r="F702" s="2" t="s">
        <v>3523</v>
      </c>
      <c r="G702" s="2" t="s">
        <v>3524</v>
      </c>
      <c r="H702" s="2" t="s">
        <v>3319</v>
      </c>
      <c r="I702" s="2" t="str" cm="1">
        <f t="array" ref="I702">H702 &amp; _xlfn.REGEXEXTRACT(G702,"^[^_]+_\d{4}") &amp; ".pdf"</f>
        <v>https://www.ocf.berkeley.edu/~pkmendez/envsci/projects/2012final/RuizD_2012.pdf</v>
      </c>
      <c r="J702" s="1" t="str">
        <f t="shared" si="11"/>
        <v>https://www.ocf.berkeley.edu/~pkmendez/envsci/projects/2012final/RuizD_2012.pdf</v>
      </c>
      <c r="K702" s="2" t="str" cm="1">
        <f t="array" ref="K702:O702">_xlfn.TAKE(TRIM(_xlfn.TEXTSPLIT(F702,{",",";"})),,5)</f>
        <v>Lepechinia meyenii</v>
      </c>
      <c r="L702" s="2" t="str">
        <v>NF-κB</v>
      </c>
      <c r="M702" s="2" t="str">
        <v>RAW 264.7</v>
      </c>
      <c r="N702" s="2" t="str">
        <v>iNOS</v>
      </c>
      <c r="O702" s="2" t="str">
        <v>IL-6</v>
      </c>
      <c r="P702" s="2" t="s">
        <v>9</v>
      </c>
      <c r="Q702" s="2" t="s">
        <v>10</v>
      </c>
    </row>
    <row r="703" spans="1:17" x14ac:dyDescent="0.35">
      <c r="A703" s="2" t="s">
        <v>5884</v>
      </c>
      <c r="B703" s="2" t="s">
        <v>3525</v>
      </c>
      <c r="C703" s="2" t="s">
        <v>3526</v>
      </c>
      <c r="D703" s="2">
        <v>2012</v>
      </c>
      <c r="E703" s="2" t="s">
        <v>3527</v>
      </c>
      <c r="F703" s="2" t="s">
        <v>3528</v>
      </c>
      <c r="G703" s="2" t="s">
        <v>3529</v>
      </c>
      <c r="H703" s="2" t="s">
        <v>3319</v>
      </c>
      <c r="I703" s="2" t="str" cm="1">
        <f t="array" ref="I703">H703 &amp; _xlfn.REGEXEXTRACT(G703,"^[^_]+_\d{4}") &amp; ".pdf"</f>
        <v>https://www.ocf.berkeley.edu/~pkmendez/envsci/projects/2012final/ScardinaH_2012.pdf</v>
      </c>
      <c r="J703" s="1" t="str">
        <f t="shared" si="11"/>
        <v>https://www.ocf.berkeley.edu/~pkmendez/envsci/projects/2012final/ScardinaH_2012.pdf</v>
      </c>
      <c r="K703" s="2" t="str" cm="1">
        <f t="array" ref="K703:O703">_xlfn.TAKE(TRIM(_xlfn.TEXTSPLIT(F703,{",",";"})),,5)</f>
        <v>Pollination networks</v>
      </c>
      <c r="L703" s="2" t="str">
        <v>nestedness</v>
      </c>
      <c r="M703" s="2" t="str">
        <v>resilience</v>
      </c>
      <c r="N703" s="2" t="str">
        <v>generalization</v>
      </c>
      <c r="O703" s="2" t="str">
        <v>optimal foraging theory</v>
      </c>
      <c r="P703" s="2" t="s">
        <v>9</v>
      </c>
      <c r="Q703" s="2" t="s">
        <v>10</v>
      </c>
    </row>
    <row r="704" spans="1:17" x14ac:dyDescent="0.35">
      <c r="A704" s="2" t="s">
        <v>5884</v>
      </c>
      <c r="B704" s="2" t="s">
        <v>3530</v>
      </c>
      <c r="C704" s="2" t="s">
        <v>3531</v>
      </c>
      <c r="D704" s="2">
        <v>2012</v>
      </c>
      <c r="E704" s="2" t="s">
        <v>3532</v>
      </c>
      <c r="F704" s="2" t="s">
        <v>3533</v>
      </c>
      <c r="G704" s="2" t="s">
        <v>3534</v>
      </c>
      <c r="H704" s="2" t="s">
        <v>3319</v>
      </c>
      <c r="I704" s="2" t="str" cm="1">
        <f t="array" ref="I704">H704 &amp; _xlfn.REGEXEXTRACT(G704,"^[^_]+_\d{4}") &amp; ".pdf"</f>
        <v>https://www.ocf.berkeley.edu/~pkmendez/envsci/projects/2012final/SpiciarichR_2012.pdf</v>
      </c>
      <c r="J704" s="1" t="str">
        <f t="shared" si="11"/>
        <v>https://www.ocf.berkeley.edu/~pkmendez/envsci/projects/2012final/SpiciarichR_2012.pdf</v>
      </c>
      <c r="K704" s="2" t="str" cm="1">
        <f t="array" ref="K704:O704">_xlfn.TAKE(TRIM(_xlfn.TEXTSPLIT(F704,{",",";"})),,5)</f>
        <v>PLA utensils</v>
      </c>
      <c r="L704" s="2" t="str">
        <v>UC Berkeley</v>
      </c>
      <c r="M704" s="2" t="str">
        <v>zero waste</v>
      </c>
      <c r="N704" s="2" t="str">
        <v>ASTM</v>
      </c>
      <c r="O704" s="2" t="str">
        <v>industrial composting facilities</v>
      </c>
      <c r="P704" s="2" t="s">
        <v>9</v>
      </c>
      <c r="Q704" s="2" t="s">
        <v>10</v>
      </c>
    </row>
    <row r="705" spans="1:17" x14ac:dyDescent="0.35">
      <c r="A705" s="2" t="s">
        <v>5884</v>
      </c>
      <c r="B705" s="2" t="s">
        <v>3535</v>
      </c>
      <c r="C705" s="2" t="s">
        <v>3536</v>
      </c>
      <c r="D705" s="2">
        <v>2012</v>
      </c>
      <c r="E705" s="2" t="s">
        <v>3537</v>
      </c>
      <c r="F705" s="2" t="s">
        <v>3538</v>
      </c>
      <c r="G705" s="2" t="s">
        <v>3539</v>
      </c>
      <c r="H705" s="2" t="s">
        <v>3319</v>
      </c>
      <c r="I705" s="2" t="str" cm="1">
        <f t="array" ref="I705">H705 &amp; _xlfn.REGEXEXTRACT(G705,"^[^_]+_\d{4}") &amp; ".pdf"</f>
        <v>https://www.ocf.berkeley.edu/~pkmendez/envsci/projects/2012final/StephensM_2012.pdf</v>
      </c>
      <c r="J705" s="1" t="str">
        <f t="shared" si="11"/>
        <v>https://www.ocf.berkeley.edu/~pkmendez/envsci/projects/2012final/StephensM_2012.pdf</v>
      </c>
      <c r="K705" s="2" t="str" cm="1">
        <f t="array" ref="K705:O705">_xlfn.TAKE(TRIM(_xlfn.TEXTSPLIT(F705,{",",";"})),,5)</f>
        <v>biological control</v>
      </c>
      <c r="L705" s="2" t="str">
        <v>predator-prey interactions</v>
      </c>
      <c r="M705" s="2" t="str">
        <v>behavior</v>
      </c>
      <c r="N705" s="2" t="str">
        <v>patch size</v>
      </c>
      <c r="O705" s="2" t="str">
        <v>sex ratio</v>
      </c>
      <c r="P705" s="2" t="s">
        <v>9</v>
      </c>
      <c r="Q705" s="2" t="s">
        <v>10</v>
      </c>
    </row>
    <row r="706" spans="1:17" x14ac:dyDescent="0.35">
      <c r="A706" s="2" t="s">
        <v>5884</v>
      </c>
      <c r="B706" s="2" t="s">
        <v>3540</v>
      </c>
      <c r="C706" s="2" t="s">
        <v>3541</v>
      </c>
      <c r="D706" s="2">
        <v>2012</v>
      </c>
      <c r="E706" s="2" t="s">
        <v>3542</v>
      </c>
      <c r="F706" s="2" t="s">
        <v>3543</v>
      </c>
      <c r="G706" s="2" t="s">
        <v>3544</v>
      </c>
      <c r="H706" s="2" t="s">
        <v>3319</v>
      </c>
      <c r="I706" s="2" t="str" cm="1">
        <f t="array" ref="I706">H706 &amp; _xlfn.REGEXEXTRACT(G706,"^[^_]+_\d{4}") &amp; ".pdf"</f>
        <v>https://www.ocf.berkeley.edu/~pkmendez/envsci/projects/2012final/SzendrenyiA_2012.pdf</v>
      </c>
      <c r="J706" s="1" t="str">
        <f t="shared" si="11"/>
        <v>https://www.ocf.berkeley.edu/~pkmendez/envsci/projects/2012final/SzendrenyiA_2012.pdf</v>
      </c>
      <c r="K706" s="2" t="str" cm="1">
        <f t="array" ref="K706:O706">_xlfn.TAKE(TRIM(_xlfn.TEXTSPLIT(F706,{",",";"})),,5)</f>
        <v>plant-environment interactions</v>
      </c>
      <c r="L706" s="2" t="str">
        <v>soil temperature</v>
      </c>
      <c r="M706" s="2" t="str">
        <v>soil moisture</v>
      </c>
      <c r="N706" s="2" t="str">
        <v>litter</v>
      </c>
      <c r="O706" s="2" t="str">
        <v>climate change</v>
      </c>
      <c r="P706" s="2" t="s">
        <v>9</v>
      </c>
      <c r="Q706" s="2" t="s">
        <v>10</v>
      </c>
    </row>
    <row r="707" spans="1:17" x14ac:dyDescent="0.35">
      <c r="A707" s="2" t="s">
        <v>5884</v>
      </c>
      <c r="B707" s="2" t="s">
        <v>3545</v>
      </c>
      <c r="C707" s="2" t="s">
        <v>3546</v>
      </c>
      <c r="D707" s="2">
        <v>2012</v>
      </c>
      <c r="E707" s="2" t="s">
        <v>3547</v>
      </c>
      <c r="F707" s="2" t="s">
        <v>3548</v>
      </c>
      <c r="G707" s="2" t="s">
        <v>3549</v>
      </c>
      <c r="H707" s="2" t="s">
        <v>3319</v>
      </c>
      <c r="I707" s="2" t="str" cm="1">
        <f t="array" ref="I707">H707 &amp; _xlfn.REGEXEXTRACT(G707,"^[^_]+_\d{4}") &amp; ".pdf"</f>
        <v>https://www.ocf.berkeley.edu/~pkmendez/envsci/projects/2012final/ThomasL_2012.pdf</v>
      </c>
      <c r="J707" s="1" t="str">
        <f t="shared" ref="J707:J770" si="12">HYPERLINK(I707, I707)</f>
        <v>https://www.ocf.berkeley.edu/~pkmendez/envsci/projects/2012final/ThomasL_2012.pdf</v>
      </c>
      <c r="K707" s="2" t="str" cm="1">
        <f t="array" ref="K707:O707">_xlfn.TAKE(TRIM(_xlfn.TEXTSPLIT(F707,{",",";"})),,5)</f>
        <v>Deepwater Horizon</v>
      </c>
      <c r="L707" s="2" t="str">
        <v>British Petroleum</v>
      </c>
      <c r="M707" s="2" t="str">
        <v>clean up technologies</v>
      </c>
      <c r="N707" s="2" t="str">
        <v>spill response</v>
      </c>
      <c r="O707" s="2" t="str">
        <v>Gulf of Mexico</v>
      </c>
      <c r="P707" s="2" t="s">
        <v>9</v>
      </c>
      <c r="Q707" s="2" t="s">
        <v>10</v>
      </c>
    </row>
    <row r="708" spans="1:17" x14ac:dyDescent="0.35">
      <c r="A708" s="2" t="s">
        <v>5884</v>
      </c>
      <c r="B708" s="2" t="s">
        <v>3550</v>
      </c>
      <c r="C708" s="2" t="s">
        <v>3551</v>
      </c>
      <c r="D708" s="2">
        <v>2012</v>
      </c>
      <c r="E708" s="2" t="s">
        <v>3552</v>
      </c>
      <c r="F708" s="2" t="s">
        <v>3553</v>
      </c>
      <c r="G708" s="2" t="s">
        <v>3554</v>
      </c>
      <c r="H708" s="2" t="s">
        <v>3319</v>
      </c>
      <c r="I708" s="2" t="str" cm="1">
        <f t="array" ref="I708">H708 &amp; _xlfn.REGEXEXTRACT(G708,"^[^_]+_\d{4}") &amp; ".pdf"</f>
        <v>https://www.ocf.berkeley.edu/~pkmendez/envsci/projects/2012final/TisonA_2012.pdf</v>
      </c>
      <c r="J708" s="1" t="str">
        <f t="shared" si="12"/>
        <v>https://www.ocf.berkeley.edu/~pkmendez/envsci/projects/2012final/TisonA_2012.pdf</v>
      </c>
      <c r="K708" s="2" t="str" cm="1">
        <f t="array" ref="K708:O708">_xlfn.TAKE(TRIM(_xlfn.TEXTSPLIT(F708,{",",";"})),,5)</f>
        <v>hired labor</v>
      </c>
      <c r="L708" s="2" t="str">
        <v>organic food industry</v>
      </c>
      <c r="M708" s="2" t="str">
        <v>certification standards</v>
      </c>
      <c r="N708" s="2" t="str">
        <v>consumers’ perceptions</v>
      </c>
      <c r="O708" s="2" t="str">
        <v>food labels</v>
      </c>
      <c r="P708" s="2" t="s">
        <v>9</v>
      </c>
      <c r="Q708" s="2" t="s">
        <v>10</v>
      </c>
    </row>
    <row r="709" spans="1:17" x14ac:dyDescent="0.35">
      <c r="A709" s="2" t="s">
        <v>5884</v>
      </c>
      <c r="B709" s="2" t="s">
        <v>3555</v>
      </c>
      <c r="C709" s="2" t="s">
        <v>3556</v>
      </c>
      <c r="D709" s="2">
        <v>2012</v>
      </c>
      <c r="E709" s="2" t="s">
        <v>3557</v>
      </c>
      <c r="F709" s="2" t="s">
        <v>3558</v>
      </c>
      <c r="G709" s="2" t="s">
        <v>3559</v>
      </c>
      <c r="H709" s="2" t="s">
        <v>3319</v>
      </c>
      <c r="I709" s="2" t="str" cm="1">
        <f t="array" ref="I709">H709 &amp; _xlfn.REGEXEXTRACT(G709,"^[^_]+_\d{4}") &amp; ".pdf"</f>
        <v>https://www.ocf.berkeley.edu/~pkmendez/envsci/projects/2012final/WheelerB_2012.pdf</v>
      </c>
      <c r="J709" s="1" t="str">
        <f t="shared" si="12"/>
        <v>https://www.ocf.berkeley.edu/~pkmendez/envsci/projects/2012final/WheelerB_2012.pdf</v>
      </c>
      <c r="K709" s="2" t="str" cm="1">
        <f t="array" ref="K709:O709">_xlfn.TAKE(TRIM(_xlfn.TEXTSPLIT(F709,{",",";"})),,5)</f>
        <v>Species Distribution Model</v>
      </c>
      <c r="L709" s="2" t="str">
        <v>Chiroptera</v>
      </c>
      <c r="M709" s="2" t="str">
        <v>Myotis lucifugus</v>
      </c>
      <c r="N709" s="2" t="str">
        <v>Myotis sodalis</v>
      </c>
      <c r="O709" s="2" t="str">
        <v>Tadarida brasiliensis</v>
      </c>
      <c r="P709" s="2" t="s">
        <v>9</v>
      </c>
      <c r="Q709" s="2" t="s">
        <v>10</v>
      </c>
    </row>
    <row r="710" spans="1:17" x14ac:dyDescent="0.35">
      <c r="A710" s="2" t="s">
        <v>5884</v>
      </c>
      <c r="B710" s="2" t="s">
        <v>3560</v>
      </c>
      <c r="C710" s="2" t="s">
        <v>3561</v>
      </c>
      <c r="D710" s="2">
        <v>2012</v>
      </c>
      <c r="E710" s="2" t="s">
        <v>3562</v>
      </c>
      <c r="F710" s="2" t="s">
        <v>3563</v>
      </c>
      <c r="G710" s="2" t="s">
        <v>3564</v>
      </c>
      <c r="H710" s="2" t="s">
        <v>3319</v>
      </c>
      <c r="I710" s="2" t="str" cm="1">
        <f t="array" ref="I710">H710 &amp; _xlfn.REGEXEXTRACT(G710,"^[^_]+_\d{4}") &amp; ".pdf"</f>
        <v>https://www.ocf.berkeley.edu/~pkmendez/envsci/projects/2012final/WoodsJ_2012.pdf</v>
      </c>
      <c r="J710" s="1" t="str">
        <f t="shared" si="12"/>
        <v>https://www.ocf.berkeley.edu/~pkmendez/envsci/projects/2012final/WoodsJ_2012.pdf</v>
      </c>
      <c r="K710" s="2" t="str" cm="1">
        <f t="array" ref="K710:O710">_xlfn.TAKE(TRIM(_xlfn.TEXTSPLIT(F710,{",",";"})),,5)</f>
        <v>Cool roofs</v>
      </c>
      <c r="L710" s="2" t="str">
        <v>urban heat island mitigation</v>
      </c>
      <c r="M710" s="2" t="str">
        <v>climate change</v>
      </c>
      <c r="N710" s="2" t="str">
        <v>remotely sensed orthoimagery</v>
      </c>
      <c r="O710" s="2" t="str">
        <v>GIS</v>
      </c>
      <c r="P710" s="2" t="s">
        <v>9</v>
      </c>
      <c r="Q710" s="2" t="s">
        <v>10</v>
      </c>
    </row>
    <row r="711" spans="1:17" x14ac:dyDescent="0.35">
      <c r="A711" s="2" t="s">
        <v>5884</v>
      </c>
      <c r="B711" s="2" t="s">
        <v>3565</v>
      </c>
      <c r="C711" s="2" t="s">
        <v>3566</v>
      </c>
      <c r="D711" s="2">
        <v>2012</v>
      </c>
      <c r="E711" s="2" t="s">
        <v>3567</v>
      </c>
      <c r="F711" s="2" t="s">
        <v>3568</v>
      </c>
      <c r="G711" s="2" t="s">
        <v>3569</v>
      </c>
      <c r="H711" s="2" t="s">
        <v>3319</v>
      </c>
      <c r="I711" s="2" t="str" cm="1">
        <f t="array" ref="I711">H711 &amp; _xlfn.REGEXEXTRACT(G711,"^[^_]+_\d{4}") &amp; ".pdf"</f>
        <v>https://www.ocf.berkeley.edu/~pkmendez/envsci/projects/2012final/XuN_2012.pdf</v>
      </c>
      <c r="J711" s="1" t="str">
        <f t="shared" si="12"/>
        <v>https://www.ocf.berkeley.edu/~pkmendez/envsci/projects/2012final/XuN_2012.pdf</v>
      </c>
      <c r="K711" s="2" t="str" cm="1">
        <f t="array" ref="K711:O711">_xlfn.TAKE(TRIM(_xlfn.TEXTSPLIT(F711,{",",";"})),,5)</f>
        <v>eco products</v>
      </c>
      <c r="L711" s="2" t="str">
        <v>public health</v>
      </c>
      <c r="M711" s="2" t="str">
        <v>asthma</v>
      </c>
      <c r="N711" s="2" t="str">
        <v>obstacles</v>
      </c>
      <c r="O711" s="2" t="str">
        <v>program implementation</v>
      </c>
      <c r="P711" s="2" t="s">
        <v>9</v>
      </c>
      <c r="Q711" s="2" t="s">
        <v>10</v>
      </c>
    </row>
    <row r="712" spans="1:17" x14ac:dyDescent="0.35">
      <c r="A712" s="2" t="s">
        <v>5884</v>
      </c>
      <c r="B712" s="2" t="s">
        <v>3570</v>
      </c>
      <c r="C712" s="2" t="s">
        <v>3571</v>
      </c>
      <c r="D712" s="2">
        <v>2012</v>
      </c>
      <c r="E712" s="2" t="s">
        <v>3572</v>
      </c>
      <c r="F712" s="2" t="s">
        <v>3573</v>
      </c>
      <c r="G712" s="2" t="s">
        <v>3574</v>
      </c>
      <c r="H712" s="2" t="s">
        <v>3319</v>
      </c>
      <c r="I712" s="2" t="str" cm="1">
        <f t="array" ref="I712">H712 &amp; _xlfn.REGEXEXTRACT(G712,"^[^_]+_\d{4}") &amp; ".pdf"</f>
        <v>https://www.ocf.berkeley.edu/~pkmendez/envsci/projects/2012final/ZhouT_2012.pdf</v>
      </c>
      <c r="J712" s="1" t="str">
        <f t="shared" si="12"/>
        <v>https://www.ocf.berkeley.edu/~pkmendez/envsci/projects/2012final/ZhouT_2012.pdf</v>
      </c>
      <c r="K712" s="2" t="str" cm="1">
        <f t="array" ref="K712:O712">_xlfn.TAKE(TRIM(_xlfn.TEXTSPLIT(F712,{",",";"})),,5)</f>
        <v>Energy Efficiency Standard and Labeling</v>
      </c>
      <c r="L712" s="2" t="str">
        <v>cost-benefit evaluation</v>
      </c>
      <c r="M712" s="2" t="str">
        <v>energy efficiency</v>
      </c>
      <c r="N712" s="2" t="str">
        <v>social benefits</v>
      </c>
      <c r="O712" s="2" t="str">
        <v>international energy studies</v>
      </c>
      <c r="P712" s="2" t="s">
        <v>9</v>
      </c>
      <c r="Q712" s="2" t="s">
        <v>10</v>
      </c>
    </row>
    <row r="713" spans="1:17" x14ac:dyDescent="0.35">
      <c r="A713" s="2" t="s">
        <v>5884</v>
      </c>
      <c r="B713" s="2" t="s">
        <v>3375</v>
      </c>
      <c r="C713" s="2" t="s">
        <v>3376</v>
      </c>
      <c r="D713" s="2">
        <v>2011</v>
      </c>
      <c r="E713" s="2" t="s">
        <v>3377</v>
      </c>
      <c r="F713" s="2" t="s">
        <v>3378</v>
      </c>
      <c r="G713" s="2" t="s">
        <v>3379</v>
      </c>
      <c r="H713" s="2" t="s">
        <v>3319</v>
      </c>
      <c r="I713" s="2" t="str" cm="1">
        <f t="array" ref="I713">H713 &amp; _xlfn.REGEXEXTRACT(G713,"^[^_]+_\d{4}") &amp; ".pdf"</f>
        <v>https://www.ocf.berkeley.edu/~pkmendez/envsci/projects/2012final/DanielA_2012.pdf</v>
      </c>
      <c r="J713" s="1" t="str">
        <f t="shared" si="12"/>
        <v>https://www.ocf.berkeley.edu/~pkmendez/envsci/projects/2012final/DanielA_2012.pdf</v>
      </c>
      <c r="K713" s="2" t="str" cm="1">
        <f t="array" ref="K713:O713">_xlfn.TAKE(TRIM(_xlfn.TEXTSPLIT(F713,{",",";"})),,5)</f>
        <v>coal</v>
      </c>
      <c r="L713" s="2" t="str">
        <v>oil shale</v>
      </c>
      <c r="M713" s="2" t="str">
        <v>transportation fuels</v>
      </c>
      <c r="N713" s="2" t="str">
        <v>energy independence</v>
      </c>
      <c r="O713" s="2" t="str">
        <v>climate change</v>
      </c>
      <c r="P713" s="2" t="s">
        <v>9</v>
      </c>
      <c r="Q713" s="2" t="s">
        <v>10</v>
      </c>
    </row>
    <row r="714" spans="1:17" x14ac:dyDescent="0.35">
      <c r="A714" s="2" t="s">
        <v>5884</v>
      </c>
      <c r="B714" s="2" t="s">
        <v>3575</v>
      </c>
      <c r="C714" s="2" t="s">
        <v>3576</v>
      </c>
      <c r="D714" s="2">
        <v>2011</v>
      </c>
      <c r="E714" s="2" t="s">
        <v>3577</v>
      </c>
      <c r="F714" s="2" t="s">
        <v>3578</v>
      </c>
      <c r="G714" s="2" t="s">
        <v>3579</v>
      </c>
      <c r="H714" s="2" t="s">
        <v>3580</v>
      </c>
      <c r="I714" s="2" t="str" cm="1">
        <f t="array" ref="I714">H714 &amp; _xlfn.REGEXEXTRACT(G714,"^[^_]+_\d{4}") &amp; ".pdf"</f>
        <v>https://www.ocf.berkeley.edu/~pkmendez/envsci/projects/2011final/BaraffB_2011.pdf</v>
      </c>
      <c r="J714" s="1" t="str">
        <f t="shared" si="12"/>
        <v>https://www.ocf.berkeley.edu/~pkmendez/envsci/projects/2011final/BaraffB_2011.pdf</v>
      </c>
      <c r="K714" s="2" t="str" cm="1">
        <f t="array" ref="K714:O714">_xlfn.TAKE(TRIM(_xlfn.TEXTSPLIT(F714,{",",";"})),,5)</f>
        <v>Closteroviridae</v>
      </c>
      <c r="L714" s="2" t="str">
        <v>mealybug</v>
      </c>
      <c r="M714" s="2" t="str">
        <v>grapevine viruses</v>
      </c>
      <c r="N714" s="2" t="str">
        <v>divergence</v>
      </c>
      <c r="O714" s="2" t="str">
        <v>certification</v>
      </c>
      <c r="P714" s="2" t="s">
        <v>9</v>
      </c>
      <c r="Q714" s="2" t="s">
        <v>10</v>
      </c>
    </row>
    <row r="715" spans="1:17" x14ac:dyDescent="0.35">
      <c r="A715" s="2" t="s">
        <v>5884</v>
      </c>
      <c r="B715" s="2" t="s">
        <v>3581</v>
      </c>
      <c r="C715" s="2" t="s">
        <v>3582</v>
      </c>
      <c r="D715" s="2">
        <v>2011</v>
      </c>
      <c r="E715" s="2" t="s">
        <v>3583</v>
      </c>
      <c r="F715" s="2" t="s">
        <v>3584</v>
      </c>
      <c r="G715" s="2" t="s">
        <v>3585</v>
      </c>
      <c r="H715" s="2" t="s">
        <v>3580</v>
      </c>
      <c r="I715" s="2" t="str" cm="1">
        <f t="array" ref="I715">H715 &amp; _xlfn.REGEXEXTRACT(G715,"^[^_]+_\d{4}") &amp; ".pdf"</f>
        <v>https://www.ocf.berkeley.edu/~pkmendez/envsci/projects/2011final/Bhavsar_2011.pdf</v>
      </c>
      <c r="J715" s="1" t="str">
        <f t="shared" si="12"/>
        <v>https://www.ocf.berkeley.edu/~pkmendez/envsci/projects/2011final/Bhavsar_2011.pdf</v>
      </c>
      <c r="K715" s="2" t="str" cm="1">
        <f t="array" ref="K715:O715">_xlfn.TAKE(TRIM(_xlfn.TEXTSPLIT(F715,{",",";"})),,5)</f>
        <v>Sustainability</v>
      </c>
      <c r="L715" s="2" t="str">
        <v>green business</v>
      </c>
      <c r="M715" s="2" t="str">
        <v>green transition</v>
      </c>
      <c r="N715" s="2" t="str">
        <v>marketing</v>
      </c>
      <c r="O715" s="2" t="str">
        <v>customer base</v>
      </c>
      <c r="P715" s="2" t="s">
        <v>9</v>
      </c>
      <c r="Q715" s="2" t="s">
        <v>10</v>
      </c>
    </row>
    <row r="716" spans="1:17" x14ac:dyDescent="0.35">
      <c r="A716" s="2" t="s">
        <v>5884</v>
      </c>
      <c r="B716" s="2" t="s">
        <v>3586</v>
      </c>
      <c r="C716" s="2" t="s">
        <v>3587</v>
      </c>
      <c r="D716" s="2">
        <v>2011</v>
      </c>
      <c r="E716" s="2" t="s">
        <v>3588</v>
      </c>
      <c r="F716" s="2" t="s">
        <v>3589</v>
      </c>
      <c r="G716" s="2" t="s">
        <v>3590</v>
      </c>
      <c r="H716" s="2" t="s">
        <v>3580</v>
      </c>
      <c r="I716" s="2" t="str" cm="1">
        <f t="array" ref="I716">H716 &amp; _xlfn.REGEXEXTRACT(G716,"^[^_]+_\d{4}") &amp; ".pdf"</f>
        <v>https://www.ocf.berkeley.edu/~pkmendez/envsci/projects/2011final/BrownJ_2011.pdf</v>
      </c>
      <c r="J716" s="1" t="str">
        <f t="shared" si="12"/>
        <v>https://www.ocf.berkeley.edu/~pkmendez/envsci/projects/2011final/BrownJ_2011.pdf</v>
      </c>
      <c r="K716" s="2" t="str" cm="1">
        <f t="array" ref="K716:O716">_xlfn.TAKE(TRIM(_xlfn.TEXTSPLIT(F716,{",",";"})),,5)</f>
        <v>Urban Agriculture</v>
      </c>
      <c r="L716" s="2" t="str">
        <v>soil</v>
      </c>
      <c r="M716" s="2" t="str">
        <v>Pb</v>
      </c>
      <c r="N716" s="2" t="str">
        <v>Oakland</v>
      </c>
      <c r="O716" s="2" t="str">
        <v>pH</v>
      </c>
      <c r="P716" s="2" t="s">
        <v>9</v>
      </c>
      <c r="Q716" s="2" t="s">
        <v>10</v>
      </c>
    </row>
    <row r="717" spans="1:17" x14ac:dyDescent="0.35">
      <c r="A717" s="2" t="s">
        <v>5884</v>
      </c>
      <c r="B717" s="2" t="s">
        <v>3591</v>
      </c>
      <c r="C717" s="2" t="s">
        <v>3592</v>
      </c>
      <c r="D717" s="2">
        <v>2011</v>
      </c>
      <c r="E717" s="2" t="s">
        <v>3593</v>
      </c>
      <c r="F717" s="2" t="s">
        <v>3594</v>
      </c>
      <c r="G717" s="2" t="s">
        <v>3595</v>
      </c>
      <c r="H717" s="2" t="s">
        <v>3580</v>
      </c>
      <c r="I717" s="2" t="str" cm="1">
        <f t="array" ref="I717">H717 &amp; _xlfn.REGEXEXTRACT(G717,"^[^_]+_\d{4}") &amp; ".pdf"</f>
        <v>https://www.ocf.berkeley.edu/~pkmendez/envsci/projects/2011final/ButlerM_2011.pdf</v>
      </c>
      <c r="J717" s="1" t="str">
        <f t="shared" si="12"/>
        <v>https://www.ocf.berkeley.edu/~pkmendez/envsci/projects/2011final/ButlerM_2011.pdf</v>
      </c>
      <c r="K717" s="2" t="str" cm="1">
        <f t="array" ref="K717:O717">_xlfn.TAKE(TRIM(_xlfn.TEXTSPLIT(F717,{",",";"})),,5)</f>
        <v>Compost</v>
      </c>
      <c r="L717" s="2" t="str">
        <v>waste</v>
      </c>
      <c r="M717" s="2" t="str">
        <v>barge</v>
      </c>
      <c r="N717" s="2" t="str">
        <v>transfer truck</v>
      </c>
      <c r="O717" s="2" t="str">
        <v>marginal land</v>
      </c>
      <c r="P717" s="2" t="s">
        <v>9</v>
      </c>
      <c r="Q717" s="2" t="s">
        <v>10</v>
      </c>
    </row>
    <row r="718" spans="1:17" x14ac:dyDescent="0.35">
      <c r="A718" s="2" t="s">
        <v>5884</v>
      </c>
      <c r="B718" s="2" t="s">
        <v>3596</v>
      </c>
      <c r="C718" s="2" t="s">
        <v>3597</v>
      </c>
      <c r="D718" s="2">
        <v>2011</v>
      </c>
      <c r="E718" s="2" t="s">
        <v>3598</v>
      </c>
      <c r="F718" s="2" t="s">
        <v>3599</v>
      </c>
      <c r="G718" s="2" t="s">
        <v>3600</v>
      </c>
      <c r="H718" s="2" t="s">
        <v>3580</v>
      </c>
      <c r="I718" s="2" t="str" cm="1">
        <f t="array" ref="I718">H718 &amp; _xlfn.REGEXEXTRACT(G718,"^[^_]+_\d{4}") &amp; ".pdf"</f>
        <v>https://www.ocf.berkeley.edu/~pkmendez/envsci/projects/2011final/CarlsonA_2011.pdf</v>
      </c>
      <c r="J718" s="1" t="str">
        <f t="shared" si="12"/>
        <v>https://www.ocf.berkeley.edu/~pkmendez/envsci/projects/2011final/CarlsonA_2011.pdf</v>
      </c>
      <c r="K718" s="2" t="str" cm="1">
        <f t="array" ref="K718:O718">_xlfn.TAKE(TRIM(_xlfn.TEXTSPLIT(F718,{",",";"})),,5)</f>
        <v>native plants</v>
      </c>
      <c r="L718" s="2" t="str">
        <v>invasion</v>
      </c>
      <c r="M718" s="2" t="str">
        <v>grassland ecology</v>
      </c>
      <c r="N718" s="2" t="str">
        <v>Harding grass</v>
      </c>
      <c r="O718" s="2" t="str">
        <v>disturbance</v>
      </c>
      <c r="P718" s="2" t="s">
        <v>9</v>
      </c>
      <c r="Q718" s="2" t="s">
        <v>10</v>
      </c>
    </row>
    <row r="719" spans="1:17" x14ac:dyDescent="0.35">
      <c r="A719" s="2" t="s">
        <v>5884</v>
      </c>
      <c r="B719" s="2" t="s">
        <v>3601</v>
      </c>
      <c r="C719" s="2" t="s">
        <v>3602</v>
      </c>
      <c r="D719" s="2">
        <v>2011</v>
      </c>
      <c r="E719" s="2" t="s">
        <v>3603</v>
      </c>
      <c r="F719" s="2" t="s">
        <v>3604</v>
      </c>
      <c r="G719" s="2" t="s">
        <v>3605</v>
      </c>
      <c r="H719" s="2" t="s">
        <v>3580</v>
      </c>
      <c r="I719" s="2" t="str" cm="1">
        <f t="array" ref="I719">H719 &amp; _xlfn.REGEXEXTRACT(G719,"^[^_]+_\d{4}") &amp; ".pdf"</f>
        <v>https://www.ocf.berkeley.edu/~pkmendez/envsci/projects/2011final/ChangS_2011.pdf</v>
      </c>
      <c r="J719" s="1" t="str">
        <f t="shared" si="12"/>
        <v>https://www.ocf.berkeley.edu/~pkmendez/envsci/projects/2011final/ChangS_2011.pdf</v>
      </c>
      <c r="K719" s="2" t="str" cm="1">
        <f t="array" ref="K719:O719">_xlfn.TAKE(TRIM(_xlfn.TEXTSPLIT(F719,{",",";"})),,5)</f>
        <v>Agencies</v>
      </c>
      <c r="L719" s="2" t="str">
        <v>discourse analysis</v>
      </c>
      <c r="M719" s="2" t="str">
        <v>marine debris</v>
      </c>
      <c r="N719" s="2" t="str">
        <v>political ecology</v>
      </c>
      <c r="O719" s="2" t="str">
        <v>plastic debris</v>
      </c>
      <c r="P719" s="2" t="s">
        <v>9</v>
      </c>
      <c r="Q719" s="2" t="s">
        <v>10</v>
      </c>
    </row>
    <row r="720" spans="1:17" x14ac:dyDescent="0.35">
      <c r="A720" s="2" t="s">
        <v>5884</v>
      </c>
      <c r="B720" s="2" t="s">
        <v>3606</v>
      </c>
      <c r="C720" s="2" t="s">
        <v>3607</v>
      </c>
      <c r="D720" s="2">
        <v>2011</v>
      </c>
      <c r="E720" s="2" t="s">
        <v>3608</v>
      </c>
      <c r="F720" s="2" t="s">
        <v>3609</v>
      </c>
      <c r="G720" s="2" t="s">
        <v>3610</v>
      </c>
      <c r="H720" s="2" t="s">
        <v>3580</v>
      </c>
      <c r="I720" s="2" t="str" cm="1">
        <f t="array" ref="I720">H720 &amp; _xlfn.REGEXEXTRACT(G720,"^[^_]+_\d{4}") &amp; ".pdf"</f>
        <v>https://www.ocf.berkeley.edu/~pkmendez/envsci/projects/2011final/ChengC_2011.pdf</v>
      </c>
      <c r="J720" s="1" t="str">
        <f t="shared" si="12"/>
        <v>https://www.ocf.berkeley.edu/~pkmendez/envsci/projects/2011final/ChengC_2011.pdf</v>
      </c>
      <c r="K720" s="2" t="str" cm="1">
        <f t="array" ref="K720:O720">_xlfn.TAKE(TRIM(_xlfn.TEXTSPLIT(F720,{",",";"})),,5)</f>
        <v>Dispersant</v>
      </c>
      <c r="L720" s="2" t="str">
        <v>British Petroleum</v>
      </c>
      <c r="M720" s="2" t="str">
        <v>oil spill response</v>
      </c>
      <c r="N720" s="2" t="str">
        <v>rationale</v>
      </c>
      <c r="O720" s="2" t="str">
        <v>stakeholder</v>
      </c>
      <c r="P720" s="2" t="s">
        <v>9</v>
      </c>
      <c r="Q720" s="2" t="s">
        <v>10</v>
      </c>
    </row>
    <row r="721" spans="1:17" x14ac:dyDescent="0.35">
      <c r="A721" s="2" t="s">
        <v>5884</v>
      </c>
      <c r="B721" s="2" t="s">
        <v>3611</v>
      </c>
      <c r="C721" s="2" t="s">
        <v>3612</v>
      </c>
      <c r="D721" s="2">
        <v>2011</v>
      </c>
      <c r="E721" s="2" t="s">
        <v>3613</v>
      </c>
      <c r="F721" s="2" t="s">
        <v>3614</v>
      </c>
      <c r="G721" s="2" t="s">
        <v>3615</v>
      </c>
      <c r="H721" s="2" t="s">
        <v>3580</v>
      </c>
      <c r="I721" s="2" t="str" cm="1">
        <f t="array" ref="I721">H721 &amp; _xlfn.REGEXEXTRACT(G721,"^[^_]+_\d{4}") &amp; ".pdf"</f>
        <v>https://www.ocf.berkeley.edu/~pkmendez/envsci/projects/2011final/ChenY_2011.pdf</v>
      </c>
      <c r="J721" s="1" t="str">
        <f t="shared" si="12"/>
        <v>https://www.ocf.berkeley.edu/~pkmendez/envsci/projects/2011final/ChenY_2011.pdf</v>
      </c>
      <c r="K721" s="2" t="str" cm="1">
        <f t="array" ref="K721:O721">_xlfn.TAKE(TRIM(_xlfn.TEXTSPLIT(F721,{",",";"})),,5)</f>
        <v>methyl halides</v>
      </c>
      <c r="L721" s="2" t="str">
        <v>tropical rainforests</v>
      </c>
      <c r="M721" s="2" t="str">
        <v>net emission flux</v>
      </c>
      <c r="N721" s="2" t="str">
        <v>stratospheric ozone</v>
      </c>
      <c r="O721" s="2" t="str">
        <v>ozone-depleting compounds</v>
      </c>
      <c r="P721" s="2" t="s">
        <v>9</v>
      </c>
      <c r="Q721" s="2" t="s">
        <v>10</v>
      </c>
    </row>
    <row r="722" spans="1:17" x14ac:dyDescent="0.35">
      <c r="A722" s="2" t="s">
        <v>5884</v>
      </c>
      <c r="B722" s="2" t="s">
        <v>3616</v>
      </c>
      <c r="C722" s="2" t="s">
        <v>3617</v>
      </c>
      <c r="D722" s="2">
        <v>2011</v>
      </c>
      <c r="E722" s="2" t="s">
        <v>3618</v>
      </c>
      <c r="F722" s="2" t="s">
        <v>3619</v>
      </c>
      <c r="G722" s="2" t="s">
        <v>3620</v>
      </c>
      <c r="H722" s="2" t="s">
        <v>3580</v>
      </c>
      <c r="I722" s="2" t="str" cm="1">
        <f t="array" ref="I722">H722 &amp; _xlfn.REGEXEXTRACT(G722,"^[^_]+_\d{4}") &amp; "_abstract.pdf"</f>
        <v>https://www.ocf.berkeley.edu/~pkmendez/envsci/projects/2011final/ChowI_2011_abstract.pdf</v>
      </c>
      <c r="J722" s="1" t="str">
        <f t="shared" si="12"/>
        <v>https://www.ocf.berkeley.edu/~pkmendez/envsci/projects/2011final/ChowI_2011_abstract.pdf</v>
      </c>
      <c r="K722" s="2" t="str" cm="1">
        <f t="array" ref="K722:O722">_xlfn.TAKE(TRIM(_xlfn.TEXTSPLIT(F722,{",",";"})),,5)</f>
        <v>Conservation biological control</v>
      </c>
      <c r="L722" s="2" t="str">
        <v>agriculture</v>
      </c>
      <c r="M722" s="2" t="str">
        <v>viticulture</v>
      </c>
      <c r="N722" s="2" t="str">
        <v>parasitoid</v>
      </c>
      <c r="O722" s="2" t="str">
        <v>natural enemy</v>
      </c>
      <c r="P722" s="2" t="s">
        <v>9</v>
      </c>
      <c r="Q722" s="2" t="s">
        <v>10</v>
      </c>
    </row>
    <row r="723" spans="1:17" x14ac:dyDescent="0.35">
      <c r="A723" s="2" t="s">
        <v>5884</v>
      </c>
      <c r="B723" s="2" t="s">
        <v>3621</v>
      </c>
      <c r="C723" s="2" t="s">
        <v>3622</v>
      </c>
      <c r="D723" s="2">
        <v>2011</v>
      </c>
      <c r="E723" s="2" t="s">
        <v>3623</v>
      </c>
      <c r="F723" s="2" t="s">
        <v>3624</v>
      </c>
      <c r="G723" s="2" t="s">
        <v>3625</v>
      </c>
      <c r="H723" s="2" t="s">
        <v>3580</v>
      </c>
      <c r="I723" s="2" t="str" cm="1">
        <f t="array" ref="I723">H723 &amp; _xlfn.REGEXEXTRACT(G723,"^[^_]+_\d{4}") &amp; ".pdf"</f>
        <v>https://www.ocf.berkeley.edu/~pkmendez/envsci/projects/2011final/ChungJ_2011.pdf</v>
      </c>
      <c r="J723" s="1" t="str">
        <f t="shared" si="12"/>
        <v>https://www.ocf.berkeley.edu/~pkmendez/envsci/projects/2011final/ChungJ_2011.pdf</v>
      </c>
      <c r="K723" s="2" t="str" cm="1">
        <f t="array" ref="K723:O723">_xlfn.TAKE(TRIM(_xlfn.TEXTSPLIT(F723,{",",";"})),,5)</f>
        <v>carapace size</v>
      </c>
      <c r="L723" s="2" t="str">
        <v>life history ecology</v>
      </c>
      <c r="M723" s="2" t="str">
        <v>European green crab</v>
      </c>
      <c r="N723" s="2" t="str">
        <v>invasive species</v>
      </c>
      <c r="O723" s="2" t="str">
        <v>habitat</v>
      </c>
      <c r="P723" s="2" t="s">
        <v>9</v>
      </c>
      <c r="Q723" s="2" t="s">
        <v>10</v>
      </c>
    </row>
    <row r="724" spans="1:17" x14ac:dyDescent="0.35">
      <c r="A724" s="2" t="s">
        <v>5884</v>
      </c>
      <c r="B724" s="2" t="s">
        <v>3626</v>
      </c>
      <c r="C724" s="2" t="s">
        <v>3627</v>
      </c>
      <c r="D724" s="2">
        <v>2011</v>
      </c>
      <c r="E724" s="2" t="s">
        <v>3628</v>
      </c>
      <c r="F724" s="2" t="s">
        <v>3629</v>
      </c>
      <c r="G724" s="2" t="s">
        <v>3630</v>
      </c>
      <c r="H724" s="2" t="s">
        <v>3580</v>
      </c>
      <c r="I724" s="2" t="str" cm="1">
        <f t="array" ref="I724">H724 &amp; _xlfn.REGEXEXTRACT(G724,"^[^_]+_\d{4}") &amp; ".pdf"</f>
        <v>https://www.ocf.berkeley.edu/~pkmendez/envsci/projects/2011final/ClevelandC_2011.pdf</v>
      </c>
      <c r="J724" s="1" t="str">
        <f t="shared" si="12"/>
        <v>https://www.ocf.berkeley.edu/~pkmendez/envsci/projects/2011final/ClevelandC_2011.pdf</v>
      </c>
      <c r="K724" s="2" t="str" cm="1">
        <f t="array" ref="K724:O724">_xlfn.TAKE(TRIM(_xlfn.TEXTSPLIT(F724,{",",";"})),,5)</f>
        <v>Black Rail</v>
      </c>
      <c r="L724" s="2" t="str">
        <v>Laterallus jamaicensis</v>
      </c>
      <c r="M724" s="2" t="str">
        <v>Virginia Rail</v>
      </c>
      <c r="N724" s="2" t="str">
        <v>Rallus limicola</v>
      </c>
      <c r="O724" s="2" t="str">
        <v>stable isotope</v>
      </c>
      <c r="P724" s="2" t="s">
        <v>9</v>
      </c>
      <c r="Q724" s="2" t="s">
        <v>10</v>
      </c>
    </row>
    <row r="725" spans="1:17" x14ac:dyDescent="0.35">
      <c r="A725" s="2" t="s">
        <v>5884</v>
      </c>
      <c r="B725" s="2" t="s">
        <v>3631</v>
      </c>
      <c r="C725" s="2" t="s">
        <v>3632</v>
      </c>
      <c r="D725" s="2">
        <v>2011</v>
      </c>
      <c r="E725" s="2" t="s">
        <v>3633</v>
      </c>
      <c r="F725" s="2" t="s">
        <v>3634</v>
      </c>
      <c r="G725" s="2" t="s">
        <v>3635</v>
      </c>
      <c r="H725" s="2" t="s">
        <v>3580</v>
      </c>
      <c r="I725" s="2" t="str" cm="1">
        <f t="array" ref="I725">H725 &amp; _xlfn.REGEXEXTRACT(G725,"^[^_]+_\d{4}") &amp; ".pdf"</f>
        <v>https://www.ocf.berkeley.edu/~pkmendez/envsci/projects/2011final/DileoJ_2011.pdf</v>
      </c>
      <c r="J725" s="1" t="str">
        <f t="shared" si="12"/>
        <v>https://www.ocf.berkeley.edu/~pkmendez/envsci/projects/2011final/DileoJ_2011.pdf</v>
      </c>
      <c r="K725" s="2" t="str" cm="1">
        <f t="array" ref="K725:O725">_xlfn.TAKE(TRIM(_xlfn.TEXTSPLIT(F725,{",",";"})),,5)</f>
        <v>Particulate Matter</v>
      </c>
      <c r="L725" s="2" t="str">
        <v>Asthma Hospitalizations</v>
      </c>
      <c r="M725" s="2" t="str">
        <v>Port of Oakland</v>
      </c>
      <c r="N725" s="2" t="str">
        <v>Bay Area</v>
      </c>
      <c r="O725" s="2" t="str">
        <v>Socioeconomic</v>
      </c>
      <c r="P725" s="2" t="s">
        <v>9</v>
      </c>
      <c r="Q725" s="2" t="s">
        <v>10</v>
      </c>
    </row>
    <row r="726" spans="1:17" x14ac:dyDescent="0.35">
      <c r="A726" s="2" t="s">
        <v>5884</v>
      </c>
      <c r="B726" s="2" t="s">
        <v>3636</v>
      </c>
      <c r="C726" s="2" t="s">
        <v>3637</v>
      </c>
      <c r="D726" s="2">
        <v>2011</v>
      </c>
      <c r="E726" s="2" t="s">
        <v>3638</v>
      </c>
      <c r="F726" s="2" t="s">
        <v>3639</v>
      </c>
      <c r="G726" s="2" t="s">
        <v>3640</v>
      </c>
      <c r="H726" s="2" t="s">
        <v>3580</v>
      </c>
      <c r="I726" s="2" t="str" cm="1">
        <f t="array" ref="I726">H726 &amp; _xlfn.REGEXEXTRACT(G726,"^[^_]+_\d{4}") &amp; ".pdf"</f>
        <v>https://www.ocf.berkeley.edu/~pkmendez/envsci/projects/2011final/FongE_2011.pdf</v>
      </c>
      <c r="J726" s="1" t="str">
        <f t="shared" si="12"/>
        <v>https://www.ocf.berkeley.edu/~pkmendez/envsci/projects/2011final/FongE_2011.pdf</v>
      </c>
      <c r="K726" s="2" t="str" cm="1">
        <f t="array" ref="K726:O726">_xlfn.TAKE(TRIM(_xlfn.TEXTSPLIT(F726,{",",";"})),,5)</f>
        <v>soil fertility</v>
      </c>
      <c r="L726" s="2" t="str">
        <v>carbon sequestration</v>
      </c>
      <c r="M726" s="2" t="str">
        <v>Lolium multiflorum</v>
      </c>
      <c r="N726" s="2" t="str">
        <v>agriculture</v>
      </c>
      <c r="O726" s="2" t="str">
        <v>climate change</v>
      </c>
      <c r="P726" s="2" t="s">
        <v>9</v>
      </c>
      <c r="Q726" s="2" t="s">
        <v>10</v>
      </c>
    </row>
    <row r="727" spans="1:17" x14ac:dyDescent="0.35">
      <c r="A727" s="2" t="s">
        <v>5884</v>
      </c>
      <c r="B727" s="2" t="s">
        <v>3641</v>
      </c>
      <c r="C727" s="2" t="s">
        <v>3642</v>
      </c>
      <c r="D727" s="2">
        <v>2011</v>
      </c>
      <c r="E727" s="2" t="s">
        <v>3643</v>
      </c>
      <c r="F727" s="2" t="s">
        <v>3644</v>
      </c>
      <c r="G727" s="2" t="s">
        <v>3645</v>
      </c>
      <c r="H727" s="2" t="s">
        <v>3580</v>
      </c>
      <c r="I727" s="2" t="str" cm="1">
        <f t="array" ref="I727">H727 &amp; _xlfn.REGEXEXTRACT(G727,"^[^_]+_\d{4}") &amp; ".pdf"</f>
        <v>https://www.ocf.berkeley.edu/~pkmendez/envsci/projects/2011final/GamboaM_2011.pdf</v>
      </c>
      <c r="J727" s="1" t="str">
        <f t="shared" si="12"/>
        <v>https://www.ocf.berkeley.edu/~pkmendez/envsci/projects/2011final/GamboaM_2011.pdf</v>
      </c>
      <c r="K727" s="2" t="str" cm="1">
        <f t="array" ref="K727:O727">_xlfn.TAKE(TRIM(_xlfn.TEXTSPLIT(F727,{",",";"})),,5)</f>
        <v>metapopulation</v>
      </c>
      <c r="L727" s="2" t="str">
        <v>conservation</v>
      </c>
      <c r="M727" s="2" t="str">
        <v>freshwater wetlands</v>
      </c>
      <c r="N727" s="2" t="str">
        <v>radiotelemetry</v>
      </c>
      <c r="O727" s="2" t="str">
        <v>threatened species</v>
      </c>
      <c r="P727" s="2" t="s">
        <v>9</v>
      </c>
      <c r="Q727" s="2" t="s">
        <v>10</v>
      </c>
    </row>
    <row r="728" spans="1:17" x14ac:dyDescent="0.35">
      <c r="A728" s="2" t="s">
        <v>5884</v>
      </c>
      <c r="B728" s="2" t="s">
        <v>3646</v>
      </c>
      <c r="C728" s="2" t="s">
        <v>3647</v>
      </c>
      <c r="D728" s="2">
        <v>2011</v>
      </c>
      <c r="E728" s="2" t="s">
        <v>3648</v>
      </c>
      <c r="F728" s="2" t="s">
        <v>3649</v>
      </c>
      <c r="G728" s="2" t="s">
        <v>3650</v>
      </c>
      <c r="H728" s="2" t="s">
        <v>3580</v>
      </c>
      <c r="I728" s="2" t="str" cm="1">
        <f t="array" ref="I728">H728 &amp; _xlfn.REGEXEXTRACT(G728,"^[^_]+_\d{4}") &amp; ".pdf"</f>
        <v>https://www.ocf.berkeley.edu/~pkmendez/envsci/projects/2011final/GaoJ_2011.pdf</v>
      </c>
      <c r="J728" s="1" t="str">
        <f t="shared" si="12"/>
        <v>https://www.ocf.berkeley.edu/~pkmendez/envsci/projects/2011final/GaoJ_2011.pdf</v>
      </c>
      <c r="K728" s="2" t="str" cm="1">
        <f t="array" ref="K728:O728">_xlfn.TAKE(TRIM(_xlfn.TEXTSPLIT(F728,{",",";"})),,5)</f>
        <v>distributed generation</v>
      </c>
      <c r="L728" s="2" t="str">
        <v>lagrange multipliers</v>
      </c>
      <c r="M728" s="2" t="str">
        <v>penalty method</v>
      </c>
      <c r="N728" s="2" t="str">
        <v>power smoothing</v>
      </c>
      <c r="O728" s="2" t="str">
        <v>variability reduction</v>
      </c>
      <c r="P728" s="2" t="s">
        <v>9</v>
      </c>
      <c r="Q728" s="2" t="s">
        <v>10</v>
      </c>
    </row>
    <row r="729" spans="1:17" x14ac:dyDescent="0.35">
      <c r="A729" s="2" t="s">
        <v>5884</v>
      </c>
      <c r="B729" s="2" t="s">
        <v>3651</v>
      </c>
      <c r="C729" s="2" t="s">
        <v>3652</v>
      </c>
      <c r="D729" s="2">
        <v>2011</v>
      </c>
      <c r="E729" s="2" t="s">
        <v>3653</v>
      </c>
      <c r="F729" s="2" t="s">
        <v>3654</v>
      </c>
      <c r="G729" s="2" t="s">
        <v>3655</v>
      </c>
      <c r="H729" s="2" t="s">
        <v>3580</v>
      </c>
      <c r="I729" s="2" t="str" cm="1">
        <f t="array" ref="I729">H729 &amp; _xlfn.REGEXEXTRACT(G729,"^[^_]+_\d{4}") &amp; ".pdf"</f>
        <v>https://www.ocf.berkeley.edu/~pkmendez/envsci/projects/2011final/GarciaN_2011.pdf</v>
      </c>
      <c r="J729" s="1" t="str">
        <f t="shared" si="12"/>
        <v>https://www.ocf.berkeley.edu/~pkmendez/envsci/projects/2011final/GarciaN_2011.pdf</v>
      </c>
      <c r="K729" s="2" t="str" cm="1">
        <f t="array" ref="K729:O729">_xlfn.TAKE(TRIM(_xlfn.TEXTSPLIT(F729,{",",";"})),,5)</f>
        <v>Perceived Consumer Effectiveness</v>
      </c>
      <c r="L729" s="2" t="str">
        <v>Pro-environmental behavior</v>
      </c>
      <c r="M729" s="2" t="str">
        <v>e-waste</v>
      </c>
      <c r="N729" s="2" t="str">
        <v>logistic regression</v>
      </c>
      <c r="O729" s="2" t="str">
        <v>environmental attitudes &amp; behaviors</v>
      </c>
      <c r="P729" s="2" t="s">
        <v>9</v>
      </c>
      <c r="Q729" s="2" t="s">
        <v>10</v>
      </c>
    </row>
    <row r="730" spans="1:17" x14ac:dyDescent="0.35">
      <c r="A730" s="2" t="s">
        <v>5884</v>
      </c>
      <c r="B730" s="2" t="s">
        <v>3656</v>
      </c>
      <c r="C730" s="2" t="s">
        <v>3657</v>
      </c>
      <c r="D730" s="2">
        <v>2011</v>
      </c>
      <c r="E730" s="2" t="s">
        <v>3658</v>
      </c>
      <c r="F730" s="2" t="s">
        <v>3659</v>
      </c>
      <c r="G730" s="2" t="s">
        <v>3660</v>
      </c>
      <c r="H730" s="2" t="s">
        <v>3580</v>
      </c>
      <c r="I730" s="2" t="str" cm="1">
        <f t="array" ref="I730">H730 &amp; _xlfn.REGEXEXTRACT(G730,"^[^_]+_\d{4}") &amp; ".pdf"</f>
        <v>https://www.ocf.berkeley.edu/~pkmendez/envsci/projects/2011final/GuanK_2011.pdf</v>
      </c>
      <c r="J730" s="1" t="str">
        <f t="shared" si="12"/>
        <v>https://www.ocf.berkeley.edu/~pkmendez/envsci/projects/2011final/GuanK_2011.pdf</v>
      </c>
      <c r="K730" s="2" t="str" cm="1">
        <f t="array" ref="K730:O730">_xlfn.TAKE(TRIM(_xlfn.TEXTSPLIT(F730,{",",";"})),,5)</f>
        <v>urban heat island</v>
      </c>
      <c r="L730" s="2" t="str">
        <v>pavement</v>
      </c>
      <c r="M730" s="2" t="str">
        <v>brick pavers</v>
      </c>
      <c r="N730" s="2" t="str">
        <v>urban microclimate</v>
      </c>
      <c r="O730" s="2" t="str">
        <v>ground study</v>
      </c>
      <c r="P730" s="2" t="s">
        <v>9</v>
      </c>
      <c r="Q730" s="2" t="s">
        <v>10</v>
      </c>
    </row>
    <row r="731" spans="1:17" x14ac:dyDescent="0.35">
      <c r="A731" s="2" t="s">
        <v>5884</v>
      </c>
      <c r="B731" s="2" t="s">
        <v>3661</v>
      </c>
      <c r="C731" s="2" t="s">
        <v>3662</v>
      </c>
      <c r="D731" s="2">
        <v>2011</v>
      </c>
      <c r="E731" s="2" t="s">
        <v>3802</v>
      </c>
      <c r="F731" s="2" t="s">
        <v>3663</v>
      </c>
      <c r="G731" s="2" t="s">
        <v>3664</v>
      </c>
      <c r="H731" s="2" t="s">
        <v>3580</v>
      </c>
      <c r="I731" s="2" t="str" cm="1">
        <f t="array" ref="I731">H731 &amp; _xlfn.REGEXEXTRACT(G731,"^[^_]+_\d{4}") &amp; ".pdf"</f>
        <v>https://www.ocf.berkeley.edu/~pkmendez/envsci/projects/2011final/IronsA_2011.pdf</v>
      </c>
      <c r="J731" s="1" t="str">
        <f t="shared" si="12"/>
        <v>https://www.ocf.berkeley.edu/~pkmendez/envsci/projects/2011final/IronsA_2011.pdf</v>
      </c>
      <c r="K731" s="2" t="str" cm="1">
        <f t="array" ref="K731:O731">_xlfn.TAKE(TRIM(_xlfn.TEXTSPLIT(F731,{",",";"})),,5)</f>
        <v>hydraulic lift</v>
      </c>
      <c r="L731" s="2" t="str">
        <v>stream ecology</v>
      </c>
      <c r="M731" s="2" t="str">
        <v>surface water</v>
      </c>
      <c r="N731" s="2" t="str">
        <v>groundwater</v>
      </c>
      <c r="O731" s="2" t="str">
        <v>percolation</v>
      </c>
      <c r="P731" s="2" t="s">
        <v>9</v>
      </c>
      <c r="Q731" s="2" t="s">
        <v>10</v>
      </c>
    </row>
    <row r="732" spans="1:17" x14ac:dyDescent="0.35">
      <c r="A732" s="2" t="s">
        <v>5884</v>
      </c>
      <c r="B732" s="2" t="s">
        <v>3665</v>
      </c>
      <c r="C732" s="2" t="s">
        <v>3666</v>
      </c>
      <c r="D732" s="2">
        <v>2011</v>
      </c>
      <c r="E732" s="2" t="s">
        <v>3667</v>
      </c>
      <c r="F732" s="2" t="s">
        <v>3668</v>
      </c>
      <c r="G732" s="2" t="s">
        <v>3669</v>
      </c>
      <c r="H732" s="2" t="s">
        <v>3580</v>
      </c>
      <c r="I732" s="2" t="str" cm="1">
        <f t="array" ref="I732">H732 &amp; _xlfn.REGEXEXTRACT(G732,"^[^_]+_\d{4}") &amp; ".pdf"</f>
        <v>https://www.ocf.berkeley.edu/~pkmendez/envsci/projects/2011final/JablonickyC_2011.pdf</v>
      </c>
      <c r="J732" s="1" t="str">
        <f t="shared" si="12"/>
        <v>https://www.ocf.berkeley.edu/~pkmendez/envsci/projects/2011final/JablonickyC_2011.pdf</v>
      </c>
      <c r="K732" s="2" t="str" cm="1">
        <f t="array" ref="K732:O732">_xlfn.TAKE(TRIM(_xlfn.TEXTSPLIT(F732,{",",";"})),,5)</f>
        <v>competition avoidance</v>
      </c>
      <c r="L732" s="2" t="str">
        <v>black-backed jackal</v>
      </c>
      <c r="M732" s="2" t="str">
        <v>lion</v>
      </c>
      <c r="N732" s="2" t="str">
        <v>niche partitioning</v>
      </c>
      <c r="O732" s="2" t="str">
        <v>spotted hyena</v>
      </c>
      <c r="P732" s="2" t="s">
        <v>9</v>
      </c>
      <c r="Q732" s="2" t="s">
        <v>10</v>
      </c>
    </row>
    <row r="733" spans="1:17" x14ac:dyDescent="0.35">
      <c r="A733" s="2" t="s">
        <v>5884</v>
      </c>
      <c r="B733" s="2" t="s">
        <v>3670</v>
      </c>
      <c r="C733" s="2" t="s">
        <v>3671</v>
      </c>
      <c r="D733" s="2">
        <v>2011</v>
      </c>
      <c r="E733" s="2" t="s">
        <v>3672</v>
      </c>
      <c r="F733" s="2" t="s">
        <v>3673</v>
      </c>
      <c r="G733" s="2" t="s">
        <v>3674</v>
      </c>
      <c r="H733" s="2" t="s">
        <v>3580</v>
      </c>
      <c r="I733" s="2" t="str" cm="1">
        <f t="array" ref="I733">H733 &amp; _xlfn.REGEXEXTRACT(G733,"^[^_]+_\d{4}") &amp; ".pdf"</f>
        <v>https://www.ocf.berkeley.edu/~pkmendez/envsci/projects/2011final/JarjourS_2011.pdf</v>
      </c>
      <c r="J733" s="1" t="str">
        <f t="shared" si="12"/>
        <v>https://www.ocf.berkeley.edu/~pkmendez/envsci/projects/2011final/JarjourS_2011.pdf</v>
      </c>
      <c r="K733" s="2" t="str" cm="1">
        <f t="array" ref="K733:O733">_xlfn.TAKE(TRIM(_xlfn.TEXTSPLIT(F733,{",",";"})),,5)</f>
        <v>bike commuting</v>
      </c>
      <c r="L733" s="2" t="str">
        <v>particulate matter</v>
      </c>
      <c r="M733" s="2" t="str">
        <v>black carbon</v>
      </c>
      <c r="N733" s="2" t="str">
        <v>carbon monoxide</v>
      </c>
      <c r="O733" s="2" t="str">
        <v>lung function</v>
      </c>
      <c r="P733" s="2" t="s">
        <v>9</v>
      </c>
      <c r="Q733" s="2" t="s">
        <v>10</v>
      </c>
    </row>
    <row r="734" spans="1:17" x14ac:dyDescent="0.35">
      <c r="A734" s="2" t="s">
        <v>5884</v>
      </c>
      <c r="B734" s="2" t="s">
        <v>3675</v>
      </c>
      <c r="C734" s="2" t="s">
        <v>3676</v>
      </c>
      <c r="D734" s="2">
        <v>2011</v>
      </c>
      <c r="E734" s="2" t="s">
        <v>3677</v>
      </c>
      <c r="F734" s="2" t="s">
        <v>3678</v>
      </c>
      <c r="G734" s="2" t="s">
        <v>3679</v>
      </c>
      <c r="H734" s="2" t="s">
        <v>3580</v>
      </c>
      <c r="I734" s="2" t="str" cm="1">
        <f t="array" ref="I734">H734 &amp; _xlfn.REGEXEXTRACT(G734,"^[^_]+_\d{4}") &amp; ".pdf"</f>
        <v>https://www.ocf.berkeley.edu/~pkmendez/envsci/projects/2011final/KatzR_2011.pdf</v>
      </c>
      <c r="J734" s="1" t="str">
        <f t="shared" si="12"/>
        <v>https://www.ocf.berkeley.edu/~pkmendez/envsci/projects/2011final/KatzR_2011.pdf</v>
      </c>
      <c r="K734" s="2" t="str" cm="1">
        <f t="array" ref="K734:O734">_xlfn.TAKE(TRIM(_xlfn.TEXTSPLIT(F734,{",",";"})),,5)</f>
        <v>pollinators</v>
      </c>
      <c r="L734" s="2" t="str">
        <v>colony collapse disorder</v>
      </c>
      <c r="M734" s="2" t="str">
        <v>Farm Bill</v>
      </c>
      <c r="N734" s="2" t="str">
        <v>narrative policy analysis</v>
      </c>
      <c r="O734" s="2" t="str">
        <v>habitat conservation</v>
      </c>
      <c r="P734" s="2" t="s">
        <v>9</v>
      </c>
      <c r="Q734" s="2" t="s">
        <v>10</v>
      </c>
    </row>
    <row r="735" spans="1:17" x14ac:dyDescent="0.35">
      <c r="A735" s="2" t="s">
        <v>5884</v>
      </c>
      <c r="B735" s="2" t="s">
        <v>3680</v>
      </c>
      <c r="C735" s="2" t="s">
        <v>3681</v>
      </c>
      <c r="D735" s="2">
        <v>2011</v>
      </c>
      <c r="E735" s="2" t="s">
        <v>3682</v>
      </c>
      <c r="F735" s="2" t="s">
        <v>3683</v>
      </c>
      <c r="G735" s="2" t="s">
        <v>3684</v>
      </c>
      <c r="H735" s="2" t="s">
        <v>3580</v>
      </c>
      <c r="I735" s="2" t="str" cm="1">
        <f t="array" ref="I735">H735 &amp; _xlfn.REGEXEXTRACT(G735,"^[^_]+_\d{4}") &amp; ".pdf"</f>
        <v>https://www.ocf.berkeley.edu/~pkmendez/envsci/projects/2011final/LaleianA_2011.pdf</v>
      </c>
      <c r="J735" s="1" t="str">
        <f t="shared" si="12"/>
        <v>https://www.ocf.berkeley.edu/~pkmendez/envsci/projects/2011final/LaleianA_2011.pdf</v>
      </c>
      <c r="K735" s="2" t="str" cm="1">
        <f t="array" ref="K735:O735">_xlfn.TAKE(TRIM(_xlfn.TEXTSPLIT(F735,{",",";"})),,5)</f>
        <v>Bioremediation</v>
      </c>
      <c r="L735" s="2" t="str">
        <v>bioaccumulation</v>
      </c>
      <c r="M735" s="2" t="str">
        <v>Brassica juncea</v>
      </c>
      <c r="N735" s="2" t="str">
        <v>Helianthus annuus</v>
      </c>
      <c r="O735" s="2" t="str">
        <v>San Francisco Bay</v>
      </c>
      <c r="P735" s="2" t="s">
        <v>9</v>
      </c>
      <c r="Q735" s="2" t="s">
        <v>10</v>
      </c>
    </row>
    <row r="736" spans="1:17" x14ac:dyDescent="0.35">
      <c r="A736" s="2" t="s">
        <v>5884</v>
      </c>
      <c r="B736" s="2" t="s">
        <v>3685</v>
      </c>
      <c r="C736" s="2" t="s">
        <v>3686</v>
      </c>
      <c r="D736" s="2">
        <v>2011</v>
      </c>
      <c r="E736" s="2" t="s">
        <v>3687</v>
      </c>
      <c r="F736" s="2" t="s">
        <v>3688</v>
      </c>
      <c r="G736" s="2" t="s">
        <v>3689</v>
      </c>
      <c r="H736" s="2" t="s">
        <v>3580</v>
      </c>
      <c r="I736" s="2" t="str" cm="1">
        <f t="array" ref="I736">H736 &amp; _xlfn.REGEXEXTRACT(G736,"^[^_]+_\d{4}") &amp; ".pdf"</f>
        <v>https://www.ocf.berkeley.edu/~pkmendez/envsci/projects/2011final/LamJ_2011.pdf</v>
      </c>
      <c r="J736" s="1" t="str">
        <f t="shared" si="12"/>
        <v>https://www.ocf.berkeley.edu/~pkmendez/envsci/projects/2011final/LamJ_2011.pdf</v>
      </c>
      <c r="K736" s="2" t="str" cm="1">
        <f t="array" ref="K736:O736">_xlfn.TAKE(TRIM(_xlfn.TEXTSPLIT(F736,{",",";"})),,5)</f>
        <v>Vietnam</v>
      </c>
      <c r="L736" s="2" t="str">
        <v>herbal medicines</v>
      </c>
      <c r="M736" s="2" t="str">
        <v>western medicines</v>
      </c>
      <c r="N736" s="2" t="str">
        <v>use practices</v>
      </c>
      <c r="O736" s="2" t="str">
        <v>acculturation</v>
      </c>
      <c r="P736" s="2" t="s">
        <v>9</v>
      </c>
      <c r="Q736" s="2" t="s">
        <v>10</v>
      </c>
    </row>
    <row r="737" spans="1:17" x14ac:dyDescent="0.35">
      <c r="A737" s="2" t="s">
        <v>5884</v>
      </c>
      <c r="B737" s="2" t="s">
        <v>3690</v>
      </c>
      <c r="C737" s="2" t="s">
        <v>3691</v>
      </c>
      <c r="D737" s="2">
        <v>2011</v>
      </c>
      <c r="E737" s="2" t="s">
        <v>3692</v>
      </c>
      <c r="F737" s="2" t="s">
        <v>3693</v>
      </c>
      <c r="G737" s="2" t="s">
        <v>3694</v>
      </c>
      <c r="H737" s="2" t="s">
        <v>3580</v>
      </c>
      <c r="I737" s="2" t="str" cm="1">
        <f t="array" ref="I737">H737 &amp; _xlfn.REGEXEXTRACT(G737,"^[^_]+_\d{4}") &amp; ".pdf"</f>
        <v>https://www.ocf.berkeley.edu/~pkmendez/envsci/projects/2011final/LarsenK_2011.pdf</v>
      </c>
      <c r="J737" s="1" t="str">
        <f t="shared" si="12"/>
        <v>https://www.ocf.berkeley.edu/~pkmendez/envsci/projects/2011final/LarsenK_2011.pdf</v>
      </c>
      <c r="K737" s="2" t="str" cm="1">
        <f t="array" ref="K737:O737">_xlfn.TAKE(TRIM(_xlfn.TEXTSPLIT(F737,{",",";"})),,5)</f>
        <v>space heating</v>
      </c>
      <c r="L737" s="2" t="str">
        <v>air conditioning</v>
      </c>
      <c r="M737" s="2" t="str">
        <v>building age</v>
      </c>
      <c r="N737" s="2" t="str">
        <v>degree day</v>
      </c>
      <c r="O737" s="2" t="str">
        <v>backwards stepwise regression</v>
      </c>
      <c r="P737" s="2" t="s">
        <v>9</v>
      </c>
      <c r="Q737" s="2" t="s">
        <v>10</v>
      </c>
    </row>
    <row r="738" spans="1:17" x14ac:dyDescent="0.35">
      <c r="A738" s="2" t="s">
        <v>5884</v>
      </c>
      <c r="B738" s="2" t="s">
        <v>3695</v>
      </c>
      <c r="C738" s="2" t="s">
        <v>3696</v>
      </c>
      <c r="D738" s="2">
        <v>2011</v>
      </c>
      <c r="E738" s="2" t="s">
        <v>3697</v>
      </c>
      <c r="F738" s="2" t="s">
        <v>3698</v>
      </c>
      <c r="G738" s="2" t="s">
        <v>3699</v>
      </c>
      <c r="H738" s="2" t="s">
        <v>3580</v>
      </c>
      <c r="I738" s="2" t="str" cm="1">
        <f t="array" ref="I738">H738 &amp; _xlfn.REGEXEXTRACT(G738,"^[^_]+_\d{4}") &amp; ".pdf"</f>
        <v>https://www.ocf.berkeley.edu/~pkmendez/envsci/projects/2011final/LoeraA_2011.pdf</v>
      </c>
      <c r="J738" s="1" t="str">
        <f t="shared" si="12"/>
        <v>https://www.ocf.berkeley.edu/~pkmendez/envsci/projects/2011final/LoeraA_2011.pdf</v>
      </c>
      <c r="K738" s="2" t="str" cm="1">
        <f t="array" ref="K738:O738">_xlfn.TAKE(TRIM(_xlfn.TEXTSPLIT(F738,{",",";"})),,5)</f>
        <v>Energy efficiency</v>
      </c>
      <c r="L738" s="2" t="str">
        <v>low-income</v>
      </c>
      <c r="M738" s="2" t="str">
        <v>rebate</v>
      </c>
      <c r="N738" s="2" t="str">
        <v>access</v>
      </c>
      <c r="O738" s="2" t="str">
        <v>Fruitvale</v>
      </c>
      <c r="P738" s="2" t="s">
        <v>9</v>
      </c>
      <c r="Q738" s="2" t="s">
        <v>10</v>
      </c>
    </row>
    <row r="739" spans="1:17" x14ac:dyDescent="0.35">
      <c r="A739" s="2" t="s">
        <v>5884</v>
      </c>
      <c r="B739" s="2" t="s">
        <v>3700</v>
      </c>
      <c r="C739" s="2" t="s">
        <v>3701</v>
      </c>
      <c r="D739" s="2">
        <v>2011</v>
      </c>
      <c r="E739" s="2" t="s">
        <v>3702</v>
      </c>
      <c r="F739" s="2" t="s">
        <v>3703</v>
      </c>
      <c r="G739" s="2" t="s">
        <v>3704</v>
      </c>
      <c r="H739" s="2" t="s">
        <v>3580</v>
      </c>
      <c r="I739" s="2" t="str" cm="1">
        <f t="array" ref="I739">H739 &amp; _xlfn.REGEXEXTRACT(G739,"^[^_]+_\d{4}") &amp; ".pdf"</f>
        <v>https://www.ocf.berkeley.edu/~pkmendez/envsci/projects/2011final/LopezJ_2011.pdf</v>
      </c>
      <c r="J739" s="1" t="str">
        <f t="shared" si="12"/>
        <v>https://www.ocf.berkeley.edu/~pkmendez/envsci/projects/2011final/LopezJ_2011.pdf</v>
      </c>
      <c r="K739" s="2" t="str" cm="1">
        <f t="array" ref="K739:O739">_xlfn.TAKE(TRIM(_xlfn.TEXTSPLIT(F739,{",",";"})),,5)</f>
        <v>non-profit organizations</v>
      </c>
      <c r="L739" s="2" t="str">
        <v>participatory action</v>
      </c>
      <c r="M739" s="2" t="str">
        <v>life experiences</v>
      </c>
      <c r="N739" s="2" t="str">
        <v>motives</v>
      </c>
      <c r="O739" s="2" t="str">
        <v>interviews</v>
      </c>
      <c r="P739" s="2" t="s">
        <v>9</v>
      </c>
      <c r="Q739" s="2" t="s">
        <v>10</v>
      </c>
    </row>
    <row r="740" spans="1:17" x14ac:dyDescent="0.35">
      <c r="A740" s="2" t="s">
        <v>5884</v>
      </c>
      <c r="B740" s="2" t="s">
        <v>3705</v>
      </c>
      <c r="C740" s="2" t="s">
        <v>3706</v>
      </c>
      <c r="D740" s="2">
        <v>2011</v>
      </c>
      <c r="E740" s="2" t="s">
        <v>3803</v>
      </c>
      <c r="F740" s="2" t="s">
        <v>3707</v>
      </c>
      <c r="G740" s="2" t="s">
        <v>3708</v>
      </c>
      <c r="H740" s="2" t="s">
        <v>3580</v>
      </c>
      <c r="I740" s="2" t="str" cm="1">
        <f t="array" ref="I740">H740 &amp; _xlfn.REGEXEXTRACT(G740,"^[^_]+_\d{4}") &amp; ".pdf"</f>
        <v>https://www.ocf.berkeley.edu/~pkmendez/envsci/projects/2011final/MarksB_2011.pdf</v>
      </c>
      <c r="J740" s="1" t="str">
        <f t="shared" si="12"/>
        <v>https://www.ocf.berkeley.edu/~pkmendez/envsci/projects/2011final/MarksB_2011.pdf</v>
      </c>
      <c r="K740" s="2" t="str" cm="1">
        <f t="array" ref="K740:O740">_xlfn.TAKE(TRIM(_xlfn.TEXTSPLIT(F740,{",",";"})),,5)</f>
        <v>California tiger salamander</v>
      </c>
      <c r="L740" s="2" t="str">
        <v>macroinvertebrate</v>
      </c>
      <c r="M740" s="2" t="str">
        <v>vernal pool</v>
      </c>
      <c r="N740" s="2" t="str">
        <v>amphibian</v>
      </c>
      <c r="O740" s="2" t="str">
        <v>wetland</v>
      </c>
      <c r="P740" s="2" t="s">
        <v>9</v>
      </c>
      <c r="Q740" s="2" t="s">
        <v>10</v>
      </c>
    </row>
    <row r="741" spans="1:17" x14ac:dyDescent="0.35">
      <c r="A741" s="2" t="s">
        <v>5884</v>
      </c>
      <c r="B741" s="2" t="s">
        <v>3709</v>
      </c>
      <c r="C741" s="2" t="s">
        <v>3710</v>
      </c>
      <c r="D741" s="2">
        <v>2011</v>
      </c>
      <c r="E741" s="2" t="s">
        <v>3711</v>
      </c>
      <c r="F741" s="2" t="s">
        <v>3712</v>
      </c>
      <c r="G741" s="2" t="s">
        <v>3713</v>
      </c>
      <c r="H741" s="2" t="s">
        <v>3580</v>
      </c>
      <c r="I741" s="2" t="str" cm="1">
        <f t="array" ref="I741">H741 &amp; _xlfn.REGEXEXTRACT(G741,"^[^_]+_\d{4}") &amp; ".pdf"</f>
        <v>https://www.ocf.berkeley.edu/~pkmendez/envsci/projects/2011final/McCarterR_2011.pdf</v>
      </c>
      <c r="J741" s="1" t="str">
        <f t="shared" si="12"/>
        <v>https://www.ocf.berkeley.edu/~pkmendez/envsci/projects/2011final/McCarterR_2011.pdf</v>
      </c>
      <c r="K741" s="2" t="str" cm="1">
        <f t="array" ref="K741:O741">_xlfn.TAKE(TRIM(_xlfn.TEXTSPLIT(F741,{",",";"})),,5)</f>
        <v>payback period</v>
      </c>
      <c r="L741" s="2" t="str">
        <v>collector area</v>
      </c>
      <c r="M741" s="2" t="str">
        <v>hot water use</v>
      </c>
      <c r="N741" s="2" t="str">
        <v>residential hot water demand</v>
      </c>
      <c r="O741" s="2" t="str">
        <v>natural gas</v>
      </c>
      <c r="P741" s="2" t="s">
        <v>9</v>
      </c>
      <c r="Q741" s="2" t="s">
        <v>10</v>
      </c>
    </row>
    <row r="742" spans="1:17" x14ac:dyDescent="0.35">
      <c r="A742" s="2" t="s">
        <v>5884</v>
      </c>
      <c r="B742" s="2" t="s">
        <v>3714</v>
      </c>
      <c r="C742" s="2" t="s">
        <v>3715</v>
      </c>
      <c r="D742" s="2">
        <v>2011</v>
      </c>
      <c r="E742" s="2" t="s">
        <v>3716</v>
      </c>
      <c r="F742" s="2" t="s">
        <v>3717</v>
      </c>
      <c r="G742" s="2" t="s">
        <v>3718</v>
      </c>
      <c r="H742" s="2" t="s">
        <v>3580</v>
      </c>
      <c r="I742" s="2" t="str" cm="1">
        <f t="array" ref="I742">H742 &amp; _xlfn.REGEXEXTRACT(G742,"^[^_]+_\d{4}") &amp; ".pdf"</f>
        <v>https://www.ocf.berkeley.edu/~pkmendez/envsci/projects/2011final/MontesM_2011.pdf</v>
      </c>
      <c r="J742" s="1" t="str">
        <f t="shared" si="12"/>
        <v>https://www.ocf.berkeley.edu/~pkmendez/envsci/projects/2011final/MontesM_2011.pdf</v>
      </c>
      <c r="K742" s="2" t="str" cm="1">
        <f t="array" ref="K742:O742">_xlfn.TAKE(TRIM(_xlfn.TEXTSPLIT(F742,{",",";"})),,5)</f>
        <v>epigenetics</v>
      </c>
      <c r="L742" s="2" t="str">
        <v>ATX2</v>
      </c>
      <c r="M742" s="2" t="str">
        <v>HAC1</v>
      </c>
      <c r="N742" s="2" t="str">
        <v>BiFC</v>
      </c>
      <c r="O742" s="2" t="str">
        <v>shoot apical meristem</v>
      </c>
      <c r="P742" s="2" t="s">
        <v>9</v>
      </c>
      <c r="Q742" s="2" t="s">
        <v>10</v>
      </c>
    </row>
    <row r="743" spans="1:17" x14ac:dyDescent="0.35">
      <c r="A743" s="2" t="s">
        <v>5884</v>
      </c>
      <c r="B743" s="2" t="s">
        <v>3719</v>
      </c>
      <c r="C743" s="2" t="s">
        <v>3720</v>
      </c>
      <c r="D743" s="2">
        <v>2011</v>
      </c>
      <c r="E743" s="2" t="s">
        <v>3721</v>
      </c>
      <c r="F743" s="2" t="s">
        <v>3722</v>
      </c>
      <c r="G743" s="2" t="s">
        <v>3723</v>
      </c>
      <c r="H743" s="2" t="s">
        <v>3580</v>
      </c>
      <c r="I743" s="2" t="str" cm="1">
        <f t="array" ref="I743">H743 &amp; _xlfn.REGEXEXTRACT(G743,"^[^_]+_\d{4}") &amp; ".pdf"</f>
        <v>https://www.ocf.berkeley.edu/~pkmendez/envsci/projects/2011final/MosquedaC_2011.pdf</v>
      </c>
      <c r="J743" s="1" t="str">
        <f t="shared" si="12"/>
        <v>https://www.ocf.berkeley.edu/~pkmendez/envsci/projects/2011final/MosquedaC_2011.pdf</v>
      </c>
      <c r="K743" s="2" t="str" cm="1">
        <f t="array" ref="K743:O743">_xlfn.TAKE(TRIM(_xlfn.TEXTSPLIT(F743,{",",";"})),,5)</f>
        <v>Mediterranean climate</v>
      </c>
      <c r="L743" s="2" t="str">
        <v>fish ecosystem</v>
      </c>
      <c r="M743" s="2" t="str">
        <v>stream ecology</v>
      </c>
      <c r="N743" s="2" t="str">
        <v>summer drought</v>
      </c>
      <c r="O743" s="2" t="str">
        <v>drying streams</v>
      </c>
      <c r="P743" s="2" t="s">
        <v>9</v>
      </c>
      <c r="Q743" s="2" t="s">
        <v>10</v>
      </c>
    </row>
    <row r="744" spans="1:17" x14ac:dyDescent="0.35">
      <c r="A744" s="2" t="s">
        <v>5884</v>
      </c>
      <c r="B744" s="2" t="s">
        <v>3724</v>
      </c>
      <c r="C744" s="2" t="s">
        <v>3725</v>
      </c>
      <c r="D744" s="2">
        <v>2011</v>
      </c>
      <c r="E744" s="2" t="s">
        <v>3726</v>
      </c>
      <c r="F744" s="2" t="s">
        <v>3727</v>
      </c>
      <c r="G744" s="2" t="s">
        <v>3728</v>
      </c>
      <c r="H744" s="2" t="s">
        <v>3580</v>
      </c>
      <c r="I744" s="2" t="str" cm="1">
        <f t="array" ref="I744">H744 &amp; _xlfn.REGEXEXTRACT(G744,"^[^_]+_\d{4}") &amp; ".pdf"</f>
        <v>https://www.ocf.berkeley.edu/~pkmendez/envsci/projects/2011final/Panlasigui_2011.pdf</v>
      </c>
      <c r="J744" s="1" t="str">
        <f t="shared" si="12"/>
        <v>https://www.ocf.berkeley.edu/~pkmendez/envsci/projects/2011final/Panlasigui_2011.pdf</v>
      </c>
      <c r="K744" s="2" t="str" cm="1">
        <f t="array" ref="K744:O744">_xlfn.TAKE(TRIM(_xlfn.TEXTSPLIT(F744,{",",";"})),,5)</f>
        <v>exotic species</v>
      </c>
      <c r="L744" s="2" t="str">
        <v>indicator species</v>
      </c>
      <c r="M744" s="2" t="str">
        <v>habitat selection</v>
      </c>
      <c r="N744" s="2" t="str">
        <v>water content</v>
      </c>
      <c r="O744" s="2" t="str">
        <v>leaf litter</v>
      </c>
      <c r="P744" s="2" t="s">
        <v>9</v>
      </c>
      <c r="Q744" s="2" t="s">
        <v>10</v>
      </c>
    </row>
    <row r="745" spans="1:17" x14ac:dyDescent="0.35">
      <c r="A745" s="2" t="s">
        <v>5884</v>
      </c>
      <c r="B745" s="2" t="s">
        <v>3729</v>
      </c>
      <c r="C745" s="2" t="s">
        <v>3730</v>
      </c>
      <c r="D745" s="2">
        <v>2011</v>
      </c>
      <c r="E745" s="2" t="s">
        <v>3731</v>
      </c>
      <c r="F745" s="2" t="s">
        <v>3732</v>
      </c>
      <c r="G745" s="2" t="s">
        <v>3733</v>
      </c>
      <c r="H745" s="2" t="s">
        <v>3580</v>
      </c>
      <c r="I745" s="2" t="str" cm="1">
        <f t="array" ref="I745">H745 &amp; _xlfn.REGEXEXTRACT(G745,"^[^_]+_\d{4}") &amp; ".pdf"</f>
        <v>https://www.ocf.berkeley.edu/~pkmendez/envsci/projects/2011final/PortierE_2011.pdf</v>
      </c>
      <c r="J745" s="1" t="str">
        <f t="shared" si="12"/>
        <v>https://www.ocf.berkeley.edu/~pkmendez/envsci/projects/2011final/PortierE_2011.pdf</v>
      </c>
      <c r="K745" s="2" t="str" cm="1">
        <f t="array" ref="K745:O745">_xlfn.TAKE(TRIM(_xlfn.TEXTSPLIT(F745,{",",";"})),,5)</f>
        <v>Nutrient cycling</v>
      </c>
      <c r="L745" s="2" t="str">
        <v>Lepidium latifolium</v>
      </c>
      <c r="M745" s="2" t="str">
        <v>15N pool dilution</v>
      </c>
      <c r="N745" s="2" t="str">
        <v>Bay Delta</v>
      </c>
      <c r="O745" s="2" t="str">
        <v>plant invasion</v>
      </c>
      <c r="P745" s="2" t="s">
        <v>9</v>
      </c>
      <c r="Q745" s="2" t="s">
        <v>10</v>
      </c>
    </row>
    <row r="746" spans="1:17" x14ac:dyDescent="0.35">
      <c r="A746" s="2" t="s">
        <v>5884</v>
      </c>
      <c r="B746" s="2" t="s">
        <v>3734</v>
      </c>
      <c r="C746" s="2" t="s">
        <v>3735</v>
      </c>
      <c r="D746" s="2">
        <v>2011</v>
      </c>
      <c r="E746" s="2" t="s">
        <v>3736</v>
      </c>
      <c r="F746" s="2" t="s">
        <v>3737</v>
      </c>
      <c r="G746" s="2" t="s">
        <v>3738</v>
      </c>
      <c r="H746" s="2" t="s">
        <v>3580</v>
      </c>
      <c r="I746" s="2" t="str" cm="1">
        <f t="array" ref="I746">H746 &amp; _xlfn.REGEXEXTRACT(G746,"^[^_]+_\d{4}") &amp; ".pdf"</f>
        <v>https://www.ocf.berkeley.edu/~pkmendez/envsci/projects/2011final/SanvichithJ_2011.pdf</v>
      </c>
      <c r="J746" s="1" t="str">
        <f t="shared" si="12"/>
        <v>https://www.ocf.berkeley.edu/~pkmendez/envsci/projects/2011final/SanvichithJ_2011.pdf</v>
      </c>
      <c r="K746" s="2" t="str" cm="1">
        <f t="array" ref="K746:N746">_xlfn.TAKE(TRIM(_xlfn.TEXTSPLIT(F746,{",",";"})),,5)</f>
        <v>environmental identity</v>
      </c>
      <c r="L746" s="2" t="str">
        <v>ethnic identification</v>
      </c>
      <c r="M746" s="2" t="str">
        <v>pro-environmental behavior</v>
      </c>
      <c r="N746" s="2" t="str">
        <v>environmental attitudes</v>
      </c>
      <c r="P746" s="2" t="s">
        <v>9</v>
      </c>
      <c r="Q746" s="2" t="s">
        <v>10</v>
      </c>
    </row>
    <row r="747" spans="1:17" x14ac:dyDescent="0.35">
      <c r="A747" s="2" t="s">
        <v>5884</v>
      </c>
      <c r="B747" s="2" t="s">
        <v>3739</v>
      </c>
      <c r="C747" s="2" t="s">
        <v>3740</v>
      </c>
      <c r="D747" s="2">
        <v>2011</v>
      </c>
      <c r="E747" s="2" t="s">
        <v>3741</v>
      </c>
      <c r="F747" s="2" t="s">
        <v>3742</v>
      </c>
      <c r="G747" s="2" t="s">
        <v>3743</v>
      </c>
      <c r="H747" s="2" t="s">
        <v>3580</v>
      </c>
      <c r="I747" s="2" t="str" cm="1">
        <f t="array" ref="I747">H747 &amp; _xlfn.REGEXEXTRACT(G747,"^[^_]+_\d{4}") &amp; ".pdf"</f>
        <v>https://www.ocf.berkeley.edu/~pkmendez/envsci/projects/2011final/ShenJ_2011.pdf</v>
      </c>
      <c r="J747" s="1" t="str">
        <f t="shared" si="12"/>
        <v>https://www.ocf.berkeley.edu/~pkmendez/envsci/projects/2011final/ShenJ_2011.pdf</v>
      </c>
      <c r="K747" s="2" t="str" cm="1">
        <f t="array" ref="K747:O747">_xlfn.TAKE(TRIM(_xlfn.TEXTSPLIT(F747,{",",";"})),,5)</f>
        <v>composting</v>
      </c>
      <c r="L747" s="2" t="str">
        <v>transfer stations</v>
      </c>
      <c r="M747" s="2" t="str">
        <v>life cycle assessment</v>
      </c>
      <c r="N747" s="2" t="str">
        <v>bioplastics</v>
      </c>
      <c r="O747" s="2" t="str">
        <v>carbon emissions</v>
      </c>
      <c r="P747" s="2" t="s">
        <v>9</v>
      </c>
      <c r="Q747" s="2" t="s">
        <v>10</v>
      </c>
    </row>
    <row r="748" spans="1:17" x14ac:dyDescent="0.35">
      <c r="A748" s="2" t="s">
        <v>5884</v>
      </c>
      <c r="B748" s="2" t="s">
        <v>3744</v>
      </c>
      <c r="C748" s="2" t="s">
        <v>3745</v>
      </c>
      <c r="D748" s="2">
        <v>2011</v>
      </c>
      <c r="E748" s="2" t="s">
        <v>3746</v>
      </c>
      <c r="F748" s="2" t="s">
        <v>3747</v>
      </c>
      <c r="G748" s="2" t="s">
        <v>3748</v>
      </c>
      <c r="H748" s="2" t="s">
        <v>3580</v>
      </c>
      <c r="I748" s="2" t="str" cm="1">
        <f t="array" ref="I748">H748 &amp; _xlfn.REGEXEXTRACT(G748,"^[^_]+_\d{4}") &amp; ".pdf"</f>
        <v>https://www.ocf.berkeley.edu/~pkmendez/envsci/projects/2011final/StefanovichL_2011.pdf</v>
      </c>
      <c r="J748" s="1" t="str">
        <f t="shared" si="12"/>
        <v>https://www.ocf.berkeley.edu/~pkmendez/envsci/projects/2011final/StefanovichL_2011.pdf</v>
      </c>
      <c r="K748" s="2" t="str" cm="1">
        <f t="array" ref="K748:O748">_xlfn.TAKE(TRIM(_xlfn.TEXTSPLIT(F748,{",",";"})),,5)</f>
        <v>pollination</v>
      </c>
      <c r="L748" s="2" t="str">
        <v>agriculture</v>
      </c>
      <c r="M748" s="2" t="str">
        <v>bumblebees</v>
      </c>
      <c r="N748" s="2" t="str">
        <v>native species</v>
      </c>
      <c r="O748" s="2" t="str">
        <v>ecosystem services</v>
      </c>
      <c r="P748" s="2" t="s">
        <v>9</v>
      </c>
      <c r="Q748" s="2" t="s">
        <v>10</v>
      </c>
    </row>
    <row r="749" spans="1:17" x14ac:dyDescent="0.35">
      <c r="A749" s="2" t="s">
        <v>5884</v>
      </c>
      <c r="B749" s="2" t="s">
        <v>3749</v>
      </c>
      <c r="C749" s="2" t="s">
        <v>3750</v>
      </c>
      <c r="D749" s="2">
        <v>2011</v>
      </c>
      <c r="E749" s="2" t="s">
        <v>3751</v>
      </c>
      <c r="F749" s="2" t="s">
        <v>3752</v>
      </c>
      <c r="G749" s="2" t="s">
        <v>3753</v>
      </c>
      <c r="H749" s="2" t="s">
        <v>3580</v>
      </c>
      <c r="I749" s="2" t="str" cm="1">
        <f t="array" ref="I749">H749 &amp; _xlfn.REGEXEXTRACT(G749,"^[^_]+_\d{4}") &amp; ".pdf"</f>
        <v>https://www.ocf.berkeley.edu/~pkmendez/envsci/projects/2011final/SuzukiN_2011.pdf</v>
      </c>
      <c r="J749" s="1" t="str">
        <f t="shared" si="12"/>
        <v>https://www.ocf.berkeley.edu/~pkmendez/envsci/projects/2011final/SuzukiN_2011.pdf</v>
      </c>
      <c r="K749" s="2" t="str" cm="1">
        <f t="array" ref="K749:O749">_xlfn.TAKE(TRIM(_xlfn.TEXTSPLIT(F749,{",",";"})),,5)</f>
        <v>aquifer storage and recovery</v>
      </c>
      <c r="L749" s="2" t="str">
        <v>kinetics</v>
      </c>
      <c r="M749" s="2" t="str">
        <v>batch experiments</v>
      </c>
      <c r="N749" s="2" t="str">
        <v>isotherms</v>
      </c>
      <c r="O749" s="2" t="str">
        <v>rate orders</v>
      </c>
      <c r="P749" s="2" t="s">
        <v>9</v>
      </c>
      <c r="Q749" s="2" t="s">
        <v>10</v>
      </c>
    </row>
    <row r="750" spans="1:17" x14ac:dyDescent="0.35">
      <c r="A750" s="2" t="s">
        <v>5884</v>
      </c>
      <c r="B750" s="2" t="s">
        <v>3754</v>
      </c>
      <c r="C750" s="2" t="s">
        <v>3755</v>
      </c>
      <c r="D750" s="2">
        <v>2011</v>
      </c>
      <c r="E750" s="2" t="s">
        <v>3756</v>
      </c>
      <c r="F750" s="2" t="s">
        <v>3757</v>
      </c>
      <c r="G750" s="2" t="s">
        <v>3758</v>
      </c>
      <c r="H750" s="2" t="s">
        <v>3580</v>
      </c>
      <c r="I750" s="2" t="str" cm="1">
        <f t="array" ref="I750">H750 &amp; _xlfn.REGEXEXTRACT(G750,"^[^_]+_\d{4}") &amp; ".pdf"</f>
        <v>https://www.ocf.berkeley.edu/~pkmendez/envsci/projects/2011final/SzutuD_2011.pdf</v>
      </c>
      <c r="J750" s="1" t="str">
        <f t="shared" si="12"/>
        <v>https://www.ocf.berkeley.edu/~pkmendez/envsci/projects/2011final/SzutuD_2011.pdf</v>
      </c>
      <c r="K750" s="2" t="str" cm="1">
        <f t="array" ref="K750:O750">_xlfn.TAKE(TRIM(_xlfn.TEXTSPLIT(F750,{",",";"})),,5)</f>
        <v>chlorophyll a</v>
      </c>
      <c r="L750" s="2" t="str">
        <v>ocean-estuary coupling</v>
      </c>
      <c r="M750" s="2" t="str">
        <v>Pacific Decadal Oscillation (PDO)</v>
      </c>
      <c r="N750" s="2" t="str">
        <v>gravitational circulation</v>
      </c>
      <c r="O750" s="2" t="str">
        <v>longitudinal study</v>
      </c>
      <c r="P750" s="2" t="s">
        <v>9</v>
      </c>
      <c r="Q750" s="2" t="s">
        <v>10</v>
      </c>
    </row>
    <row r="751" spans="1:17" x14ac:dyDescent="0.35">
      <c r="A751" s="2" t="s">
        <v>5884</v>
      </c>
      <c r="B751" s="2" t="s">
        <v>3759</v>
      </c>
      <c r="C751" s="2" t="s">
        <v>3760</v>
      </c>
      <c r="D751" s="2">
        <v>2011</v>
      </c>
      <c r="E751" s="2" t="s">
        <v>3761</v>
      </c>
      <c r="F751" s="2" t="s">
        <v>3762</v>
      </c>
      <c r="G751" s="2" t="s">
        <v>3763</v>
      </c>
      <c r="H751" s="2" t="s">
        <v>3580</v>
      </c>
      <c r="I751" s="2" t="str" cm="1">
        <f t="array" ref="I751">H751 &amp; _xlfn.REGEXEXTRACT(G751,"^[^_]+_\d{4}") &amp; ".pdf"</f>
        <v>https://www.ocf.berkeley.edu/~pkmendez/envsci/projects/2011final/TomeE_2011.pdf</v>
      </c>
      <c r="J751" s="1" t="str">
        <f t="shared" si="12"/>
        <v>https://www.ocf.berkeley.edu/~pkmendez/envsci/projects/2011final/TomeE_2011.pdf</v>
      </c>
      <c r="K751" s="2" t="str" cm="1">
        <f t="array" ref="K751:O751">_xlfn.TAKE(TRIM(_xlfn.TEXTSPLIT(F751,{",",";"})),,5)</f>
        <v>Geographic Information Systems</v>
      </c>
      <c r="L751" s="2" t="str">
        <v>territory</v>
      </c>
      <c r="M751" s="2" t="str">
        <v>Karuk Tribe</v>
      </c>
      <c r="N751" s="2" t="str">
        <v>Hoopa Tribe</v>
      </c>
      <c r="O751" s="2" t="str">
        <v>Yurok Tribe</v>
      </c>
      <c r="P751" s="2" t="s">
        <v>9</v>
      </c>
      <c r="Q751" s="2" t="s">
        <v>10</v>
      </c>
    </row>
    <row r="752" spans="1:17" x14ac:dyDescent="0.35">
      <c r="A752" s="2" t="s">
        <v>5884</v>
      </c>
      <c r="B752" s="2" t="s">
        <v>3764</v>
      </c>
      <c r="C752" s="2" t="s">
        <v>3765</v>
      </c>
      <c r="D752" s="2">
        <v>2011</v>
      </c>
      <c r="E752" s="2" t="s">
        <v>3766</v>
      </c>
      <c r="F752" s="2" t="s">
        <v>3767</v>
      </c>
      <c r="G752" s="2" t="s">
        <v>3768</v>
      </c>
      <c r="H752" s="2" t="s">
        <v>3580</v>
      </c>
      <c r="I752" s="2" t="str" cm="1">
        <f t="array" ref="I752">H752 &amp; _xlfn.REGEXEXTRACT(G752,"^[^_]+_\d{4}") &amp; ".pdf"</f>
        <v>https://www.ocf.berkeley.edu/~pkmendez/envsci/projects/2011final/WenzelT_2011.pdf</v>
      </c>
      <c r="J752" s="1" t="str">
        <f t="shared" si="12"/>
        <v>https://www.ocf.berkeley.edu/~pkmendez/envsci/projects/2011final/WenzelT_2011.pdf</v>
      </c>
      <c r="K752" s="2" t="str" cm="1">
        <f t="array" ref="K752:O752">_xlfn.TAKE(TRIM(_xlfn.TEXTSPLIT(F752,{",",";"})),,5)</f>
        <v>traditional medicine</v>
      </c>
      <c r="L752" s="2" t="str">
        <v>western medicine</v>
      </c>
      <c r="M752" s="2" t="str">
        <v>health care</v>
      </c>
      <c r="N752" s="2" t="str">
        <v>utilization</v>
      </c>
      <c r="O752" s="2" t="str">
        <v>Tanzania</v>
      </c>
      <c r="P752" s="2" t="s">
        <v>9</v>
      </c>
      <c r="Q752" s="2" t="s">
        <v>10</v>
      </c>
    </row>
    <row r="753" spans="1:17" x14ac:dyDescent="0.35">
      <c r="A753" s="2" t="s">
        <v>5884</v>
      </c>
      <c r="B753" s="2" t="s">
        <v>3769</v>
      </c>
      <c r="C753" s="2" t="s">
        <v>3770</v>
      </c>
      <c r="D753" s="2">
        <v>2011</v>
      </c>
      <c r="E753" s="2" t="s">
        <v>3804</v>
      </c>
      <c r="F753" s="2" t="s">
        <v>3771</v>
      </c>
      <c r="G753" s="2" t="s">
        <v>3772</v>
      </c>
      <c r="H753" s="2" t="s">
        <v>3580</v>
      </c>
      <c r="I753" s="2" t="str" cm="1">
        <f t="array" ref="I753">H753 &amp; _xlfn.REGEXEXTRACT(G753,"^[^_]+_\d{4}") &amp; ".pdf"</f>
        <v>https://www.ocf.berkeley.edu/~pkmendez/envsci/projects/2011final/WhitsonR_2011.pdf</v>
      </c>
      <c r="J753" s="1" t="str">
        <f t="shared" si="12"/>
        <v>https://www.ocf.berkeley.edu/~pkmendez/envsci/projects/2011final/WhitsonR_2011.pdf</v>
      </c>
      <c r="K753" s="2" t="str" cm="1">
        <f t="array" ref="K753:O753">_xlfn.TAKE(TRIM(_xlfn.TEXTSPLIT(F753,{",",";"})),,5)</f>
        <v>patches</v>
      </c>
      <c r="L753" s="2" t="str">
        <v>gravel</v>
      </c>
      <c r="M753" s="2" t="str">
        <v>salmon</v>
      </c>
      <c r="N753" s="2" t="str">
        <v>shield stress</v>
      </c>
      <c r="O753" s="2" t="str">
        <v>dam</v>
      </c>
      <c r="P753" s="2" t="s">
        <v>9</v>
      </c>
      <c r="Q753" s="2" t="s">
        <v>10</v>
      </c>
    </row>
    <row r="754" spans="1:17" x14ac:dyDescent="0.35">
      <c r="A754" s="2" t="s">
        <v>5884</v>
      </c>
      <c r="B754" s="2" t="s">
        <v>3773</v>
      </c>
      <c r="C754" s="2" t="s">
        <v>3774</v>
      </c>
      <c r="D754" s="2">
        <v>2011</v>
      </c>
      <c r="E754" s="2" t="s">
        <v>3775</v>
      </c>
      <c r="F754" s="2" t="s">
        <v>3776</v>
      </c>
      <c r="G754" s="2" t="s">
        <v>3777</v>
      </c>
      <c r="H754" s="2" t="s">
        <v>3580</v>
      </c>
      <c r="I754" s="2" t="str" cm="1">
        <f t="array" ref="I754">H754 &amp; _xlfn.REGEXEXTRACT(G754,"^[^_]+_\d{4}") &amp; ".pdf"</f>
        <v>https://www.ocf.berkeley.edu/~pkmendez/envsci/projects/2011final/WongH_2011.pdf</v>
      </c>
      <c r="J754" s="1" t="str">
        <f t="shared" si="12"/>
        <v>https://www.ocf.berkeley.edu/~pkmendez/envsci/projects/2011final/WongH_2011.pdf</v>
      </c>
      <c r="K754" s="2" t="str" cm="1">
        <f t="array" ref="K754:O754">_xlfn.TAKE(TRIM(_xlfn.TEXTSPLIT(F754,{",",";"})),,5)</f>
        <v>public transportation</v>
      </c>
      <c r="L754" s="2" t="str">
        <v>BART</v>
      </c>
      <c r="M754" s="2" t="str">
        <v>MTR</v>
      </c>
      <c r="N754" s="2" t="str">
        <v>high &amp; low-income</v>
      </c>
      <c r="O754" s="2" t="str">
        <v>feeder bus access</v>
      </c>
      <c r="P754" s="2" t="s">
        <v>9</v>
      </c>
      <c r="Q754" s="2" t="s">
        <v>10</v>
      </c>
    </row>
    <row r="755" spans="1:17" x14ac:dyDescent="0.35">
      <c r="A755" s="2" t="s">
        <v>5884</v>
      </c>
      <c r="B755" s="2" t="s">
        <v>3778</v>
      </c>
      <c r="C755" s="2" t="s">
        <v>3779</v>
      </c>
      <c r="D755" s="2">
        <v>2011</v>
      </c>
      <c r="E755" s="2" t="s">
        <v>3780</v>
      </c>
      <c r="F755" s="2" t="s">
        <v>3781</v>
      </c>
      <c r="G755" s="2" t="s">
        <v>3782</v>
      </c>
      <c r="H755" s="2" t="s">
        <v>3580</v>
      </c>
      <c r="I755" s="2" t="str" cm="1">
        <f t="array" ref="I755">H755 &amp; _xlfn.REGEXEXTRACT(G755,"^[^_]+_\d{4}") &amp; ".pdf"</f>
        <v>https://www.ocf.berkeley.edu/~pkmendez/envsci/projects/2011final/WrightY_2011.pdf</v>
      </c>
      <c r="J755" s="1" t="str">
        <f t="shared" si="12"/>
        <v>https://www.ocf.berkeley.edu/~pkmendez/envsci/projects/2011final/WrightY_2011.pdf</v>
      </c>
      <c r="K755" s="2" t="str" cm="1">
        <f t="array" ref="K755:O755">_xlfn.TAKE(TRIM(_xlfn.TEXTSPLIT(F755,{",",";"})),,5)</f>
        <v>recycling indicators</v>
      </c>
      <c r="L755" s="2" t="str">
        <v>correlations</v>
      </c>
      <c r="M755" s="2" t="str">
        <v>associations</v>
      </c>
      <c r="N755" s="2" t="str">
        <v>policy intervention</v>
      </c>
      <c r="O755" s="2" t="str">
        <v>survey</v>
      </c>
      <c r="P755" s="2" t="s">
        <v>9</v>
      </c>
      <c r="Q755" s="2" t="s">
        <v>10</v>
      </c>
    </row>
    <row r="756" spans="1:17" x14ac:dyDescent="0.35">
      <c r="A756" s="2" t="s">
        <v>5884</v>
      </c>
      <c r="B756" s="2" t="s">
        <v>3783</v>
      </c>
      <c r="C756" s="2" t="s">
        <v>3784</v>
      </c>
      <c r="D756" s="2">
        <v>2011</v>
      </c>
      <c r="E756" s="2" t="s">
        <v>3785</v>
      </c>
      <c r="F756" s="2" t="s">
        <v>3786</v>
      </c>
      <c r="G756" s="2" t="s">
        <v>3787</v>
      </c>
      <c r="H756" s="2" t="s">
        <v>3580</v>
      </c>
      <c r="I756" s="2" t="str" cm="1">
        <f t="array" ref="I756">H756 &amp; _xlfn.REGEXEXTRACT(G756,"^[^_]+_\d{4}") &amp; ".pdf"</f>
        <v>https://www.ocf.berkeley.edu/~pkmendez/envsci/projects/2011final/YangX_2011.pdf</v>
      </c>
      <c r="J756" s="1" t="str">
        <f t="shared" si="12"/>
        <v>https://www.ocf.berkeley.edu/~pkmendez/envsci/projects/2011final/YangX_2011.pdf</v>
      </c>
      <c r="K756" s="2" t="str" cm="1">
        <f t="array" ref="K756:O756">_xlfn.TAKE(TRIM(_xlfn.TEXTSPLIT(F756,{",",";"})),,5)</f>
        <v>pediatric asthma</v>
      </c>
      <c r="L756" s="2" t="str">
        <v>asthma interventions</v>
      </c>
      <c r="M756" s="2" t="str">
        <v>asthma control and prevention</v>
      </c>
      <c r="N756" s="2" t="str">
        <v>education programs</v>
      </c>
      <c r="O756" s="2" t="str">
        <v>camp evaluation</v>
      </c>
      <c r="P756" s="2" t="s">
        <v>9</v>
      </c>
      <c r="Q756" s="2" t="s">
        <v>10</v>
      </c>
    </row>
    <row r="757" spans="1:17" x14ac:dyDescent="0.35">
      <c r="A757" s="2" t="s">
        <v>5884</v>
      </c>
      <c r="B757" s="2" t="s">
        <v>3788</v>
      </c>
      <c r="C757" s="2" t="s">
        <v>3789</v>
      </c>
      <c r="D757" s="2">
        <v>2011</v>
      </c>
      <c r="E757" s="2" t="s">
        <v>3790</v>
      </c>
      <c r="F757" s="2" t="s">
        <v>3791</v>
      </c>
      <c r="G757" s="2" t="s">
        <v>3792</v>
      </c>
      <c r="H757" s="2" t="s">
        <v>3580</v>
      </c>
      <c r="I757" s="2" t="str" cm="1">
        <f t="array" ref="I757">H757 &amp; _xlfn.REGEXEXTRACT(G757,"^[^_]+_\d{4}") &amp; ".pdf"</f>
        <v>https://www.ocf.berkeley.edu/~pkmendez/envsci/projects/2011final/YoungM_2011.pdf</v>
      </c>
      <c r="J757" s="1" t="str">
        <f t="shared" si="12"/>
        <v>https://www.ocf.berkeley.edu/~pkmendez/envsci/projects/2011final/YoungM_2011.pdf</v>
      </c>
      <c r="K757" s="2" t="str" cm="1">
        <f t="array" ref="K757:O757">_xlfn.TAKE(TRIM(_xlfn.TEXTSPLIT(F757,{",",";"})),,5)</f>
        <v>birth outcome</v>
      </c>
      <c r="L757" s="2" t="str">
        <v>air pollution</v>
      </c>
      <c r="M757" s="2" t="str">
        <v>poverty</v>
      </c>
      <c r="N757" s="2" t="str">
        <v>ethnicity</v>
      </c>
      <c r="O757" s="2" t="str">
        <v>socioeconomic status</v>
      </c>
      <c r="P757" s="2" t="s">
        <v>9</v>
      </c>
      <c r="Q757" s="2" t="s">
        <v>10</v>
      </c>
    </row>
    <row r="758" spans="1:17" x14ac:dyDescent="0.35">
      <c r="A758" s="2" t="s">
        <v>5884</v>
      </c>
      <c r="B758" s="2" t="s">
        <v>3793</v>
      </c>
      <c r="C758" s="2" t="s">
        <v>3794</v>
      </c>
      <c r="D758" s="2">
        <v>2011</v>
      </c>
      <c r="E758" s="2" t="s">
        <v>3805</v>
      </c>
      <c r="F758" s="2" t="s">
        <v>3795</v>
      </c>
      <c r="G758" s="2" t="s">
        <v>3796</v>
      </c>
      <c r="H758" s="2" t="s">
        <v>3580</v>
      </c>
      <c r="I758" s="2" t="str" cm="1">
        <f t="array" ref="I758">H758 &amp; _xlfn.REGEXEXTRACT(G758,"^[^_]+_\d{4}") &amp; ".pdf"</f>
        <v>https://www.ocf.berkeley.edu/~pkmendez/envsci/projects/2011final/YouS_2011.pdf</v>
      </c>
      <c r="J758" s="1" t="str">
        <f t="shared" si="12"/>
        <v>https://www.ocf.berkeley.edu/~pkmendez/envsci/projects/2011final/YouS_2011.pdf</v>
      </c>
      <c r="K758" s="2" t="str" cm="1">
        <f t="array" ref="K758:N758">_xlfn.TAKE(TRIM(_xlfn.TEXTSPLIT(F758,{",",";"})),,5)</f>
        <v>sampling design</v>
      </c>
      <c r="L758" s="2" t="str">
        <v>alpha diversity</v>
      </c>
      <c r="M758" s="2" t="str">
        <v>estimation</v>
      </c>
      <c r="N758" s="2" t="str">
        <v>forest inventory</v>
      </c>
      <c r="P758" s="2" t="s">
        <v>9</v>
      </c>
      <c r="Q758" s="2" t="s">
        <v>10</v>
      </c>
    </row>
    <row r="759" spans="1:17" x14ac:dyDescent="0.35">
      <c r="A759" s="2" t="s">
        <v>5884</v>
      </c>
      <c r="B759" s="2" t="s">
        <v>3797</v>
      </c>
      <c r="C759" s="2" t="s">
        <v>3798</v>
      </c>
      <c r="D759" s="2">
        <v>2011</v>
      </c>
      <c r="E759" s="2" t="s">
        <v>3799</v>
      </c>
      <c r="F759" s="2" t="s">
        <v>3800</v>
      </c>
      <c r="G759" s="2" t="s">
        <v>3801</v>
      </c>
      <c r="H759" s="2" t="s">
        <v>3580</v>
      </c>
      <c r="I759" s="2" t="str" cm="1">
        <f t="array" ref="I759">H759 &amp; _xlfn.REGEXEXTRACT(G759,"^[^_]+_\d{4}") &amp; ".pdf"</f>
        <v>https://www.ocf.berkeley.edu/~pkmendez/envsci/projects/2011final/YungP_2011.pdf</v>
      </c>
      <c r="J759" s="1" t="str">
        <f t="shared" si="12"/>
        <v>https://www.ocf.berkeley.edu/~pkmendez/envsci/projects/2011final/YungP_2011.pdf</v>
      </c>
      <c r="K759" s="2" t="str" cm="1">
        <f t="array" ref="K759:O759">_xlfn.TAKE(TRIM(_xlfn.TEXTSPLIT(F759,{",",";"})),,5)</f>
        <v>Fresh produce</v>
      </c>
      <c r="L759" s="2" t="str">
        <v>food subsidies</v>
      </c>
      <c r="M759" s="2" t="str">
        <v>nutrition</v>
      </c>
      <c r="N759" s="2" t="str">
        <v>consumer behavior</v>
      </c>
      <c r="O759" s="2" t="str">
        <v>farmers' market</v>
      </c>
      <c r="P759" s="2" t="s">
        <v>9</v>
      </c>
      <c r="Q759" s="2" t="s">
        <v>10</v>
      </c>
    </row>
    <row r="760" spans="1:17" x14ac:dyDescent="0.35">
      <c r="A760" s="2" t="s">
        <v>5884</v>
      </c>
      <c r="B760" s="2" t="s">
        <v>3806</v>
      </c>
      <c r="C760" s="2" t="s">
        <v>3807</v>
      </c>
      <c r="D760" s="2">
        <v>2010</v>
      </c>
      <c r="E760" s="2" t="s">
        <v>3808</v>
      </c>
      <c r="F760" s="2" t="s">
        <v>3809</v>
      </c>
      <c r="G760" s="2" t="s">
        <v>3810</v>
      </c>
      <c r="H760" s="2" t="s">
        <v>3811</v>
      </c>
      <c r="I760" s="2" t="str" cm="1">
        <f t="array" ref="I760">H760 &amp; _xlfn.REGEXEXTRACT(G760,"^[^_]+_\d{4}") &amp; ".pdf"</f>
        <v>https://www.ocf.berkeley.edu/~pkmendez/envsci/projects/2010final/AamesJ_2010.pdf</v>
      </c>
      <c r="J760" s="1" t="str">
        <f t="shared" si="12"/>
        <v>https://www.ocf.berkeley.edu/~pkmendez/envsci/projects/2010final/AamesJ_2010.pdf</v>
      </c>
      <c r="K760" s="2" t="str" cm="1">
        <f t="array" ref="K760:O760">_xlfn.TAKE(TRIM(_xlfn.TEXTSPLIT(F760,{",",";"})),,5)</f>
        <v>outreach</v>
      </c>
      <c r="L760" s="2" t="str">
        <v>communication</v>
      </c>
      <c r="M760" s="2" t="str">
        <v>engagement</v>
      </c>
      <c r="N760" s="2" t="str">
        <v>tree care</v>
      </c>
      <c r="O760" s="2" t="str">
        <v>implementation</v>
      </c>
      <c r="P760" s="2" t="s">
        <v>9</v>
      </c>
      <c r="Q760" s="2" t="s">
        <v>10</v>
      </c>
    </row>
    <row r="761" spans="1:17" x14ac:dyDescent="0.35">
      <c r="A761" s="2" t="s">
        <v>5884</v>
      </c>
      <c r="B761" s="2" t="s">
        <v>3812</v>
      </c>
      <c r="C761" s="2" t="s">
        <v>3813</v>
      </c>
      <c r="D761" s="2">
        <v>2010</v>
      </c>
      <c r="E761" s="2" t="s">
        <v>3814</v>
      </c>
      <c r="F761" s="2" t="s">
        <v>3815</v>
      </c>
      <c r="G761" s="2" t="s">
        <v>3816</v>
      </c>
      <c r="H761" s="2" t="s">
        <v>3811</v>
      </c>
      <c r="I761" s="2" t="str" cm="1">
        <f t="array" ref="I761">H761 &amp; _xlfn.REGEXEXTRACT(G761,"^[^_]+_\d{4}") &amp; ".pdf"</f>
        <v>https://www.ocf.berkeley.edu/~pkmendez/envsci/projects/2010final/AghaeeM_2010.pdf</v>
      </c>
      <c r="J761" s="1" t="str">
        <f t="shared" si="12"/>
        <v>https://www.ocf.berkeley.edu/~pkmendez/envsci/projects/2010final/AghaeeM_2010.pdf</v>
      </c>
      <c r="K761" s="2" t="str" cm="1">
        <f t="array" ref="K761:O761">_xlfn.TAKE(TRIM(_xlfn.TEXTSPLIT(F761,{",",";"})),,5)</f>
        <v>Planorbella</v>
      </c>
      <c r="L761" s="2" t="str">
        <v>desiccation</v>
      </c>
      <c r="M761" s="2" t="str">
        <v>Ribeiroia</v>
      </c>
      <c r="N761" s="2" t="str">
        <v>climate</v>
      </c>
      <c r="O761" s="2" t="str">
        <v>Chaetogaster</v>
      </c>
      <c r="P761" s="2" t="s">
        <v>9</v>
      </c>
      <c r="Q761" s="2" t="s">
        <v>10</v>
      </c>
    </row>
    <row r="762" spans="1:17" x14ac:dyDescent="0.35">
      <c r="A762" s="2" t="s">
        <v>5884</v>
      </c>
      <c r="B762" s="2" t="s">
        <v>3817</v>
      </c>
      <c r="C762" s="2" t="s">
        <v>3818</v>
      </c>
      <c r="D762" s="2">
        <v>2010</v>
      </c>
      <c r="E762" s="2" t="s">
        <v>3819</v>
      </c>
      <c r="F762" s="2" t="s">
        <v>3820</v>
      </c>
      <c r="G762" s="2" t="s">
        <v>3821</v>
      </c>
      <c r="H762" s="2" t="s">
        <v>3811</v>
      </c>
      <c r="I762" s="2" t="str" cm="1">
        <f t="array" ref="I762">H762 &amp; _xlfn.REGEXEXTRACT(G762,"^[^_]+_\d{4}") &amp; ".pdf"</f>
        <v>https://www.ocf.berkeley.edu/~pkmendez/envsci/projects/2010final/BojdaN_2010.pdf</v>
      </c>
      <c r="J762" s="1" t="str">
        <f t="shared" si="12"/>
        <v>https://www.ocf.berkeley.edu/~pkmendez/envsci/projects/2010final/BojdaN_2010.pdf</v>
      </c>
      <c r="K762" s="2" t="str" cm="1">
        <f t="array" ref="K762:O762">_xlfn.TAKE(TRIM(_xlfn.TEXTSPLIT(F762,{",",";"})),,5)</f>
        <v>Lifestyle</v>
      </c>
      <c r="L762" s="2" t="str">
        <v>Climate Change</v>
      </c>
      <c r="M762" s="2" t="str">
        <v>Carbon</v>
      </c>
      <c r="N762" s="2" t="str">
        <v>GHG</v>
      </c>
      <c r="O762" s="2" t="str">
        <v>Energy</v>
      </c>
      <c r="P762" s="2" t="s">
        <v>9</v>
      </c>
      <c r="Q762" s="2" t="s">
        <v>10</v>
      </c>
    </row>
    <row r="763" spans="1:17" x14ac:dyDescent="0.35">
      <c r="A763" s="2" t="s">
        <v>5884</v>
      </c>
      <c r="B763" s="2" t="s">
        <v>3822</v>
      </c>
      <c r="C763" s="2" t="s">
        <v>3823</v>
      </c>
      <c r="D763" s="2">
        <v>2010</v>
      </c>
      <c r="E763" s="2" t="s">
        <v>3824</v>
      </c>
      <c r="F763" s="2" t="s">
        <v>3825</v>
      </c>
      <c r="G763" s="2" t="s">
        <v>3826</v>
      </c>
      <c r="H763" s="2" t="s">
        <v>3811</v>
      </c>
      <c r="I763" s="2" t="str" cm="1">
        <f t="array" ref="I763">H763 &amp; _xlfn.REGEXEXTRACT(G763,"^[^_]+_\d{4}") &amp; ".pdf"</f>
        <v>https://www.ocf.berkeley.edu/~pkmendez/envsci/projects/2010final/BorokhovP_2010.pdf</v>
      </c>
      <c r="J763" s="1" t="str">
        <f t="shared" si="12"/>
        <v>https://www.ocf.berkeley.edu/~pkmendez/envsci/projects/2010final/BorokhovP_2010.pdf</v>
      </c>
      <c r="K763" s="2" t="str" cm="1">
        <f t="array" ref="K763:O763">_xlfn.TAKE(TRIM(_xlfn.TEXTSPLIT(F763,{",",";"})),,5)</f>
        <v>ITS</v>
      </c>
      <c r="L763" s="2" t="str">
        <v>speed</v>
      </c>
      <c r="M763" s="2" t="str">
        <v>GPS</v>
      </c>
      <c r="N763" s="2" t="str">
        <v>mobile sensing</v>
      </c>
      <c r="O763" s="2" t="str">
        <v>scalable solutions</v>
      </c>
      <c r="P763" s="2" t="s">
        <v>9</v>
      </c>
      <c r="Q763" s="2" t="s">
        <v>10</v>
      </c>
    </row>
    <row r="764" spans="1:17" x14ac:dyDescent="0.35">
      <c r="A764" s="2" t="s">
        <v>5884</v>
      </c>
      <c r="B764" s="2" t="s">
        <v>3827</v>
      </c>
      <c r="C764" s="2" t="s">
        <v>3828</v>
      </c>
      <c r="D764" s="2">
        <v>2010</v>
      </c>
      <c r="E764" s="2" t="s">
        <v>3829</v>
      </c>
      <c r="F764" s="2" t="s">
        <v>3830</v>
      </c>
      <c r="G764" s="2" t="s">
        <v>3831</v>
      </c>
      <c r="H764" s="2" t="s">
        <v>3811</v>
      </c>
      <c r="I764" s="2" t="str" cm="1">
        <f t="array" ref="I764">H764 &amp; _xlfn.REGEXEXTRACT(G764,"^[^_]+_\d{4}") &amp; ".pdf"</f>
        <v>https://www.ocf.berkeley.edu/~pkmendez/envsci/projects/2010final/ChangE_2010.pdf</v>
      </c>
      <c r="J764" s="1" t="str">
        <f t="shared" si="12"/>
        <v>https://www.ocf.berkeley.edu/~pkmendez/envsci/projects/2010final/ChangE_2010.pdf</v>
      </c>
      <c r="K764" s="2" t="str" cm="1">
        <f t="array" ref="K764:O764">_xlfn.TAKE(TRIM(_xlfn.TEXTSPLIT(F764,{",",";"})),,5)</f>
        <v>Social workers</v>
      </c>
      <c r="L764" s="2" t="str">
        <v>healthcare</v>
      </c>
      <c r="M764" s="2" t="str">
        <v>education</v>
      </c>
      <c r="N764" s="2" t="str">
        <v>youth</v>
      </c>
      <c r="O764" s="2" t="str">
        <v>Wyckoff collection</v>
      </c>
      <c r="P764" s="2" t="s">
        <v>9</v>
      </c>
      <c r="Q764" s="2" t="s">
        <v>10</v>
      </c>
    </row>
    <row r="765" spans="1:17" x14ac:dyDescent="0.35">
      <c r="A765" s="2" t="s">
        <v>5884</v>
      </c>
      <c r="B765" s="2" t="s">
        <v>3832</v>
      </c>
      <c r="C765" s="2" t="s">
        <v>3833</v>
      </c>
      <c r="D765" s="2">
        <v>2010</v>
      </c>
      <c r="E765" s="2" t="s">
        <v>3834</v>
      </c>
      <c r="F765" s="2" t="s">
        <v>3835</v>
      </c>
      <c r="G765" s="2" t="s">
        <v>3836</v>
      </c>
      <c r="H765" s="2" t="s">
        <v>3811</v>
      </c>
      <c r="I765" s="2" t="str" cm="1">
        <f t="array" ref="I765">H765 &amp; _xlfn.REGEXEXTRACT(G765,"^[^_]+_\d{4}") &amp; ".pdf"</f>
        <v>https://www.ocf.berkeley.edu/~pkmendez/envsci/projects/2010final/ChangJ_2010.pdf</v>
      </c>
      <c r="J765" s="1" t="str">
        <f t="shared" si="12"/>
        <v>https://www.ocf.berkeley.edu/~pkmendez/envsci/projects/2010final/ChangJ_2010.pdf</v>
      </c>
      <c r="K765" s="2" t="str" cm="1">
        <f t="array" ref="K765:O765">_xlfn.TAKE(TRIM(_xlfn.TEXTSPLIT(F765,{",",";"})),,5)</f>
        <v>health communication</v>
      </c>
      <c r="L765" s="2" t="str">
        <v>vaccine promotion</v>
      </c>
      <c r="M765" s="2" t="str">
        <v>media studies</v>
      </c>
      <c r="N765" s="2" t="str">
        <v>journalism</v>
      </c>
      <c r="O765" s="2" t="str">
        <v>content analysis</v>
      </c>
      <c r="P765" s="2" t="s">
        <v>9</v>
      </c>
      <c r="Q765" s="2" t="s">
        <v>10</v>
      </c>
    </row>
    <row r="766" spans="1:17" x14ac:dyDescent="0.35">
      <c r="A766" s="2" t="s">
        <v>5884</v>
      </c>
      <c r="B766" s="2" t="s">
        <v>3837</v>
      </c>
      <c r="C766" s="2" t="s">
        <v>3838</v>
      </c>
      <c r="D766" s="2">
        <v>2010</v>
      </c>
      <c r="E766" s="2" t="s">
        <v>3839</v>
      </c>
      <c r="F766" s="2" t="s">
        <v>3840</v>
      </c>
      <c r="G766" s="2" t="s">
        <v>3841</v>
      </c>
      <c r="H766" s="2" t="s">
        <v>3811</v>
      </c>
      <c r="I766" s="2" t="str" cm="1">
        <f t="array" ref="I766">H766 &amp; _xlfn.REGEXEXTRACT(G766,"^[^_]+_\d{4}") &amp; ".pdf"</f>
        <v>https://www.ocf.berkeley.edu/~pkmendez/envsci/projects/2010final/ChaoC_2010.pdf</v>
      </c>
      <c r="J766" s="1" t="str">
        <f t="shared" si="12"/>
        <v>https://www.ocf.berkeley.edu/~pkmendez/envsci/projects/2010final/ChaoC_2010.pdf</v>
      </c>
      <c r="K766" s="2" t="str" cm="1">
        <f t="array" ref="K766:O766">_xlfn.TAKE(TRIM(_xlfn.TEXTSPLIT(F766,{",",";"})),,5)</f>
        <v>Cellulosic biofuels</v>
      </c>
      <c r="L766" s="2" t="str">
        <v>cellulose</v>
      </c>
      <c r="M766" s="2" t="str">
        <v>cellulases</v>
      </c>
      <c r="N766" s="2" t="str">
        <v>GUS reporter gene system</v>
      </c>
      <c r="O766" s="2" t="str">
        <v>&amp; gene expression</v>
      </c>
      <c r="P766" s="2" t="s">
        <v>9</v>
      </c>
      <c r="Q766" s="2" t="s">
        <v>10</v>
      </c>
    </row>
    <row r="767" spans="1:17" x14ac:dyDescent="0.35">
      <c r="A767" s="2" t="s">
        <v>5884</v>
      </c>
      <c r="B767" s="2" t="s">
        <v>3842</v>
      </c>
      <c r="C767" s="2" t="s">
        <v>3843</v>
      </c>
      <c r="D767" s="2">
        <v>2010</v>
      </c>
      <c r="E767" s="2" t="s">
        <v>3844</v>
      </c>
      <c r="F767" s="2" t="s">
        <v>3845</v>
      </c>
      <c r="G767" s="2" t="s">
        <v>3846</v>
      </c>
      <c r="H767" s="2" t="s">
        <v>3811</v>
      </c>
      <c r="I767" s="2" t="str" cm="1">
        <f t="array" ref="I767">H767 &amp; _xlfn.REGEXEXTRACT(G767,"^[^_]+_\d{4}") &amp; ".pdf"</f>
        <v>https://www.ocf.berkeley.edu/~pkmendez/envsci/projects/2010final/ChoA_2010.pdf</v>
      </c>
      <c r="J767" s="1" t="str">
        <f t="shared" si="12"/>
        <v>https://www.ocf.berkeley.edu/~pkmendez/envsci/projects/2010final/ChoA_2010.pdf</v>
      </c>
      <c r="K767" s="2" t="str" cm="1">
        <f t="array" ref="K767:O767">_xlfn.TAKE(TRIM(_xlfn.TEXTSPLIT(F767,{",",";"})),,5)</f>
        <v>Colony Collapse Disorder</v>
      </c>
      <c r="L767" s="2" t="str">
        <v>public perception</v>
      </c>
      <c r="M767" s="2" t="str">
        <v>mass media</v>
      </c>
      <c r="N767" s="2" t="str">
        <v>discrepancies</v>
      </c>
      <c r="O767" s="2" t="str">
        <v>uncertainty</v>
      </c>
      <c r="P767" s="2" t="s">
        <v>9</v>
      </c>
      <c r="Q767" s="2" t="s">
        <v>10</v>
      </c>
    </row>
    <row r="768" spans="1:17" x14ac:dyDescent="0.35">
      <c r="A768" s="2" t="s">
        <v>5884</v>
      </c>
      <c r="B768" s="2" t="s">
        <v>3847</v>
      </c>
      <c r="C768" s="2" t="s">
        <v>3848</v>
      </c>
      <c r="D768" s="2">
        <v>2010</v>
      </c>
      <c r="E768" s="2" t="s">
        <v>3849</v>
      </c>
      <c r="F768" s="2" t="s">
        <v>3850</v>
      </c>
      <c r="G768" s="2" t="s">
        <v>3851</v>
      </c>
      <c r="H768" s="2" t="s">
        <v>3811</v>
      </c>
      <c r="I768" s="2" t="str" cm="1">
        <f t="array" ref="I768">H768 &amp; _xlfn.REGEXEXTRACT(G768,"^[^_]+_\d{4}") &amp; ".pdf"</f>
        <v>https://www.ocf.berkeley.edu/~pkmendez/envsci/projects/2010final/ClappA_2010.pdf</v>
      </c>
      <c r="J768" s="1" t="str">
        <f t="shared" si="12"/>
        <v>https://www.ocf.berkeley.edu/~pkmendez/envsci/projects/2010final/ClappA_2010.pdf</v>
      </c>
      <c r="K768" s="2" t="str" cm="1">
        <f t="array" ref="K768:O768">_xlfn.TAKE(TRIM(_xlfn.TEXTSPLIT(F768,{",",";"})),,5)</f>
        <v>urban forestry</v>
      </c>
      <c r="L768" s="2" t="str">
        <v>tree mortality</v>
      </c>
      <c r="M768" s="2" t="str">
        <v>land use</v>
      </c>
      <c r="N768" s="2" t="str">
        <v>urban ecology</v>
      </c>
      <c r="O768" s="2" t="str">
        <v>lifestyle</v>
      </c>
      <c r="P768" s="2" t="s">
        <v>9</v>
      </c>
      <c r="Q768" s="2" t="s">
        <v>10</v>
      </c>
    </row>
    <row r="769" spans="1:17" x14ac:dyDescent="0.35">
      <c r="A769" s="2" t="s">
        <v>5884</v>
      </c>
      <c r="B769" s="2" t="s">
        <v>3852</v>
      </c>
      <c r="C769" s="2" t="s">
        <v>3853</v>
      </c>
      <c r="D769" s="2">
        <v>2010</v>
      </c>
      <c r="E769" s="2" t="s">
        <v>3854</v>
      </c>
      <c r="F769" s="2" t="s">
        <v>3855</v>
      </c>
      <c r="G769" s="2" t="s">
        <v>3856</v>
      </c>
      <c r="H769" s="2" t="s">
        <v>3811</v>
      </c>
      <c r="I769" s="2" t="str" cm="1">
        <f t="array" ref="I769">H769 &amp; _xlfn.REGEXEXTRACT(G769,"^[^_]+_\d{4}") &amp; ".pdf"</f>
        <v>https://www.ocf.berkeley.edu/~pkmendez/envsci/projects/2010final/CoronaM_2010.pdf</v>
      </c>
      <c r="J769" s="1" t="str">
        <f t="shared" si="12"/>
        <v>https://www.ocf.berkeley.edu/~pkmendez/envsci/projects/2010final/CoronaM_2010.pdf</v>
      </c>
      <c r="K769" s="2" t="str" cm="1">
        <f t="array" ref="K769:O769">_xlfn.TAKE(TRIM(_xlfn.TEXTSPLIT(F769,{",",";"})),,5)</f>
        <v>Mutualism</v>
      </c>
      <c r="L769" s="2" t="str">
        <v>symbiosis</v>
      </c>
      <c r="M769" s="2" t="str">
        <v>rhizobium</v>
      </c>
      <c r="N769" s="2" t="str">
        <v>plant performance</v>
      </c>
      <c r="O769" s="2" t="str">
        <v>reciprocal transplant experiment</v>
      </c>
      <c r="P769" s="2" t="s">
        <v>9</v>
      </c>
      <c r="Q769" s="2" t="s">
        <v>10</v>
      </c>
    </row>
    <row r="770" spans="1:17" x14ac:dyDescent="0.35">
      <c r="A770" s="2" t="s">
        <v>5884</v>
      </c>
      <c r="B770" s="2" t="s">
        <v>3857</v>
      </c>
      <c r="C770" s="2" t="s">
        <v>3858</v>
      </c>
      <c r="D770" s="2">
        <v>2010</v>
      </c>
      <c r="E770" s="2" t="s">
        <v>3859</v>
      </c>
      <c r="F770" s="2" t="s">
        <v>3860</v>
      </c>
      <c r="G770" s="2" t="s">
        <v>3861</v>
      </c>
      <c r="H770" s="2" t="s">
        <v>3811</v>
      </c>
      <c r="I770" s="2" t="str" cm="1">
        <f t="array" ref="I770">H770 &amp; _xlfn.REGEXEXTRACT(G770,"^[^_]+_\d{4}") &amp; ".pdf"</f>
        <v>https://www.ocf.berkeley.edu/~pkmendez/envsci/projects/2010final/CrummettN_2010.pdf</v>
      </c>
      <c r="J770" s="1" t="str">
        <f t="shared" si="12"/>
        <v>https://www.ocf.berkeley.edu/~pkmendez/envsci/projects/2010final/CrummettN_2010.pdf</v>
      </c>
      <c r="K770" s="2" t="str" cm="1">
        <f t="array" ref="K770:O770">_xlfn.TAKE(TRIM(_xlfn.TEXTSPLIT(F770,{",",";"})),,5)</f>
        <v>Organics Programs</v>
      </c>
      <c r="L770" s="2" t="str">
        <v>Waste Diversion</v>
      </c>
      <c r="M770" s="2" t="str">
        <v>Waste Management</v>
      </c>
      <c r="N770" s="2" t="str">
        <v>Apartment Complexes</v>
      </c>
      <c r="O770" s="2" t="str">
        <v>Collection Services</v>
      </c>
      <c r="P770" s="2" t="s">
        <v>9</v>
      </c>
      <c r="Q770" s="2" t="s">
        <v>10</v>
      </c>
    </row>
    <row r="771" spans="1:17" x14ac:dyDescent="0.35">
      <c r="A771" s="2" t="s">
        <v>5884</v>
      </c>
      <c r="B771" s="2" t="s">
        <v>3862</v>
      </c>
      <c r="C771" s="2" t="s">
        <v>3863</v>
      </c>
      <c r="D771" s="2">
        <v>2010</v>
      </c>
      <c r="E771" s="2" t="s">
        <v>3864</v>
      </c>
      <c r="F771" s="2" t="s">
        <v>3865</v>
      </c>
      <c r="G771" s="2" t="s">
        <v>3866</v>
      </c>
      <c r="H771" s="2" t="s">
        <v>3811</v>
      </c>
      <c r="I771" s="2" t="str" cm="1">
        <f t="array" ref="I771">H771 &amp; _xlfn.REGEXEXTRACT(G771,"^[^_]+_\d{4}") &amp; ".pdf"</f>
        <v>https://www.ocf.berkeley.edu/~pkmendez/envsci/projects/2010final/ElbogenE_2010.pdf</v>
      </c>
      <c r="J771" s="1" t="str">
        <f t="shared" ref="J771:J834" si="13">HYPERLINK(I771, I771)</f>
        <v>https://www.ocf.berkeley.edu/~pkmendez/envsci/projects/2010final/ElbogenE_2010.pdf</v>
      </c>
      <c r="K771" s="2" t="str" cm="1">
        <f t="array" ref="K771:O771">_xlfn.TAKE(TRIM(_xlfn.TEXTSPLIT(F771,{",",";"})),,5)</f>
        <v>plant identification</v>
      </c>
      <c r="L771" s="2" t="str">
        <v>Protium</v>
      </c>
      <c r="M771" s="2" t="str">
        <v>phylogeny</v>
      </c>
      <c r="N771" s="2" t="str">
        <v>Bayesian</v>
      </c>
      <c r="O771" s="2" t="str">
        <v>sequence divergence</v>
      </c>
      <c r="P771" s="2" t="s">
        <v>9</v>
      </c>
      <c r="Q771" s="2" t="s">
        <v>10</v>
      </c>
    </row>
    <row r="772" spans="1:17" x14ac:dyDescent="0.35">
      <c r="A772" s="2" t="s">
        <v>5884</v>
      </c>
      <c r="B772" s="2" t="s">
        <v>3867</v>
      </c>
      <c r="C772" s="2" t="s">
        <v>3868</v>
      </c>
      <c r="D772" s="2">
        <v>2010</v>
      </c>
      <c r="E772" s="2" t="s">
        <v>3869</v>
      </c>
      <c r="F772" s="2" t="s">
        <v>3870</v>
      </c>
      <c r="G772" s="2" t="s">
        <v>3871</v>
      </c>
      <c r="H772" s="2" t="s">
        <v>3811</v>
      </c>
      <c r="I772" s="2" t="str" cm="1">
        <f t="array" ref="I772">H772 &amp; _xlfn.REGEXEXTRACT(G772,"^[^_]+_\d{4}") &amp; ".pdf"</f>
        <v>https://www.ocf.berkeley.edu/~pkmendez/envsci/projects/2010final/FaulknerK_2010.pdf</v>
      </c>
      <c r="J772" s="1" t="str">
        <f t="shared" si="13"/>
        <v>https://www.ocf.berkeley.edu/~pkmendez/envsci/projects/2010final/FaulknerK_2010.pdf</v>
      </c>
      <c r="K772" s="2" t="str" cm="1">
        <f t="array" ref="K772:N772">_xlfn.TAKE(TRIM(_xlfn.TEXTSPLIT(F772,{",",";"})),,5)</f>
        <v>Community Choice Aggregation</v>
      </c>
      <c r="L772" s="2" t="str">
        <v>Marin Energy Authority</v>
      </c>
      <c r="M772" s="2" t="str">
        <v>Marin Clean Energy renewable energy</v>
      </c>
      <c r="N772" s="2" t="str">
        <v>electricity</v>
      </c>
      <c r="P772" s="2" t="s">
        <v>9</v>
      </c>
      <c r="Q772" s="2" t="s">
        <v>10</v>
      </c>
    </row>
    <row r="773" spans="1:17" x14ac:dyDescent="0.35">
      <c r="A773" s="2" t="s">
        <v>5884</v>
      </c>
      <c r="B773" s="2" t="s">
        <v>3872</v>
      </c>
      <c r="C773" s="2" t="s">
        <v>3873</v>
      </c>
      <c r="D773" s="2">
        <v>2010</v>
      </c>
      <c r="E773" s="2" t="s">
        <v>3874</v>
      </c>
      <c r="G773" s="2" t="s">
        <v>3875</v>
      </c>
      <c r="H773" s="2" t="s">
        <v>3811</v>
      </c>
      <c r="I773" s="2" t="str" cm="1">
        <f t="array" ref="I773">H773 &amp; _xlfn.REGEXEXTRACT(G773,"^[^_]+_\d{4}") &amp; ".pdf"</f>
        <v>https://www.ocf.berkeley.edu/~pkmendez/envsci/projects/2010final/FlemingL_2010.pdf</v>
      </c>
      <c r="J773" s="1" t="str">
        <f t="shared" si="13"/>
        <v>https://www.ocf.berkeley.edu/~pkmendez/envsci/projects/2010final/FlemingL_2010.pdf</v>
      </c>
      <c r="K773" s="2" t="e" cm="1">
        <f t="array" ref="K773">_xlfn.TAKE(TRIM(_xlfn.TEXTSPLIT(F773,{",",";"})),,5)</f>
        <v>#VALUE!</v>
      </c>
      <c r="P773" s="2" t="s">
        <v>9</v>
      </c>
      <c r="Q773" s="2" t="s">
        <v>10</v>
      </c>
    </row>
    <row r="774" spans="1:17" x14ac:dyDescent="0.35">
      <c r="A774" s="2" t="s">
        <v>5884</v>
      </c>
      <c r="B774" s="2" t="s">
        <v>3876</v>
      </c>
      <c r="C774" s="2" t="s">
        <v>3877</v>
      </c>
      <c r="D774" s="2">
        <v>2010</v>
      </c>
      <c r="E774" s="2" t="s">
        <v>3878</v>
      </c>
      <c r="F774" s="2" t="s">
        <v>3879</v>
      </c>
      <c r="G774" s="2" t="s">
        <v>3880</v>
      </c>
      <c r="H774" s="2" t="s">
        <v>3811</v>
      </c>
      <c r="I774" s="2" t="str" cm="1">
        <f t="array" ref="I774">H774 &amp; _xlfn.REGEXEXTRACT(G774,"^[^_]+_\d{4}") &amp; ".pdf"</f>
        <v>https://www.ocf.berkeley.edu/~pkmendez/envsci/projects/2010final/GemoraC_2010.pdf</v>
      </c>
      <c r="J774" s="1" t="str">
        <f t="shared" si="13"/>
        <v>https://www.ocf.berkeley.edu/~pkmendez/envsci/projects/2010final/GemoraC_2010.pdf</v>
      </c>
      <c r="K774" s="2" t="str" cm="1">
        <f t="array" ref="K774:O774">_xlfn.TAKE(TRIM(_xlfn.TEXTSPLIT(F774,{",",";"})),,5)</f>
        <v>Environmental Justice</v>
      </c>
      <c r="L774" s="2" t="str">
        <v>Racial Disproportion</v>
      </c>
      <c r="M774" s="2" t="str">
        <v>Environmental Justice Smart Enforcement Assessment Tool (EJSEAT)</v>
      </c>
      <c r="N774" s="2" t="str">
        <v>Hazardous/Toxic Waste Remediation</v>
      </c>
      <c r="O774" s="2" t="str">
        <v>Environmental Protection Agency (EPA)</v>
      </c>
      <c r="P774" s="2" t="s">
        <v>9</v>
      </c>
      <c r="Q774" s="2" t="s">
        <v>10</v>
      </c>
    </row>
    <row r="775" spans="1:17" x14ac:dyDescent="0.35">
      <c r="A775" s="2" t="s">
        <v>5884</v>
      </c>
      <c r="B775" s="2" t="s">
        <v>3881</v>
      </c>
      <c r="C775" s="2" t="s">
        <v>3882</v>
      </c>
      <c r="D775" s="2">
        <v>2010</v>
      </c>
      <c r="E775" s="2" t="s">
        <v>3883</v>
      </c>
      <c r="F775" s="2" t="s">
        <v>3884</v>
      </c>
      <c r="G775" s="2" t="s">
        <v>3885</v>
      </c>
      <c r="H775" s="2" t="s">
        <v>3811</v>
      </c>
      <c r="I775" s="2" t="str" cm="1">
        <f t="array" ref="I775">H775 &amp; _xlfn.REGEXEXTRACT(G775,"^[^_]+_\d{4}") &amp; ".pdf"</f>
        <v>https://www.ocf.berkeley.edu/~pkmendez/envsci/projects/2010final/HamajiA_2010.pdf</v>
      </c>
      <c r="J775" s="1" t="str">
        <f t="shared" si="13"/>
        <v>https://www.ocf.berkeley.edu/~pkmendez/envsci/projects/2010final/HamajiA_2010.pdf</v>
      </c>
      <c r="K775" s="2" t="str" cm="1">
        <f t="array" ref="K775:O775">_xlfn.TAKE(TRIM(_xlfn.TEXTSPLIT(F775,{",",";"})),,5)</f>
        <v>media</v>
      </c>
      <c r="L775" s="2" t="str">
        <v>immigrant</v>
      </c>
      <c r="M775" s="2" t="str">
        <v>frame</v>
      </c>
      <c r="N775" s="2" t="str">
        <v>crime</v>
      </c>
      <c r="O775" s="2" t="str">
        <v>nature</v>
      </c>
      <c r="P775" s="2" t="s">
        <v>9</v>
      </c>
      <c r="Q775" s="2" t="s">
        <v>10</v>
      </c>
    </row>
    <row r="776" spans="1:17" x14ac:dyDescent="0.35">
      <c r="A776" s="2" t="s">
        <v>5884</v>
      </c>
      <c r="B776" s="2" t="s">
        <v>3886</v>
      </c>
      <c r="C776" s="2" t="s">
        <v>3887</v>
      </c>
      <c r="D776" s="2">
        <v>2010</v>
      </c>
      <c r="E776" s="2" t="s">
        <v>3888</v>
      </c>
      <c r="F776" s="2" t="s">
        <v>3889</v>
      </c>
      <c r="G776" s="2" t="s">
        <v>3890</v>
      </c>
      <c r="H776" s="2" t="s">
        <v>3811</v>
      </c>
      <c r="I776" s="2" t="str" cm="1">
        <f t="array" ref="I776">H776 &amp; _xlfn.REGEXEXTRACT(G776,"^[^_]+_\d{4}") &amp; ".pdf"</f>
        <v>https://www.ocf.berkeley.edu/~pkmendez/envsci/projects/2010final/JehnsenJ_2010.pdf</v>
      </c>
      <c r="J776" s="1" t="str">
        <f t="shared" si="13"/>
        <v>https://www.ocf.berkeley.edu/~pkmendez/envsci/projects/2010final/JehnsenJ_2010.pdf</v>
      </c>
      <c r="K776" s="2" t="str" cm="1">
        <f t="array" ref="K776:O776">_xlfn.TAKE(TRIM(_xlfn.TEXTSPLIT(F776,{",",";"})),,5)</f>
        <v>medicinal plants</v>
      </c>
      <c r="L776" s="2" t="str">
        <v>chemical elicitors</v>
      </c>
      <c r="M776" s="2" t="str">
        <v>malaria</v>
      </c>
      <c r="N776" s="2" t="str">
        <v>artemisinin</v>
      </c>
      <c r="O776" s="2" t="str">
        <v>plant growth</v>
      </c>
      <c r="P776" s="2" t="s">
        <v>9</v>
      </c>
      <c r="Q776" s="2" t="s">
        <v>10</v>
      </c>
    </row>
    <row r="777" spans="1:17" x14ac:dyDescent="0.35">
      <c r="A777" s="2" t="s">
        <v>5884</v>
      </c>
      <c r="B777" s="2" t="s">
        <v>3891</v>
      </c>
      <c r="C777" s="2" t="s">
        <v>3892</v>
      </c>
      <c r="D777" s="2">
        <v>2010</v>
      </c>
      <c r="E777" s="2" t="s">
        <v>3893</v>
      </c>
      <c r="G777" s="2" t="s">
        <v>3894</v>
      </c>
      <c r="H777" s="2" t="s">
        <v>3811</v>
      </c>
      <c r="I777" s="2" t="str" cm="1">
        <f t="array" ref="I777">H777 &amp; _xlfn.REGEXEXTRACT(G777,"^[^_]+_\d{4}") &amp; ".pdf"</f>
        <v>https://www.ocf.berkeley.edu/~pkmendez/envsci/projects/2010final/KayamaY_2010.pdf</v>
      </c>
      <c r="J777" s="1" t="str">
        <f t="shared" si="13"/>
        <v>https://www.ocf.berkeley.edu/~pkmendez/envsci/projects/2010final/KayamaY_2010.pdf</v>
      </c>
      <c r="K777" s="2" t="e" cm="1">
        <f t="array" ref="K777">_xlfn.TAKE(TRIM(_xlfn.TEXTSPLIT(F777,{",",";"})),,5)</f>
        <v>#VALUE!</v>
      </c>
      <c r="P777" s="2" t="s">
        <v>9</v>
      </c>
      <c r="Q777" s="2" t="s">
        <v>10</v>
      </c>
    </row>
    <row r="778" spans="1:17" x14ac:dyDescent="0.35">
      <c r="A778" s="2" t="s">
        <v>5884</v>
      </c>
      <c r="B778" s="2" t="s">
        <v>3895</v>
      </c>
      <c r="C778" s="2" t="s">
        <v>3896</v>
      </c>
      <c r="D778" s="2">
        <v>2010</v>
      </c>
      <c r="E778" s="2" t="s">
        <v>3897</v>
      </c>
      <c r="F778" s="2" t="s">
        <v>3898</v>
      </c>
      <c r="G778" s="2" t="s">
        <v>3899</v>
      </c>
      <c r="H778" s="2" t="s">
        <v>3811</v>
      </c>
      <c r="I778" s="2" t="str" cm="1">
        <f t="array" ref="I778">H778 &amp; _xlfn.REGEXEXTRACT(G778,"^[^_]+_\d{4}") &amp; ".pdf"</f>
        <v>https://www.ocf.berkeley.edu/~pkmendez/envsci/projects/2010final/KerrB_2010.pdf</v>
      </c>
      <c r="J778" s="1" t="str">
        <f t="shared" si="13"/>
        <v>https://www.ocf.berkeley.edu/~pkmendez/envsci/projects/2010final/KerrB_2010.pdf</v>
      </c>
      <c r="K778" s="2" t="str" cm="1">
        <f t="array" ref="K778:O778">_xlfn.TAKE(TRIM(_xlfn.TEXTSPLIT(F778,{",",";"})),,5)</f>
        <v>Fire Surrogate Treatment</v>
      </c>
      <c r="L778" s="2" t="str">
        <v>Prescribed Fire</v>
      </c>
      <c r="M778" s="2" t="str">
        <v>Fire Exclusion</v>
      </c>
      <c r="N778" s="2" t="str">
        <v>Tree Ring</v>
      </c>
      <c r="O778" s="2" t="str">
        <v>Fire Return Interval</v>
      </c>
      <c r="P778" s="2" t="s">
        <v>9</v>
      </c>
      <c r="Q778" s="2" t="s">
        <v>10</v>
      </c>
    </row>
    <row r="779" spans="1:17" x14ac:dyDescent="0.35">
      <c r="A779" s="2" t="s">
        <v>5884</v>
      </c>
      <c r="B779" s="2" t="s">
        <v>3900</v>
      </c>
      <c r="C779" s="2" t="s">
        <v>3901</v>
      </c>
      <c r="D779" s="2">
        <v>2010</v>
      </c>
      <c r="E779" s="2" t="s">
        <v>3902</v>
      </c>
      <c r="F779" s="2" t="s">
        <v>3903</v>
      </c>
      <c r="G779" s="2" t="s">
        <v>3904</v>
      </c>
      <c r="H779" s="2" t="s">
        <v>3811</v>
      </c>
      <c r="I779" s="2" t="str" cm="1">
        <f t="array" ref="I779">H779 &amp; _xlfn.REGEXEXTRACT(G779,"^[^_]+_\d{4}") &amp; ".pdf"</f>
        <v>https://www.ocf.berkeley.edu/~pkmendez/envsci/projects/2010final/LamY_2010.pdf</v>
      </c>
      <c r="J779" s="1" t="str">
        <f t="shared" si="13"/>
        <v>https://www.ocf.berkeley.edu/~pkmendez/envsci/projects/2010final/LamY_2010.pdf</v>
      </c>
      <c r="K779" s="2" t="str" cm="1">
        <f t="array" ref="K779:O779">_xlfn.TAKE(TRIM(_xlfn.TEXTSPLIT(F779,{",",";"})),,5)</f>
        <v>Cafeteria</v>
      </c>
      <c r="L779" s="2" t="str">
        <v>plate waste</v>
      </c>
      <c r="M779" s="2" t="str">
        <v>food quality</v>
      </c>
      <c r="N779" s="2" t="str">
        <v>a la carte</v>
      </c>
      <c r="O779" s="2" t="str">
        <v>serving portion</v>
      </c>
      <c r="P779" s="2" t="s">
        <v>9</v>
      </c>
      <c r="Q779" s="2" t="s">
        <v>10</v>
      </c>
    </row>
    <row r="780" spans="1:17" x14ac:dyDescent="0.35">
      <c r="A780" s="2" t="s">
        <v>5884</v>
      </c>
      <c r="B780" s="2" t="s">
        <v>3905</v>
      </c>
      <c r="C780" s="2" t="s">
        <v>3906</v>
      </c>
      <c r="D780" s="2">
        <v>2010</v>
      </c>
      <c r="E780" s="2" t="s">
        <v>3907</v>
      </c>
      <c r="F780" s="2" t="s">
        <v>3908</v>
      </c>
      <c r="G780" s="2" t="s">
        <v>3909</v>
      </c>
      <c r="H780" s="2" t="s">
        <v>3811</v>
      </c>
      <c r="I780" s="2" t="str" cm="1">
        <f t="array" ref="I780">H780 &amp; _xlfn.REGEXEXTRACT(G780,"^[^_]+_\d{4}") &amp; ".pdf"</f>
        <v>https://www.ocf.berkeley.edu/~pkmendez/envsci/projects/2010final/LeeR_2010.pdf</v>
      </c>
      <c r="J780" s="1" t="str">
        <f t="shared" si="13"/>
        <v>https://www.ocf.berkeley.edu/~pkmendez/envsci/projects/2010final/LeeR_2010.pdf</v>
      </c>
      <c r="K780" s="2" t="str" cm="1">
        <f t="array" ref="K780:O780">_xlfn.TAKE(TRIM(_xlfn.TEXTSPLIT(F780,{",",";"})),,5)</f>
        <v>Phacoemulsification</v>
      </c>
      <c r="L780" s="2" t="str">
        <v>Glaucoma</v>
      </c>
      <c r="M780" s="2" t="str">
        <v>Visual Acuity</v>
      </c>
      <c r="N780" s="2" t="str">
        <v>Age</v>
      </c>
      <c r="O780" s="2" t="str">
        <v>Ethnicity</v>
      </c>
      <c r="P780" s="2" t="s">
        <v>9</v>
      </c>
      <c r="Q780" s="2" t="s">
        <v>10</v>
      </c>
    </row>
    <row r="781" spans="1:17" x14ac:dyDescent="0.35">
      <c r="A781" s="2" t="s">
        <v>5884</v>
      </c>
      <c r="B781" s="2" t="s">
        <v>3910</v>
      </c>
      <c r="C781" s="2" t="s">
        <v>3911</v>
      </c>
      <c r="D781" s="2">
        <v>2010</v>
      </c>
      <c r="E781" s="2" t="s">
        <v>3912</v>
      </c>
      <c r="F781" s="2" t="s">
        <v>3913</v>
      </c>
      <c r="G781" s="2" t="s">
        <v>3914</v>
      </c>
      <c r="H781" s="2" t="s">
        <v>3811</v>
      </c>
      <c r="I781" s="2" t="str" cm="1">
        <f t="array" ref="I781">H781 &amp; _xlfn.REGEXEXTRACT(G781,"^[^_]+_\d{4}") &amp; ".pdf"</f>
        <v>https://www.ocf.berkeley.edu/~pkmendez/envsci/projects/2010final/LeeT_2010.pdf</v>
      </c>
      <c r="J781" s="1" t="str">
        <f t="shared" si="13"/>
        <v>https://www.ocf.berkeley.edu/~pkmendez/envsci/projects/2010final/LeeT_2010.pdf</v>
      </c>
      <c r="K781" s="2" t="str" cm="1">
        <f t="array" ref="K781:O781">_xlfn.TAKE(TRIM(_xlfn.TEXTSPLIT(F781,{",",";"})),,5)</f>
        <v>Ichthyoplankton</v>
      </c>
      <c r="L781" s="2" t="str">
        <v>Density</v>
      </c>
      <c r="M781" s="2" t="str">
        <v>Temperature</v>
      </c>
      <c r="N781" s="2" t="str">
        <v>Attenuation</v>
      </c>
      <c r="O781" s="2" t="str">
        <v>Salinity</v>
      </c>
      <c r="P781" s="2" t="s">
        <v>9</v>
      </c>
      <c r="Q781" s="2" t="s">
        <v>10</v>
      </c>
    </row>
    <row r="782" spans="1:17" x14ac:dyDescent="0.35">
      <c r="A782" s="2" t="s">
        <v>5884</v>
      </c>
      <c r="B782" s="2" t="s">
        <v>3915</v>
      </c>
      <c r="C782" s="2" t="s">
        <v>3916</v>
      </c>
      <c r="D782" s="2">
        <v>2010</v>
      </c>
      <c r="E782" s="2" t="s">
        <v>3917</v>
      </c>
      <c r="F782" s="2" t="s">
        <v>3918</v>
      </c>
      <c r="G782" s="2" t="s">
        <v>3919</v>
      </c>
      <c r="H782" s="2" t="s">
        <v>3811</v>
      </c>
      <c r="I782" s="2" t="str" cm="1">
        <f t="array" ref="I782">H782 &amp; _xlfn.REGEXEXTRACT(G782,"^[^_]+_\d{4}") &amp; ".pdf"</f>
        <v>https://www.ocf.berkeley.edu/~pkmendez/envsci/projects/2010final/LeiboffS_2010.pdf</v>
      </c>
      <c r="J782" s="1" t="str">
        <f t="shared" si="13"/>
        <v>https://www.ocf.berkeley.edu/~pkmendez/envsci/projects/2010final/LeiboffS_2010.pdf</v>
      </c>
      <c r="K782" s="2" t="str" cm="1">
        <f t="array" ref="K782:O782">_xlfn.TAKE(TRIM(_xlfn.TEXTSPLIT(F782,{",",";"})),,5)</f>
        <v>B hordein promoter</v>
      </c>
      <c r="L782" s="2" t="str">
        <v>Crop science</v>
      </c>
      <c r="M782" s="2" t="str">
        <v>Genetically modified organism/Genetic engineering</v>
      </c>
      <c r="N782" s="2" t="str">
        <v>Scanning electron microscopy (SEM)</v>
      </c>
      <c r="O782" s="2" t="str">
        <v>Thioredoxin</v>
      </c>
      <c r="P782" s="2" t="s">
        <v>9</v>
      </c>
      <c r="Q782" s="2" t="s">
        <v>10</v>
      </c>
    </row>
    <row r="783" spans="1:17" x14ac:dyDescent="0.35">
      <c r="A783" s="2" t="s">
        <v>5884</v>
      </c>
      <c r="B783" s="2" t="s">
        <v>3920</v>
      </c>
      <c r="C783" s="2" t="s">
        <v>3921</v>
      </c>
      <c r="D783" s="2">
        <v>2010</v>
      </c>
      <c r="E783" s="2" t="s">
        <v>3922</v>
      </c>
      <c r="F783" s="2" t="s">
        <v>3923</v>
      </c>
      <c r="G783" s="2" t="s">
        <v>3924</v>
      </c>
      <c r="H783" s="2" t="s">
        <v>3811</v>
      </c>
      <c r="I783" s="2" t="str" cm="1">
        <f t="array" ref="I783">H783 &amp; _xlfn.REGEXEXTRACT(G783,"^[^_]+_\d{4}") &amp; ".pdf"</f>
        <v>https://www.ocf.berkeley.edu/~pkmendez/envsci/projects/2010final/LimE_2010.pdf</v>
      </c>
      <c r="J783" s="1" t="str">
        <f t="shared" si="13"/>
        <v>https://www.ocf.berkeley.edu/~pkmendez/envsci/projects/2010final/LimE_2010.pdf</v>
      </c>
      <c r="K783" s="2" t="str" cm="1">
        <f t="array" ref="K783:O783">_xlfn.TAKE(TRIM(_xlfn.TEXTSPLIT(F783,{",",";"})),,5)</f>
        <v>Perchlorate reductase</v>
      </c>
      <c r="L783" s="2" t="str">
        <v>chlorite dismutase</v>
      </c>
      <c r="M783" s="2" t="str">
        <v>phylogenetics study</v>
      </c>
      <c r="N783" s="2" t="str">
        <v>thyroid hormone synthesis</v>
      </c>
      <c r="O783" s="2" t="str">
        <v>bioremediation</v>
      </c>
      <c r="P783" s="2" t="s">
        <v>9</v>
      </c>
      <c r="Q783" s="2" t="s">
        <v>10</v>
      </c>
    </row>
    <row r="784" spans="1:17" x14ac:dyDescent="0.35">
      <c r="A784" s="2" t="s">
        <v>5884</v>
      </c>
      <c r="B784" s="2" t="s">
        <v>3925</v>
      </c>
      <c r="C784" s="2" t="s">
        <v>3926</v>
      </c>
      <c r="D784" s="2">
        <v>2010</v>
      </c>
      <c r="E784" s="2" t="s">
        <v>3927</v>
      </c>
      <c r="F784" s="2" t="s">
        <v>3928</v>
      </c>
      <c r="G784" s="2" t="s">
        <v>3929</v>
      </c>
      <c r="H784" s="2" t="s">
        <v>3811</v>
      </c>
      <c r="I784" s="2" t="str" cm="1">
        <f t="array" ref="I784">H784 &amp; _xlfn.REGEXEXTRACT(G784,"^[^_]+_\d{4}") &amp; ".pdf"</f>
        <v>https://www.ocf.berkeley.edu/~pkmendez/envsci/projects/2010final/LinK_2010.pdf</v>
      </c>
      <c r="J784" s="1" t="str">
        <f t="shared" si="13"/>
        <v>https://www.ocf.berkeley.edu/~pkmendez/envsci/projects/2010final/LinK_2010.pdf</v>
      </c>
      <c r="K784" s="2" t="str" cm="1">
        <f t="array" ref="K784:O784">_xlfn.TAKE(TRIM(_xlfn.TEXTSPLIT(F784,{",",";"})),,5)</f>
        <v>Public transportation</v>
      </c>
      <c r="L784" s="2" t="str">
        <v>service quality</v>
      </c>
      <c r="M784" s="2" t="str">
        <v>bus policies</v>
      </c>
      <c r="N784" s="2" t="str">
        <v>transit ridership</v>
      </c>
      <c r="O784" s="2" t="str">
        <v>customer satisfaction.</v>
      </c>
      <c r="P784" s="2" t="s">
        <v>9</v>
      </c>
      <c r="Q784" s="2" t="s">
        <v>10</v>
      </c>
    </row>
    <row r="785" spans="1:17" x14ac:dyDescent="0.35">
      <c r="A785" s="2" t="s">
        <v>5884</v>
      </c>
      <c r="B785" s="2" t="s">
        <v>3930</v>
      </c>
      <c r="C785" s="2" t="s">
        <v>3931</v>
      </c>
      <c r="D785" s="2">
        <v>2010</v>
      </c>
      <c r="E785" s="2" t="s">
        <v>3932</v>
      </c>
      <c r="F785" s="2" t="s">
        <v>3933</v>
      </c>
      <c r="G785" s="2" t="s">
        <v>3934</v>
      </c>
      <c r="H785" s="2" t="s">
        <v>3811</v>
      </c>
      <c r="I785" s="2" t="str" cm="1">
        <f t="array" ref="I785">H785 &amp; _xlfn.REGEXEXTRACT(G785,"^[^_]+_\d{4}") &amp; ".pdf"</f>
        <v>https://www.ocf.berkeley.edu/~pkmendez/envsci/projects/2010final/LyS_2010.pdf</v>
      </c>
      <c r="J785" s="1" t="str">
        <f t="shared" si="13"/>
        <v>https://www.ocf.berkeley.edu/~pkmendez/envsci/projects/2010final/LyS_2010.pdf</v>
      </c>
      <c r="K785" s="2" t="str" cm="1">
        <f t="array" ref="K785:O785">_xlfn.TAKE(TRIM(_xlfn.TEXTSPLIT(F785,{",",";"})),,5)</f>
        <v>Ribeiroia ondatrae</v>
      </c>
      <c r="L785" s="2" t="str">
        <v>trematode infection</v>
      </c>
      <c r="M785" s="2" t="str">
        <v>amphibian malformations</v>
      </c>
      <c r="N785" s="2" t="str">
        <v>predation</v>
      </c>
      <c r="O785" s="2" t="str">
        <v>incomplete limb regeneration</v>
      </c>
      <c r="P785" s="2" t="s">
        <v>9</v>
      </c>
      <c r="Q785" s="2" t="s">
        <v>10</v>
      </c>
    </row>
    <row r="786" spans="1:17" x14ac:dyDescent="0.35">
      <c r="A786" s="2" t="s">
        <v>5884</v>
      </c>
      <c r="B786" s="2" t="s">
        <v>3935</v>
      </c>
      <c r="C786" s="2" t="s">
        <v>3936</v>
      </c>
      <c r="D786" s="2">
        <v>2010</v>
      </c>
      <c r="E786" s="2" t="s">
        <v>3937</v>
      </c>
      <c r="F786" s="2" t="s">
        <v>3938</v>
      </c>
      <c r="G786" s="2" t="s">
        <v>3939</v>
      </c>
      <c r="H786" s="2" t="s">
        <v>3811</v>
      </c>
      <c r="I786" s="2" t="str" cm="1">
        <f t="array" ref="I786">H786 &amp; _xlfn.REGEXEXTRACT(G786,"^[^_]+_\d{4}") &amp; ".pdf"</f>
        <v>https://www.ocf.berkeley.edu/~pkmendez/envsci/projects/2010final/McNairH_2010.pdf</v>
      </c>
      <c r="J786" s="1" t="str">
        <f t="shared" si="13"/>
        <v>https://www.ocf.berkeley.edu/~pkmendez/envsci/projects/2010final/McNairH_2010.pdf</v>
      </c>
      <c r="K786" s="2" t="str" cm="1">
        <f t="array" ref="K786:O786">_xlfn.TAKE(TRIM(_xlfn.TEXTSPLIT(F786,{",",";"})),,5)</f>
        <v>nutrients</v>
      </c>
      <c r="L786" s="2" t="str">
        <v>oligotrophic</v>
      </c>
      <c r="M786" s="2" t="str">
        <v>chlorophyll</v>
      </c>
      <c r="N786" s="2" t="str">
        <v>Redfield ratio</v>
      </c>
      <c r="O786" s="2" t="str">
        <v>clarity</v>
      </c>
      <c r="P786" s="2" t="s">
        <v>9</v>
      </c>
      <c r="Q786" s="2" t="s">
        <v>10</v>
      </c>
    </row>
    <row r="787" spans="1:17" x14ac:dyDescent="0.35">
      <c r="A787" s="2" t="s">
        <v>5884</v>
      </c>
      <c r="B787" s="2" t="s">
        <v>3940</v>
      </c>
      <c r="C787" s="2" t="s">
        <v>3941</v>
      </c>
      <c r="D787" s="2">
        <v>2010</v>
      </c>
      <c r="E787" s="2" t="s">
        <v>3942</v>
      </c>
      <c r="F787" s="2" t="s">
        <v>3943</v>
      </c>
      <c r="G787" s="2" t="s">
        <v>3944</v>
      </c>
      <c r="H787" s="2" t="s">
        <v>3811</v>
      </c>
      <c r="I787" s="2" t="str" cm="1">
        <f t="array" ref="I787">H787 &amp; _xlfn.REGEXEXTRACT(G787,"^[^_]+_\d{4}") &amp; ".pdf"</f>
        <v>https://www.ocf.berkeley.edu/~pkmendez/envsci/projects/2010final/MoonL_2010.pdf</v>
      </c>
      <c r="J787" s="1" t="str">
        <f t="shared" si="13"/>
        <v>https://www.ocf.berkeley.edu/~pkmendez/envsci/projects/2010final/MoonL_2010.pdf</v>
      </c>
      <c r="K787" s="2" t="str" cm="1">
        <f t="array" ref="K787:O787">_xlfn.TAKE(TRIM(_xlfn.TEXTSPLIT(F787,{",",";"})),,5)</f>
        <v>Doty bin</v>
      </c>
      <c r="L787" s="2" t="str">
        <v>recycling behavior</v>
      </c>
      <c r="M787" s="2" t="str">
        <v>student survey</v>
      </c>
      <c r="N787" s="2" t="str">
        <v>bin observation</v>
      </c>
      <c r="O787" s="2" t="str">
        <v>bin design</v>
      </c>
      <c r="P787" s="2" t="s">
        <v>9</v>
      </c>
      <c r="Q787" s="2" t="s">
        <v>10</v>
      </c>
    </row>
    <row r="788" spans="1:17" x14ac:dyDescent="0.35">
      <c r="A788" s="2" t="s">
        <v>5884</v>
      </c>
      <c r="B788" s="2" t="s">
        <v>3945</v>
      </c>
      <c r="C788" s="2" t="s">
        <v>3946</v>
      </c>
      <c r="D788" s="2">
        <v>2010</v>
      </c>
      <c r="E788" s="2" t="s">
        <v>3947</v>
      </c>
      <c r="F788" s="2" t="s">
        <v>3948</v>
      </c>
      <c r="G788" s="2" t="s">
        <v>3949</v>
      </c>
      <c r="H788" s="2" t="s">
        <v>3811</v>
      </c>
      <c r="I788" s="2" t="str" cm="1">
        <f t="array" ref="I788">H788 &amp; _xlfn.REGEXEXTRACT(G788,"^[^_]+_\d{4}") &amp; ".pdf"</f>
        <v>https://www.ocf.berkeley.edu/~pkmendez/envsci/projects/2010final/OatfieldC_2010.pdf</v>
      </c>
      <c r="J788" s="1" t="str">
        <f t="shared" si="13"/>
        <v>https://www.ocf.berkeley.edu/~pkmendez/envsci/projects/2010final/OatfieldC_2010.pdf</v>
      </c>
      <c r="K788" s="2" t="str" cm="1">
        <f t="array" ref="K788:O788">_xlfn.TAKE(TRIM(_xlfn.TEXTSPLIT(F788,{",",";"})),,5)</f>
        <v>student-run</v>
      </c>
      <c r="L788" s="2" t="str">
        <v>co-op</v>
      </c>
      <c r="M788" s="2" t="str">
        <v>collective</v>
      </c>
      <c r="N788" s="2" t="str">
        <v>food purchasing policies</v>
      </c>
      <c r="O788" s="2" t="str">
        <v>business planning</v>
      </c>
      <c r="P788" s="2" t="s">
        <v>9</v>
      </c>
      <c r="Q788" s="2" t="s">
        <v>10</v>
      </c>
    </row>
    <row r="789" spans="1:17" x14ac:dyDescent="0.35">
      <c r="A789" s="2" t="s">
        <v>5884</v>
      </c>
      <c r="B789" s="2" t="s">
        <v>3950</v>
      </c>
      <c r="C789" s="2" t="s">
        <v>3951</v>
      </c>
      <c r="D789" s="2">
        <v>2010</v>
      </c>
      <c r="E789" s="2" t="s">
        <v>3952</v>
      </c>
      <c r="F789" s="2" t="s">
        <v>3953</v>
      </c>
      <c r="G789" s="2" t="s">
        <v>3954</v>
      </c>
      <c r="H789" s="2" t="s">
        <v>3811</v>
      </c>
      <c r="I789" s="2" t="str" cm="1">
        <f t="array" ref="I789">H789 &amp; _xlfn.REGEXEXTRACT(G789,"^[^_]+_\d{4}") &amp; ".pdf"</f>
        <v>https://www.ocf.berkeley.edu/~pkmendez/envsci/projects/2010final/OllikainenK_2010.pdf</v>
      </c>
      <c r="J789" s="1" t="str">
        <f t="shared" si="13"/>
        <v>https://www.ocf.berkeley.edu/~pkmendez/envsci/projects/2010final/OllikainenK_2010.pdf</v>
      </c>
      <c r="K789" s="2" t="str" cm="1">
        <f t="array" ref="K789:O789">_xlfn.TAKE(TRIM(_xlfn.TEXTSPLIT(F789,{",",";"})),,5)</f>
        <v>cognition</v>
      </c>
      <c r="L789" s="2" t="str">
        <v>environmental affect</v>
      </c>
      <c r="M789" s="2" t="str">
        <v>environmental education</v>
      </c>
      <c r="N789" s="2" t="str">
        <v>experiential education</v>
      </c>
      <c r="O789" s="2" t="str">
        <v>school garden</v>
      </c>
      <c r="P789" s="2" t="s">
        <v>9</v>
      </c>
      <c r="Q789" s="2" t="s">
        <v>10</v>
      </c>
    </row>
    <row r="790" spans="1:17" x14ac:dyDescent="0.35">
      <c r="A790" s="2" t="s">
        <v>5884</v>
      </c>
      <c r="B790" s="2" t="s">
        <v>3955</v>
      </c>
      <c r="C790" s="2" t="s">
        <v>3956</v>
      </c>
      <c r="D790" s="2">
        <v>2010</v>
      </c>
      <c r="E790" s="2" t="s">
        <v>3957</v>
      </c>
      <c r="F790" s="2" t="s">
        <v>3958</v>
      </c>
      <c r="G790" s="2" t="s">
        <v>3959</v>
      </c>
      <c r="H790" s="2" t="s">
        <v>3811</v>
      </c>
      <c r="I790" s="2" t="str" cm="1">
        <f t="array" ref="I790">H790 &amp; _xlfn.REGEXEXTRACT(G790,"^[^_]+_\d{4}") &amp; ".pdf"</f>
        <v>https://www.ocf.berkeley.edu/~pkmendez/envsci/projects/2010final/PrebleC_2010.pdf</v>
      </c>
      <c r="J790" s="1" t="str">
        <f t="shared" si="13"/>
        <v>https://www.ocf.berkeley.edu/~pkmendez/envsci/projects/2010final/PrebleC_2010.pdf</v>
      </c>
      <c r="K790" s="2" t="str" cm="1">
        <f t="array" ref="K790:O790">_xlfn.TAKE(TRIM(_xlfn.TEXTSPLIT(F790,{",",";"})),,5)</f>
        <v>Berkeley-Darfur Stove</v>
      </c>
      <c r="L790" s="2" t="str">
        <v>three-stone fire</v>
      </c>
      <c r="M790" s="2" t="str">
        <v>wood-burning cookstove</v>
      </c>
      <c r="N790" s="2" t="str">
        <v>gas-phase pollutants</v>
      </c>
      <c r="O790" s="2" t="str">
        <v>particulate-phase pollutants</v>
      </c>
      <c r="P790" s="2" t="s">
        <v>9</v>
      </c>
      <c r="Q790" s="2" t="s">
        <v>10</v>
      </c>
    </row>
    <row r="791" spans="1:17" x14ac:dyDescent="0.35">
      <c r="A791" s="2" t="s">
        <v>5884</v>
      </c>
      <c r="B791" s="2" t="s">
        <v>3960</v>
      </c>
      <c r="C791" s="2" t="s">
        <v>3961</v>
      </c>
      <c r="D791" s="2">
        <v>2010</v>
      </c>
      <c r="E791" s="2" t="s">
        <v>3962</v>
      </c>
      <c r="F791" s="2" t="s">
        <v>3963</v>
      </c>
      <c r="G791" s="2" t="s">
        <v>3964</v>
      </c>
      <c r="H791" s="2" t="s">
        <v>3811</v>
      </c>
      <c r="I791" s="2" t="str" cm="1">
        <f t="array" ref="I791">H791 &amp; _xlfn.REGEXEXTRACT(G791,"^[^_]+_\d{4}") &amp; ".pdf"</f>
        <v>https://www.ocf.berkeley.edu/~pkmendez/envsci/projects/2010final/RaiR_2010.pdf</v>
      </c>
      <c r="J791" s="1" t="str">
        <f t="shared" si="13"/>
        <v>https://www.ocf.berkeley.edu/~pkmendez/envsci/projects/2010final/RaiR_2010.pdf</v>
      </c>
      <c r="K791" s="2" t="str" cm="1">
        <f t="array" ref="K791:O791">_xlfn.TAKE(TRIM(_xlfn.TEXTSPLIT(F791,{",",";"})),,5)</f>
        <v>EBMUD</v>
      </c>
      <c r="L791" s="2" t="str">
        <v>Oakland</v>
      </c>
      <c r="M791" s="2" t="str">
        <v>temperature</v>
      </c>
      <c r="N791" s="2" t="str">
        <v>consumption</v>
      </c>
      <c r="O791" s="2" t="str">
        <v>demand</v>
      </c>
      <c r="P791" s="2" t="s">
        <v>9</v>
      </c>
      <c r="Q791" s="2" t="s">
        <v>10</v>
      </c>
    </row>
    <row r="792" spans="1:17" x14ac:dyDescent="0.35">
      <c r="A792" s="2" t="s">
        <v>5884</v>
      </c>
      <c r="B792" s="2" t="s">
        <v>3965</v>
      </c>
      <c r="C792" s="2" t="s">
        <v>3966</v>
      </c>
      <c r="D792" s="2">
        <v>2010</v>
      </c>
      <c r="E792" s="2" t="s">
        <v>3967</v>
      </c>
      <c r="F792" s="2" t="s">
        <v>3968</v>
      </c>
      <c r="G792" s="2" t="s">
        <v>3969</v>
      </c>
      <c r="H792" s="2" t="s">
        <v>3811</v>
      </c>
      <c r="I792" s="2" t="str" cm="1">
        <f t="array" ref="I792">H792 &amp; _xlfn.REGEXEXTRACT(G792,"^[^_]+_\d{4}") &amp; ".pdf"</f>
        <v>https://www.ocf.berkeley.edu/~pkmendez/envsci/projects/2010final/SandersL_2010.pdf</v>
      </c>
      <c r="J792" s="1" t="str">
        <f t="shared" si="13"/>
        <v>https://www.ocf.berkeley.edu/~pkmendez/envsci/projects/2010final/SandersL_2010.pdf</v>
      </c>
      <c r="K792" s="2" t="str" cm="1">
        <f t="array" ref="K792:O792">_xlfn.TAKE(TRIM(_xlfn.TEXTSPLIT(F792,{",",";"})),,5)</f>
        <v>Invasive species</v>
      </c>
      <c r="L792" s="2" t="str">
        <v>Strawberry Creek</v>
      </c>
      <c r="M792" s="2" t="str">
        <v>restoration</v>
      </c>
      <c r="N792" s="2" t="str">
        <v>glyphosate</v>
      </c>
      <c r="O792" s="2" t="str">
        <v>species diversity.</v>
      </c>
      <c r="P792" s="2" t="s">
        <v>9</v>
      </c>
      <c r="Q792" s="2" t="s">
        <v>10</v>
      </c>
    </row>
    <row r="793" spans="1:17" x14ac:dyDescent="0.35">
      <c r="A793" s="2" t="s">
        <v>5884</v>
      </c>
      <c r="B793" s="2" t="s">
        <v>3970</v>
      </c>
      <c r="C793" s="2" t="s">
        <v>3971</v>
      </c>
      <c r="D793" s="2">
        <v>2010</v>
      </c>
      <c r="E793" s="2" t="s">
        <v>3972</v>
      </c>
      <c r="F793" s="2" t="s">
        <v>3973</v>
      </c>
      <c r="G793" s="2" t="s">
        <v>3974</v>
      </c>
      <c r="H793" s="2" t="s">
        <v>3811</v>
      </c>
      <c r="I793" s="2" t="str" cm="1">
        <f t="array" ref="I793">H793 &amp; _xlfn.REGEXEXTRACT(G793,"^[^_]+_\d{4}") &amp; ".pdf"</f>
        <v>https://www.ocf.berkeley.edu/~pkmendez/envsci/projects/2010final/SathayeK_2010.pdf</v>
      </c>
      <c r="J793" s="1" t="str">
        <f t="shared" si="13"/>
        <v>https://www.ocf.berkeley.edu/~pkmendez/envsci/projects/2010final/SathayeK_2010.pdf</v>
      </c>
      <c r="K793" s="2" t="str" cm="1">
        <f t="array" ref="K793:O793">_xlfn.TAKE(TRIM(_xlfn.TEXTSPLIT(F793,{",",";"})),,5)</f>
        <v>Aerosol Indirect Effect</v>
      </c>
      <c r="L793" s="2" t="str">
        <v>Arctic Circle</v>
      </c>
      <c r="M793" s="2" t="str">
        <v>Climate Modeling</v>
      </c>
      <c r="N793" s="2" t="str">
        <v>Cloud Properties</v>
      </c>
      <c r="O793" s="2" t="str">
        <v>Energy Flux</v>
      </c>
      <c r="P793" s="2" t="s">
        <v>9</v>
      </c>
      <c r="Q793" s="2" t="s">
        <v>10</v>
      </c>
    </row>
    <row r="794" spans="1:17" x14ac:dyDescent="0.35">
      <c r="A794" s="2" t="s">
        <v>5884</v>
      </c>
      <c r="B794" s="2" t="s">
        <v>3975</v>
      </c>
      <c r="C794" s="2" t="s">
        <v>3976</v>
      </c>
      <c r="D794" s="2">
        <v>2010</v>
      </c>
      <c r="E794" s="2" t="s">
        <v>3977</v>
      </c>
      <c r="F794" s="2" t="s">
        <v>3978</v>
      </c>
      <c r="G794" s="2" t="s">
        <v>3979</v>
      </c>
      <c r="H794" s="2" t="s">
        <v>3811</v>
      </c>
      <c r="I794" s="2" t="str" cm="1">
        <f t="array" ref="I794">H794 &amp; _xlfn.REGEXEXTRACT(G794,"^[^_]+_\d{4}") &amp; ".pdf"</f>
        <v>https://www.ocf.berkeley.edu/~pkmendez/envsci/projects/2010final/ShahV_2010.pdf</v>
      </c>
      <c r="J794" s="1" t="str">
        <f t="shared" si="13"/>
        <v>https://www.ocf.berkeley.edu/~pkmendez/envsci/projects/2010final/ShahV_2010.pdf</v>
      </c>
      <c r="K794" s="2" t="str" cm="1">
        <f t="array" ref="K794:O794">_xlfn.TAKE(TRIM(_xlfn.TEXTSPLIT(F794,{",",";"})),,5)</f>
        <v>Diversity</v>
      </c>
      <c r="L794" s="2" t="str">
        <v>EPT</v>
      </c>
      <c r="M794" s="2" t="str">
        <v>leaf bag</v>
      </c>
      <c r="N794" s="2" t="str">
        <v>decomposition</v>
      </c>
      <c r="O794" s="2" t="str">
        <v>functional feeding groups (FFG)</v>
      </c>
      <c r="P794" s="2" t="s">
        <v>9</v>
      </c>
      <c r="Q794" s="2" t="s">
        <v>10</v>
      </c>
    </row>
    <row r="795" spans="1:17" x14ac:dyDescent="0.35">
      <c r="A795" s="2" t="s">
        <v>5884</v>
      </c>
      <c r="B795" s="2" t="s">
        <v>3980</v>
      </c>
      <c r="C795" s="2" t="s">
        <v>3981</v>
      </c>
      <c r="D795" s="2">
        <v>2010</v>
      </c>
      <c r="E795" s="2" t="s">
        <v>3982</v>
      </c>
      <c r="F795" s="2" t="s">
        <v>3983</v>
      </c>
      <c r="G795" s="2" t="s">
        <v>3984</v>
      </c>
      <c r="H795" s="2" t="s">
        <v>3811</v>
      </c>
      <c r="I795" s="2" t="str" cm="1">
        <f t="array" ref="I795">H795 &amp; _xlfn.REGEXEXTRACT(G795,"^[^_]+_\d{4}") &amp; ".pdf"</f>
        <v>https://www.ocf.berkeley.edu/~pkmendez/envsci/projects/2010final/TamJ_2010.pdf</v>
      </c>
      <c r="J795" s="1" t="str">
        <f t="shared" si="13"/>
        <v>https://www.ocf.berkeley.edu/~pkmendez/envsci/projects/2010final/TamJ_2010.pdf</v>
      </c>
      <c r="K795" s="2" t="str" cm="1">
        <f t="array" ref="K795:O795">_xlfn.TAKE(TRIM(_xlfn.TEXTSPLIT(F795,{",",";"})),,5)</f>
        <v>albedo</v>
      </c>
      <c r="L795" s="2" t="str">
        <v>reflectivity</v>
      </c>
      <c r="M795" s="2" t="str">
        <v>heat island effect</v>
      </c>
      <c r="N795" s="2" t="str">
        <v>climate action</v>
      </c>
      <c r="O795" s="2" t="str">
        <v>Sacramento Municipal Utility District (SMUD)</v>
      </c>
      <c r="P795" s="2" t="s">
        <v>9</v>
      </c>
      <c r="Q795" s="2" t="s">
        <v>10</v>
      </c>
    </row>
    <row r="796" spans="1:17" x14ac:dyDescent="0.35">
      <c r="A796" s="2" t="s">
        <v>5884</v>
      </c>
      <c r="B796" s="2" t="s">
        <v>3985</v>
      </c>
      <c r="C796" s="2" t="s">
        <v>3986</v>
      </c>
      <c r="D796" s="2">
        <v>2010</v>
      </c>
      <c r="E796" s="2" t="s">
        <v>3987</v>
      </c>
      <c r="F796" s="2" t="s">
        <v>3988</v>
      </c>
      <c r="G796" s="2" t="s">
        <v>3989</v>
      </c>
      <c r="H796" s="2" t="s">
        <v>3811</v>
      </c>
      <c r="I796" s="2" t="str" cm="1">
        <f t="array" ref="I796">H796 &amp; _xlfn.REGEXEXTRACT(G796,"^[^_]+_\d{4}") &amp; ".pdf"</f>
        <v>https://www.ocf.berkeley.edu/~pkmendez/envsci/projects/2010final/TantisukaromA_2010.pdf</v>
      </c>
      <c r="J796" s="1" t="str">
        <f t="shared" si="13"/>
        <v>https://www.ocf.berkeley.edu/~pkmendez/envsci/projects/2010final/TantisukaromA_2010.pdf</v>
      </c>
      <c r="K796" s="2" t="str" cm="1">
        <f t="array" ref="K796:O796">_xlfn.TAKE(TRIM(_xlfn.TEXTSPLIT(F796,{",",";"})),,5)</f>
        <v>Computational Toxicology</v>
      </c>
      <c r="L796" s="2" t="str">
        <v>Quaternary Ammonium Compound</v>
      </c>
      <c r="M796" s="2" t="str">
        <v>Breast Cancer</v>
      </c>
      <c r="N796" s="2" t="str">
        <v>MDL-QSAR</v>
      </c>
      <c r="O796" s="2" t="str">
        <v>Endocrine Disruptor</v>
      </c>
      <c r="P796" s="2" t="s">
        <v>9</v>
      </c>
      <c r="Q796" s="2" t="s">
        <v>10</v>
      </c>
    </row>
    <row r="797" spans="1:17" x14ac:dyDescent="0.35">
      <c r="A797" s="2" t="s">
        <v>5884</v>
      </c>
      <c r="B797" s="2" t="s">
        <v>3990</v>
      </c>
      <c r="C797" s="2" t="s">
        <v>3991</v>
      </c>
      <c r="D797" s="2">
        <v>2010</v>
      </c>
      <c r="E797" s="2" t="s">
        <v>3992</v>
      </c>
      <c r="F797" s="2" t="s">
        <v>3993</v>
      </c>
      <c r="G797" s="2" t="s">
        <v>3994</v>
      </c>
      <c r="H797" s="2" t="s">
        <v>3811</v>
      </c>
      <c r="I797" s="2" t="str" cm="1">
        <f t="array" ref="I797">H797 &amp; _xlfn.REGEXEXTRACT(G797,"^[^_]+_\d{4}") &amp; ".pdf"</f>
        <v>https://www.ocf.berkeley.edu/~pkmendez/envsci/projects/2010final/ValentiA_2010.pdf</v>
      </c>
      <c r="J797" s="1" t="str">
        <f t="shared" si="13"/>
        <v>https://www.ocf.berkeley.edu/~pkmendez/envsci/projects/2010final/ValentiA_2010.pdf</v>
      </c>
      <c r="K797" s="2" t="str" cm="1">
        <f t="array" ref="K797:O797">_xlfn.TAKE(TRIM(_xlfn.TEXTSPLIT(F797,{",",";"})),,5)</f>
        <v>Carbon sequestration</v>
      </c>
      <c r="L797" s="2" t="str">
        <v>turfgrass</v>
      </c>
      <c r="M797" s="2" t="str">
        <v>WEST model</v>
      </c>
      <c r="N797" s="2" t="str">
        <v>CENTURY model</v>
      </c>
      <c r="O797" s="2" t="str">
        <v>EIO-LCA</v>
      </c>
      <c r="P797" s="2" t="s">
        <v>9</v>
      </c>
      <c r="Q797" s="2" t="s">
        <v>10</v>
      </c>
    </row>
    <row r="798" spans="1:17" x14ac:dyDescent="0.35">
      <c r="A798" s="2" t="s">
        <v>5884</v>
      </c>
      <c r="B798" s="2" t="s">
        <v>3995</v>
      </c>
      <c r="C798" s="2" t="s">
        <v>3996</v>
      </c>
      <c r="D798" s="2">
        <v>2010</v>
      </c>
      <c r="E798" s="2" t="s">
        <v>3997</v>
      </c>
      <c r="F798" s="2" t="s">
        <v>3998</v>
      </c>
      <c r="G798" s="2" t="s">
        <v>3999</v>
      </c>
      <c r="H798" s="2" t="s">
        <v>3811</v>
      </c>
      <c r="I798" s="2" t="str" cm="1">
        <f t="array" ref="I798">H798 &amp; _xlfn.REGEXEXTRACT(G798,"^[^_]+_\d{4}") &amp; ".pdf"</f>
        <v>https://www.ocf.berkeley.edu/~pkmendez/envsci/projects/2010final/WatsonK_2010.pdf</v>
      </c>
      <c r="J798" s="1" t="str">
        <f t="shared" si="13"/>
        <v>https://www.ocf.berkeley.edu/~pkmendez/envsci/projects/2010final/WatsonK_2010.pdf</v>
      </c>
      <c r="K798" s="2" t="str" cm="1">
        <f t="array" ref="K798:O798">_xlfn.TAKE(TRIM(_xlfn.TEXTSPLIT(F798,{",",";"})),,5)</f>
        <v>Lagunitas Creek</v>
      </c>
      <c r="L798" s="2" t="str">
        <v>scales</v>
      </c>
      <c r="M798" s="2" t="str">
        <v>residual analysis</v>
      </c>
      <c r="N798" s="2" t="str">
        <v>migration patterns</v>
      </c>
      <c r="O798" s="2" t="str">
        <v>circuli</v>
      </c>
      <c r="P798" s="2" t="s">
        <v>9</v>
      </c>
      <c r="Q798" s="2" t="s">
        <v>10</v>
      </c>
    </row>
    <row r="799" spans="1:17" x14ac:dyDescent="0.35">
      <c r="A799" s="2" t="s">
        <v>5884</v>
      </c>
      <c r="B799" s="2" t="s">
        <v>4000</v>
      </c>
      <c r="C799" s="2" t="s">
        <v>4001</v>
      </c>
      <c r="D799" s="2">
        <v>2010</v>
      </c>
      <c r="E799" s="2" t="s">
        <v>4002</v>
      </c>
      <c r="F799" s="2" t="s">
        <v>4003</v>
      </c>
      <c r="G799" s="2" t="s">
        <v>4004</v>
      </c>
      <c r="H799" s="2" t="s">
        <v>3811</v>
      </c>
      <c r="I799" s="2" t="str" cm="1">
        <f t="array" ref="I799">H799 &amp; _xlfn.REGEXEXTRACT(G799,"^[^_]+_\d{4}") &amp; ".pdf"</f>
        <v>https://www.ocf.berkeley.edu/~pkmendez/envsci/projects/2010final/WelzelK_2010.pdf</v>
      </c>
      <c r="J799" s="1" t="str">
        <f t="shared" si="13"/>
        <v>https://www.ocf.berkeley.edu/~pkmendez/envsci/projects/2010final/WelzelK_2010.pdf</v>
      </c>
      <c r="K799" s="2" t="str" cm="1">
        <f t="array" ref="K799:O799">_xlfn.TAKE(TRIM(_xlfn.TEXTSPLIT(F799,{",",";"})),,5)</f>
        <v>Native bees</v>
      </c>
      <c r="L799" s="2" t="str">
        <v>urban agriculture</v>
      </c>
      <c r="M799" s="2" t="str">
        <v>ecosystem services</v>
      </c>
      <c r="N799" s="2" t="str">
        <v>honey bees</v>
      </c>
      <c r="O799" s="2" t="str">
        <v>CCD</v>
      </c>
      <c r="P799" s="2" t="s">
        <v>9</v>
      </c>
      <c r="Q799" s="2" t="s">
        <v>10</v>
      </c>
    </row>
    <row r="800" spans="1:17" x14ac:dyDescent="0.35">
      <c r="A800" s="2" t="s">
        <v>5884</v>
      </c>
      <c r="B800" s="2" t="s">
        <v>4005</v>
      </c>
      <c r="C800" s="2" t="s">
        <v>4006</v>
      </c>
      <c r="D800" s="2">
        <v>2010</v>
      </c>
      <c r="E800" s="2" t="s">
        <v>4007</v>
      </c>
      <c r="F800" s="2" t="s">
        <v>4008</v>
      </c>
      <c r="G800" s="2" t="s">
        <v>4009</v>
      </c>
      <c r="H800" s="2" t="s">
        <v>3811</v>
      </c>
      <c r="I800" s="2" t="str" cm="1">
        <f t="array" ref="I800">H800 &amp; _xlfn.REGEXEXTRACT(G800,"^[^_]+_\d{4}") &amp; ".pdf"</f>
        <v>https://www.ocf.berkeley.edu/~pkmendez/envsci/projects/2010final/YangN_2010.pdf</v>
      </c>
      <c r="J800" s="1" t="str">
        <f t="shared" si="13"/>
        <v>https://www.ocf.berkeley.edu/~pkmendez/envsci/projects/2010final/YangN_2010.pdf</v>
      </c>
      <c r="K800" s="2" t="str" cm="1">
        <f t="array" ref="K800:O800">_xlfn.TAKE(TRIM(_xlfn.TEXTSPLIT(F800,{",",";"})),,5)</f>
        <v>improved cookstoves</v>
      </c>
      <c r="L800" s="2" t="str">
        <v>internally displaced persons (IDPs)</v>
      </c>
      <c r="M800" s="2" t="str">
        <v>fuel consumption</v>
      </c>
      <c r="N800" s="2" t="str">
        <v>thermal efficiency</v>
      </c>
      <c r="O800" s="2" t="str">
        <v>appropriate technology</v>
      </c>
      <c r="P800" s="2" t="s">
        <v>9</v>
      </c>
      <c r="Q800" s="2" t="s">
        <v>10</v>
      </c>
    </row>
    <row r="801" spans="1:17" x14ac:dyDescent="0.35">
      <c r="A801" s="2" t="s">
        <v>5884</v>
      </c>
      <c r="B801" s="2" t="s">
        <v>4010</v>
      </c>
      <c r="C801" s="2" t="s">
        <v>4011</v>
      </c>
      <c r="D801" s="2">
        <v>2010</v>
      </c>
      <c r="E801" s="2" t="s">
        <v>4012</v>
      </c>
      <c r="F801" s="2" t="s">
        <v>4013</v>
      </c>
      <c r="G801" s="2" t="s">
        <v>4014</v>
      </c>
      <c r="H801" s="2" t="s">
        <v>3811</v>
      </c>
      <c r="I801" s="2" t="str" cm="1">
        <f t="array" ref="I801">H801 &amp; _xlfn.REGEXEXTRACT(G801,"^[^_]+_\d{4}") &amp; ".pdf"</f>
        <v>https://www.ocf.berkeley.edu/~pkmendez/envsci/projects/2010final/YeoK_2010.pdf</v>
      </c>
      <c r="J801" s="1" t="str">
        <f t="shared" si="13"/>
        <v>https://www.ocf.berkeley.edu/~pkmendez/envsci/projects/2010final/YeoK_2010.pdf</v>
      </c>
      <c r="K801" s="2" t="str" cm="1">
        <f t="array" ref="K801:O801">_xlfn.TAKE(TRIM(_xlfn.TEXTSPLIT(F801,{",",";"})),,5)</f>
        <v>Wastewater</v>
      </c>
      <c r="L801" s="2" t="str">
        <v>treatment plant</v>
      </c>
      <c r="M801" s="2" t="str">
        <v>pretreatment</v>
      </c>
      <c r="N801" s="2" t="str">
        <v>tertiary filtration</v>
      </c>
      <c r="O801" s="2" t="str">
        <v>population</v>
      </c>
      <c r="P801" s="2" t="s">
        <v>9</v>
      </c>
      <c r="Q801" s="2" t="s">
        <v>10</v>
      </c>
    </row>
    <row r="802" spans="1:17" x14ac:dyDescent="0.35">
      <c r="A802" s="2" t="s">
        <v>5884</v>
      </c>
      <c r="B802" s="2" t="s">
        <v>4010</v>
      </c>
      <c r="C802" s="2" t="s">
        <v>4011</v>
      </c>
      <c r="D802" s="2">
        <v>2010</v>
      </c>
      <c r="E802" s="2" t="s">
        <v>4012</v>
      </c>
      <c r="F802" s="2" t="s">
        <v>4013</v>
      </c>
      <c r="G802" s="2" t="s">
        <v>4015</v>
      </c>
      <c r="H802" s="2" t="s">
        <v>3811</v>
      </c>
      <c r="I802" s="2" t="str" cm="1">
        <f t="array" ref="I802">H802 &amp; _xlfn.REGEXEXTRACT(G802,"^[^_]+_\d{4}") &amp; ".pdf"</f>
        <v>https://www.ocf.berkeley.edu/~pkmendez/envsci/projects/2010final/YeoK_2010.pdf</v>
      </c>
      <c r="J802" s="1" t="str">
        <f t="shared" si="13"/>
        <v>https://www.ocf.berkeley.edu/~pkmendez/envsci/projects/2010final/YeoK_2010.pdf</v>
      </c>
      <c r="K802" s="2" t="str" cm="1">
        <f t="array" ref="K802:O802">_xlfn.TAKE(TRIM(_xlfn.TEXTSPLIT(F802,{",",";"})),,5)</f>
        <v>Wastewater</v>
      </c>
      <c r="L802" s="2" t="str">
        <v>treatment plant</v>
      </c>
      <c r="M802" s="2" t="str">
        <v>pretreatment</v>
      </c>
      <c r="N802" s="2" t="str">
        <v>tertiary filtration</v>
      </c>
      <c r="O802" s="2" t="str">
        <v>population</v>
      </c>
      <c r="P802" s="2" t="s">
        <v>9</v>
      </c>
      <c r="Q802" s="2" t="s">
        <v>10</v>
      </c>
    </row>
    <row r="803" spans="1:17" x14ac:dyDescent="0.35">
      <c r="A803" s="2" t="s">
        <v>5884</v>
      </c>
      <c r="B803" s="2" t="s">
        <v>4016</v>
      </c>
      <c r="C803" s="2" t="s">
        <v>4017</v>
      </c>
      <c r="D803" s="2">
        <v>2010</v>
      </c>
      <c r="E803" s="2" t="s">
        <v>4018</v>
      </c>
      <c r="F803" s="2" t="s">
        <v>4019</v>
      </c>
      <c r="G803" s="2" t="s">
        <v>4020</v>
      </c>
      <c r="H803" s="2" t="s">
        <v>3811</v>
      </c>
      <c r="I803" s="2" t="str" cm="1">
        <f t="array" ref="I803">H803 &amp; _xlfn.REGEXEXTRACT(G803,"^[^_]+_\d{4}") &amp; "_abstract.pdf"</f>
        <v>https://www.ocf.berkeley.edu/~pkmendez/envsci/projects/2010final/ZhengC_2010_abstract.pdf</v>
      </c>
      <c r="J803" s="1" t="str">
        <f t="shared" si="13"/>
        <v>https://www.ocf.berkeley.edu/~pkmendez/envsci/projects/2010final/ZhengC_2010_abstract.pdf</v>
      </c>
      <c r="K803" s="2" t="str" cm="1">
        <f t="array" ref="K803:O803">_xlfn.TAKE(TRIM(_xlfn.TEXTSPLIT(F803,{",",";"})),,5)</f>
        <v>Geography</v>
      </c>
      <c r="L803" s="2" t="str">
        <v>developmental</v>
      </c>
      <c r="M803" s="2" t="str">
        <v>regulation</v>
      </c>
      <c r="N803" s="2" t="str">
        <v>RPP1</v>
      </c>
      <c r="O803" s="2" t="str">
        <v>ATR1</v>
      </c>
      <c r="P803" s="2" t="s">
        <v>9</v>
      </c>
      <c r="Q803" s="2" t="s">
        <v>10</v>
      </c>
    </row>
    <row r="804" spans="1:17" x14ac:dyDescent="0.35">
      <c r="A804" s="2" t="s">
        <v>5884</v>
      </c>
      <c r="B804" s="2" t="s">
        <v>4021</v>
      </c>
      <c r="C804" s="2" t="s">
        <v>4022</v>
      </c>
      <c r="D804" s="2">
        <v>2009</v>
      </c>
      <c r="E804" s="2" t="s">
        <v>4023</v>
      </c>
      <c r="G804" s="2" t="s">
        <v>4024</v>
      </c>
      <c r="H804" s="2" t="s">
        <v>4173</v>
      </c>
      <c r="I804" s="2" t="str" cm="1">
        <f t="array" ref="I804">H804 &amp; _xlfn.REGEXEXTRACT(G804,"^[^_]+_\d{4}") &amp; ".pdf"</f>
        <v>https://www.ocf.berkeley.edu/~pkmendez/envsci/projects/2009final/AndersonD_2009.pdf</v>
      </c>
      <c r="J804" s="1" t="str">
        <f t="shared" si="13"/>
        <v>https://www.ocf.berkeley.edu/~pkmendez/envsci/projects/2009final/AndersonD_2009.pdf</v>
      </c>
      <c r="P804" s="2" t="s">
        <v>9</v>
      </c>
      <c r="Q804" s="2" t="s">
        <v>10</v>
      </c>
    </row>
    <row r="805" spans="1:17" x14ac:dyDescent="0.35">
      <c r="A805" s="2" t="s">
        <v>5884</v>
      </c>
      <c r="B805" s="2" t="s">
        <v>4025</v>
      </c>
      <c r="C805" s="2" t="s">
        <v>4026</v>
      </c>
      <c r="D805" s="2">
        <v>2009</v>
      </c>
      <c r="E805" s="2" t="s">
        <v>4027</v>
      </c>
      <c r="G805" s="2" t="s">
        <v>4028</v>
      </c>
      <c r="H805" s="2" t="s">
        <v>4173</v>
      </c>
      <c r="I805" s="2" t="str" cm="1">
        <f t="array" ref="I805">H805 &amp; _xlfn.REGEXEXTRACT(G805,"^[^_]+_\d{4}") &amp; ".pdf"</f>
        <v>https://www.ocf.berkeley.edu/~pkmendez/envsci/projects/2009final/BarbaneZ_2009.pdf</v>
      </c>
      <c r="J805" s="1" t="str">
        <f t="shared" si="13"/>
        <v>https://www.ocf.berkeley.edu/~pkmendez/envsci/projects/2009final/BarbaneZ_2009.pdf</v>
      </c>
      <c r="P805" s="2" t="s">
        <v>9</v>
      </c>
      <c r="Q805" s="2" t="s">
        <v>10</v>
      </c>
    </row>
    <row r="806" spans="1:17" x14ac:dyDescent="0.35">
      <c r="A806" s="2" t="s">
        <v>5884</v>
      </c>
      <c r="B806" s="2" t="s">
        <v>4029</v>
      </c>
      <c r="C806" s="2" t="s">
        <v>4030</v>
      </c>
      <c r="D806" s="2">
        <v>2009</v>
      </c>
      <c r="E806" s="2" t="s">
        <v>4031</v>
      </c>
      <c r="G806" s="2" t="s">
        <v>4032</v>
      </c>
      <c r="H806" s="2" t="s">
        <v>4173</v>
      </c>
      <c r="I806" s="2" t="str" cm="1">
        <f t="array" ref="I806">H806 &amp; _xlfn.REGEXEXTRACT(G806,"^[^_]+_\d{4}") &amp; ".pdf"</f>
        <v>https://www.ocf.berkeley.edu/~pkmendez/envsci/projects/2009final/BatjargalO_2009.pdf</v>
      </c>
      <c r="J806" s="1" t="str">
        <f t="shared" si="13"/>
        <v>https://www.ocf.berkeley.edu/~pkmendez/envsci/projects/2009final/BatjargalO_2009.pdf</v>
      </c>
      <c r="P806" s="2" t="s">
        <v>9</v>
      </c>
      <c r="Q806" s="2" t="s">
        <v>10</v>
      </c>
    </row>
    <row r="807" spans="1:17" x14ac:dyDescent="0.35">
      <c r="A807" s="2" t="s">
        <v>5884</v>
      </c>
      <c r="B807" s="2" t="s">
        <v>4033</v>
      </c>
      <c r="C807" s="2" t="s">
        <v>4034</v>
      </c>
      <c r="D807" s="2">
        <v>2009</v>
      </c>
      <c r="E807" s="2" t="s">
        <v>4035</v>
      </c>
      <c r="G807" s="2" t="s">
        <v>4036</v>
      </c>
      <c r="H807" s="2" t="s">
        <v>4173</v>
      </c>
      <c r="I807" s="2" t="str" cm="1">
        <f t="array" ref="I807">H807 &amp; _xlfn.REGEXEXTRACT(G807,"^[^_]+_\d{4}") &amp; ".pdf"</f>
        <v>https://www.ocf.berkeley.edu/~pkmendez/envsci/projects/2009final/BentsonS_2009.pdf</v>
      </c>
      <c r="J807" s="1" t="str">
        <f t="shared" si="13"/>
        <v>https://www.ocf.berkeley.edu/~pkmendez/envsci/projects/2009final/BentsonS_2009.pdf</v>
      </c>
      <c r="P807" s="2" t="s">
        <v>9</v>
      </c>
      <c r="Q807" s="2" t="s">
        <v>10</v>
      </c>
    </row>
    <row r="808" spans="1:17" x14ac:dyDescent="0.35">
      <c r="A808" s="2" t="s">
        <v>5884</v>
      </c>
      <c r="B808" s="2" t="s">
        <v>4037</v>
      </c>
      <c r="C808" s="2" t="s">
        <v>4038</v>
      </c>
      <c r="D808" s="2">
        <v>2009</v>
      </c>
      <c r="E808" s="2" t="s">
        <v>4039</v>
      </c>
      <c r="G808" s="2" t="s">
        <v>4040</v>
      </c>
      <c r="H808" s="2" t="s">
        <v>4173</v>
      </c>
      <c r="I808" s="2" t="str" cm="1">
        <f t="array" ref="I808">H808 &amp; _xlfn.REGEXEXTRACT(G808,"^[^_]+_\d{4}") &amp; ".pdf"</f>
        <v>https://www.ocf.berkeley.edu/~pkmendez/envsci/projects/2009final/ChambersA_2009.pdf</v>
      </c>
      <c r="J808" s="1" t="str">
        <f t="shared" si="13"/>
        <v>https://www.ocf.berkeley.edu/~pkmendez/envsci/projects/2009final/ChambersA_2009.pdf</v>
      </c>
      <c r="P808" s="2" t="s">
        <v>9</v>
      </c>
      <c r="Q808" s="2" t="s">
        <v>10</v>
      </c>
    </row>
    <row r="809" spans="1:17" x14ac:dyDescent="0.35">
      <c r="A809" s="2" t="s">
        <v>5884</v>
      </c>
      <c r="B809" s="2" t="s">
        <v>4041</v>
      </c>
      <c r="C809" s="2" t="s">
        <v>4042</v>
      </c>
      <c r="D809" s="2">
        <v>2009</v>
      </c>
      <c r="E809" s="2" t="s">
        <v>4043</v>
      </c>
      <c r="G809" s="2" t="s">
        <v>4044</v>
      </c>
      <c r="H809" s="2" t="s">
        <v>4173</v>
      </c>
      <c r="I809" s="2" t="str" cm="1">
        <f t="array" ref="I809">H809 &amp; _xlfn.REGEXEXTRACT(G809,"^[^_]+_\d{4}") &amp; ".pdf"</f>
        <v>https://www.ocf.berkeley.edu/~pkmendez/envsci/projects/2009final/ChenC_2009.pdf</v>
      </c>
      <c r="J809" s="1" t="str">
        <f t="shared" si="13"/>
        <v>https://www.ocf.berkeley.edu/~pkmendez/envsci/projects/2009final/ChenC_2009.pdf</v>
      </c>
      <c r="P809" s="2" t="s">
        <v>9</v>
      </c>
      <c r="Q809" s="2" t="s">
        <v>10</v>
      </c>
    </row>
    <row r="810" spans="1:17" x14ac:dyDescent="0.35">
      <c r="A810" s="2" t="s">
        <v>5884</v>
      </c>
      <c r="B810" s="2" t="s">
        <v>4045</v>
      </c>
      <c r="C810" s="2" t="s">
        <v>4046</v>
      </c>
      <c r="D810" s="2">
        <v>2009</v>
      </c>
      <c r="E810" s="2" t="s">
        <v>4047</v>
      </c>
      <c r="G810" s="2" t="s">
        <v>4048</v>
      </c>
      <c r="H810" s="2" t="s">
        <v>4173</v>
      </c>
      <c r="I810" s="2" t="str" cm="1">
        <f t="array" ref="I810">H810 &amp; _xlfn.REGEXEXTRACT(G810,"^[^_]+_\d{4}") &amp; ".pdf"</f>
        <v>https://www.ocf.berkeley.edu/~pkmendez/envsci/projects/2009final/ChenW_2009.pdf</v>
      </c>
      <c r="J810" s="1" t="str">
        <f t="shared" si="13"/>
        <v>https://www.ocf.berkeley.edu/~pkmendez/envsci/projects/2009final/ChenW_2009.pdf</v>
      </c>
      <c r="P810" s="2" t="s">
        <v>9</v>
      </c>
      <c r="Q810" s="2" t="s">
        <v>10</v>
      </c>
    </row>
    <row r="811" spans="1:17" x14ac:dyDescent="0.35">
      <c r="A811" s="2" t="s">
        <v>5884</v>
      </c>
      <c r="B811" s="2" t="s">
        <v>4049</v>
      </c>
      <c r="C811" s="2" t="s">
        <v>4050</v>
      </c>
      <c r="D811" s="2">
        <v>2009</v>
      </c>
      <c r="E811" s="2" t="s">
        <v>4051</v>
      </c>
      <c r="G811" s="2" t="s">
        <v>4052</v>
      </c>
      <c r="H811" s="2" t="s">
        <v>4173</v>
      </c>
      <c r="I811" s="2" t="str" cm="1">
        <f t="array" ref="I811">H811 &amp; _xlfn.REGEXEXTRACT(G811,"^[^_]+_\d{4}") &amp; ".pdf"</f>
        <v>https://www.ocf.berkeley.edu/~pkmendez/envsci/projects/2009final/ChoiE_2009.pdf</v>
      </c>
      <c r="J811" s="1" t="str">
        <f t="shared" si="13"/>
        <v>https://www.ocf.berkeley.edu/~pkmendez/envsci/projects/2009final/ChoiE_2009.pdf</v>
      </c>
      <c r="P811" s="2" t="s">
        <v>9</v>
      </c>
      <c r="Q811" s="2" t="s">
        <v>10</v>
      </c>
    </row>
    <row r="812" spans="1:17" x14ac:dyDescent="0.35">
      <c r="A812" s="2" t="s">
        <v>5884</v>
      </c>
      <c r="B812" s="2" t="s">
        <v>4053</v>
      </c>
      <c r="C812" s="2" t="s">
        <v>4054</v>
      </c>
      <c r="D812" s="2">
        <v>2009</v>
      </c>
      <c r="E812" s="2" t="s">
        <v>4055</v>
      </c>
      <c r="G812" s="2" t="s">
        <v>4056</v>
      </c>
      <c r="H812" s="2" t="s">
        <v>4173</v>
      </c>
      <c r="I812" s="2" t="str" cm="1">
        <f t="array" ref="I812">H812 &amp; _xlfn.REGEXEXTRACT(G812,"^[^_]+_\d{4}") &amp; ".pdf"</f>
        <v>https://www.ocf.berkeley.edu/~pkmendez/envsci/projects/2009final/ChuA_2009.pdf</v>
      </c>
      <c r="J812" s="1" t="str">
        <f t="shared" si="13"/>
        <v>https://www.ocf.berkeley.edu/~pkmendez/envsci/projects/2009final/ChuA_2009.pdf</v>
      </c>
      <c r="P812" s="2" t="s">
        <v>9</v>
      </c>
      <c r="Q812" s="2" t="s">
        <v>10</v>
      </c>
    </row>
    <row r="813" spans="1:17" x14ac:dyDescent="0.35">
      <c r="A813" s="2" t="s">
        <v>5884</v>
      </c>
      <c r="B813" s="2" t="s">
        <v>4057</v>
      </c>
      <c r="C813" s="2" t="s">
        <v>4058</v>
      </c>
      <c r="D813" s="2">
        <v>2009</v>
      </c>
      <c r="E813" s="2" t="s">
        <v>4059</v>
      </c>
      <c r="G813" s="2" t="s">
        <v>4060</v>
      </c>
      <c r="H813" s="2" t="s">
        <v>4173</v>
      </c>
      <c r="I813" s="2" t="str" cm="1">
        <f t="array" ref="I813">H813 &amp; _xlfn.REGEXEXTRACT(G813,"^[^_]+_\d{4}") &amp; ".pdf"</f>
        <v>https://www.ocf.berkeley.edu/~pkmendez/envsci/projects/2009final/DashR_2009.pdf</v>
      </c>
      <c r="J813" s="1" t="str">
        <f t="shared" si="13"/>
        <v>https://www.ocf.berkeley.edu/~pkmendez/envsci/projects/2009final/DashR_2009.pdf</v>
      </c>
      <c r="P813" s="2" t="s">
        <v>9</v>
      </c>
      <c r="Q813" s="2" t="s">
        <v>10</v>
      </c>
    </row>
    <row r="814" spans="1:17" x14ac:dyDescent="0.35">
      <c r="A814" s="2" t="s">
        <v>5884</v>
      </c>
      <c r="B814" s="2" t="s">
        <v>4061</v>
      </c>
      <c r="C814" s="2" t="s">
        <v>4062</v>
      </c>
      <c r="D814" s="2">
        <v>2009</v>
      </c>
      <c r="E814" s="2" t="s">
        <v>4063</v>
      </c>
      <c r="G814" s="2" t="s">
        <v>4064</v>
      </c>
      <c r="H814" s="2" t="s">
        <v>4173</v>
      </c>
      <c r="I814" s="2" t="str" cm="1">
        <f t="array" ref="I814">H814 &amp; _xlfn.REGEXEXTRACT(G814,"^[^_]+_\d{4}") &amp; ".pdf"</f>
        <v>https://www.ocf.berkeley.edu/~pkmendez/envsci/projects/2009final/Dibble_2009.pdf</v>
      </c>
      <c r="J814" s="1" t="str">
        <f t="shared" si="13"/>
        <v>https://www.ocf.berkeley.edu/~pkmendez/envsci/projects/2009final/Dibble_2009.pdf</v>
      </c>
      <c r="P814" s="2" t="s">
        <v>9</v>
      </c>
      <c r="Q814" s="2" t="s">
        <v>10</v>
      </c>
    </row>
    <row r="815" spans="1:17" x14ac:dyDescent="0.35">
      <c r="A815" s="2" t="s">
        <v>5884</v>
      </c>
      <c r="B815" s="2" t="s">
        <v>4065</v>
      </c>
      <c r="C815" s="2" t="s">
        <v>4066</v>
      </c>
      <c r="D815" s="2">
        <v>2009</v>
      </c>
      <c r="E815" s="2" t="s">
        <v>4067</v>
      </c>
      <c r="G815" s="2" t="s">
        <v>4068</v>
      </c>
      <c r="H815" s="2" t="s">
        <v>4173</v>
      </c>
      <c r="I815" s="2" t="str" cm="1">
        <f t="array" ref="I815">H815 &amp; _xlfn.REGEXEXTRACT(G815,"^[^_]+_\d{4}") &amp; ".pdf"</f>
        <v>https://www.ocf.berkeley.edu/~pkmendez/envsci/projects/2009final/FinkelH_2009.pdf</v>
      </c>
      <c r="J815" s="1" t="str">
        <f t="shared" si="13"/>
        <v>https://www.ocf.berkeley.edu/~pkmendez/envsci/projects/2009final/FinkelH_2009.pdf</v>
      </c>
      <c r="P815" s="2" t="s">
        <v>9</v>
      </c>
      <c r="Q815" s="2" t="s">
        <v>10</v>
      </c>
    </row>
    <row r="816" spans="1:17" x14ac:dyDescent="0.35">
      <c r="A816" s="2" t="s">
        <v>5884</v>
      </c>
      <c r="B816" s="2" t="s">
        <v>4069</v>
      </c>
      <c r="C816" s="2" t="s">
        <v>4070</v>
      </c>
      <c r="D816" s="2">
        <v>2009</v>
      </c>
      <c r="E816" s="2" t="s">
        <v>4071</v>
      </c>
      <c r="G816" s="2" t="s">
        <v>4072</v>
      </c>
      <c r="H816" s="2" t="s">
        <v>4173</v>
      </c>
      <c r="I816" s="2" t="str" cm="1">
        <f t="array" ref="I816">H816 &amp; _xlfn.REGEXEXTRACT(G816,"^[^_]+_\d{4}") &amp; ".pdf"</f>
        <v>https://www.ocf.berkeley.edu/~pkmendez/envsci/projects/2009final/FokE_2009.pdf</v>
      </c>
      <c r="J816" s="1" t="str">
        <f t="shared" si="13"/>
        <v>https://www.ocf.berkeley.edu/~pkmendez/envsci/projects/2009final/FokE_2009.pdf</v>
      </c>
      <c r="P816" s="2" t="s">
        <v>9</v>
      </c>
      <c r="Q816" s="2" t="s">
        <v>10</v>
      </c>
    </row>
    <row r="817" spans="1:17" x14ac:dyDescent="0.35">
      <c r="A817" s="2" t="s">
        <v>5884</v>
      </c>
      <c r="B817" s="2" t="s">
        <v>4073</v>
      </c>
      <c r="C817" s="2" t="s">
        <v>4074</v>
      </c>
      <c r="D817" s="2">
        <v>2009</v>
      </c>
      <c r="E817" s="2" t="s">
        <v>4075</v>
      </c>
      <c r="G817" s="2" t="s">
        <v>4076</v>
      </c>
      <c r="H817" s="2" t="s">
        <v>4173</v>
      </c>
      <c r="I817" s="2" t="str" cm="1">
        <f t="array" ref="I817">H817 &amp; _xlfn.REGEXEXTRACT(G817,"^[^_]+_\d{4}") &amp; ".pdf"</f>
        <v>https://www.ocf.berkeley.edu/~pkmendez/envsci/projects/2009final/HansenM_2009.pdf</v>
      </c>
      <c r="J817" s="1" t="str">
        <f t="shared" si="13"/>
        <v>https://www.ocf.berkeley.edu/~pkmendez/envsci/projects/2009final/HansenM_2009.pdf</v>
      </c>
      <c r="P817" s="2" t="s">
        <v>9</v>
      </c>
      <c r="Q817" s="2" t="s">
        <v>10</v>
      </c>
    </row>
    <row r="818" spans="1:17" x14ac:dyDescent="0.35">
      <c r="A818" s="2" t="s">
        <v>5884</v>
      </c>
      <c r="B818" s="2" t="s">
        <v>4077</v>
      </c>
      <c r="C818" s="2" t="s">
        <v>4078</v>
      </c>
      <c r="D818" s="2">
        <v>2009</v>
      </c>
      <c r="E818" s="2" t="s">
        <v>4079</v>
      </c>
      <c r="G818" s="2" t="s">
        <v>4080</v>
      </c>
      <c r="H818" s="2" t="s">
        <v>4173</v>
      </c>
      <c r="I818" s="2" t="str" cm="1">
        <f t="array" ref="I818">H818 &amp; _xlfn.REGEXEXTRACT(G818,"^[^_]+_\d{4}") &amp; ".pdf"</f>
        <v>https://www.ocf.berkeley.edu/~pkmendez/envsci/projects/2009final/HsuW_2009.pdf</v>
      </c>
      <c r="J818" s="1" t="str">
        <f t="shared" si="13"/>
        <v>https://www.ocf.berkeley.edu/~pkmendez/envsci/projects/2009final/HsuW_2009.pdf</v>
      </c>
      <c r="P818" s="2" t="s">
        <v>9</v>
      </c>
      <c r="Q818" s="2" t="s">
        <v>10</v>
      </c>
    </row>
    <row r="819" spans="1:17" x14ac:dyDescent="0.35">
      <c r="A819" s="2" t="s">
        <v>5884</v>
      </c>
      <c r="B819" s="2" t="s">
        <v>4081</v>
      </c>
      <c r="C819" s="2" t="s">
        <v>4082</v>
      </c>
      <c r="D819" s="2">
        <v>2009</v>
      </c>
      <c r="E819" s="2" t="s">
        <v>4083</v>
      </c>
      <c r="G819" s="2" t="s">
        <v>4084</v>
      </c>
      <c r="H819" s="2" t="s">
        <v>4173</v>
      </c>
      <c r="I819" s="2" t="str" cm="1">
        <f t="array" ref="I819">H819 &amp; _xlfn.REGEXEXTRACT(G819,"^[^_]+_\d{4}") &amp; ".pdf"</f>
        <v>https://www.ocf.berkeley.edu/~pkmendez/envsci/projects/2009final/KaneR_2009.pdf</v>
      </c>
      <c r="J819" s="1" t="str">
        <f t="shared" si="13"/>
        <v>https://www.ocf.berkeley.edu/~pkmendez/envsci/projects/2009final/KaneR_2009.pdf</v>
      </c>
      <c r="P819" s="2" t="s">
        <v>9</v>
      </c>
      <c r="Q819" s="2" t="s">
        <v>10</v>
      </c>
    </row>
    <row r="820" spans="1:17" x14ac:dyDescent="0.35">
      <c r="A820" s="2" t="s">
        <v>5884</v>
      </c>
      <c r="B820" s="2" t="s">
        <v>4085</v>
      </c>
      <c r="C820" s="2" t="s">
        <v>4086</v>
      </c>
      <c r="D820" s="2">
        <v>2009</v>
      </c>
      <c r="E820" s="2" t="s">
        <v>4087</v>
      </c>
      <c r="G820" s="2" t="s">
        <v>4088</v>
      </c>
      <c r="H820" s="2" t="s">
        <v>4173</v>
      </c>
      <c r="I820" s="2" t="str" cm="1">
        <f t="array" ref="I820">H820 &amp; _xlfn.REGEXEXTRACT(G820,"^[^_]+_\d{4}") &amp; ".pdf"</f>
        <v>https://www.ocf.berkeley.edu/~pkmendez/envsci/projects/2009final/KitajimaK_2009.pdf</v>
      </c>
      <c r="J820" s="1" t="str">
        <f t="shared" si="13"/>
        <v>https://www.ocf.berkeley.edu/~pkmendez/envsci/projects/2009final/KitajimaK_2009.pdf</v>
      </c>
      <c r="P820" s="2" t="s">
        <v>9</v>
      </c>
      <c r="Q820" s="2" t="s">
        <v>10</v>
      </c>
    </row>
    <row r="821" spans="1:17" x14ac:dyDescent="0.35">
      <c r="A821" s="2" t="s">
        <v>5884</v>
      </c>
      <c r="B821" s="2" t="s">
        <v>4089</v>
      </c>
      <c r="C821" s="2" t="s">
        <v>4090</v>
      </c>
      <c r="D821" s="2">
        <v>2009</v>
      </c>
      <c r="E821" s="2" t="s">
        <v>4091</v>
      </c>
      <c r="G821" s="2" t="s">
        <v>4092</v>
      </c>
      <c r="H821" s="2" t="s">
        <v>4173</v>
      </c>
      <c r="I821" s="2" t="str" cm="1">
        <f t="array" ref="I821">H821 &amp; _xlfn.REGEXEXTRACT(G821,"^[^_]+_\d{4}") &amp; ".pdf"</f>
        <v>https://www.ocf.berkeley.edu/~pkmendez/envsci/projects/2009final/KrauthD_2009.pdf</v>
      </c>
      <c r="J821" s="1" t="str">
        <f t="shared" si="13"/>
        <v>https://www.ocf.berkeley.edu/~pkmendez/envsci/projects/2009final/KrauthD_2009.pdf</v>
      </c>
      <c r="P821" s="2" t="s">
        <v>9</v>
      </c>
      <c r="Q821" s="2" t="s">
        <v>10</v>
      </c>
    </row>
    <row r="822" spans="1:17" x14ac:dyDescent="0.35">
      <c r="A822" s="2" t="s">
        <v>5884</v>
      </c>
      <c r="B822" s="2" t="s">
        <v>4093</v>
      </c>
      <c r="C822" s="2" t="s">
        <v>4094</v>
      </c>
      <c r="D822" s="2">
        <v>2009</v>
      </c>
      <c r="E822" s="2" t="s">
        <v>4095</v>
      </c>
      <c r="G822" s="2" t="s">
        <v>4096</v>
      </c>
      <c r="H822" s="2" t="s">
        <v>4173</v>
      </c>
      <c r="J822" s="1"/>
      <c r="P822" s="2" t="s">
        <v>9</v>
      </c>
      <c r="Q822" s="2" t="s">
        <v>10</v>
      </c>
    </row>
    <row r="823" spans="1:17" x14ac:dyDescent="0.35">
      <c r="A823" s="2" t="s">
        <v>5884</v>
      </c>
      <c r="B823" s="2" t="s">
        <v>4097</v>
      </c>
      <c r="C823" s="2" t="s">
        <v>4098</v>
      </c>
      <c r="D823" s="2">
        <v>2009</v>
      </c>
      <c r="E823" s="2" t="s">
        <v>4099</v>
      </c>
      <c r="G823" s="2" t="s">
        <v>4100</v>
      </c>
      <c r="H823" s="2" t="s">
        <v>4173</v>
      </c>
      <c r="I823" s="2" t="str" cm="1">
        <f t="array" ref="I823">H823 &amp; _xlfn.REGEXEXTRACT(G823,"^[^_]+_\d{4}") &amp; ".pdf"</f>
        <v>https://www.ocf.berkeley.edu/~pkmendez/envsci/projects/2009final/LazzariniC_2009.pdf</v>
      </c>
      <c r="J823" s="1" t="str">
        <f t="shared" si="13"/>
        <v>https://www.ocf.berkeley.edu/~pkmendez/envsci/projects/2009final/LazzariniC_2009.pdf</v>
      </c>
      <c r="P823" s="2" t="s">
        <v>9</v>
      </c>
      <c r="Q823" s="2" t="s">
        <v>10</v>
      </c>
    </row>
    <row r="824" spans="1:17" x14ac:dyDescent="0.35">
      <c r="A824" s="2" t="s">
        <v>5884</v>
      </c>
      <c r="B824" s="2" t="s">
        <v>4101</v>
      </c>
      <c r="C824" s="2" t="s">
        <v>4102</v>
      </c>
      <c r="D824" s="2">
        <v>2009</v>
      </c>
      <c r="E824" s="2" t="s">
        <v>4103</v>
      </c>
      <c r="G824" s="2" t="s">
        <v>4104</v>
      </c>
      <c r="H824" s="2" t="s">
        <v>4173</v>
      </c>
      <c r="I824" s="2" t="str" cm="1">
        <f t="array" ref="I824">H824 &amp; _xlfn.REGEXEXTRACT(G824,"^[^_]+_\d{4}") &amp; ".pdf"</f>
        <v>https://www.ocf.berkeley.edu/~pkmendez/envsci/projects/2009final/LeeD_2009.pdf</v>
      </c>
      <c r="J824" s="1" t="str">
        <f t="shared" si="13"/>
        <v>https://www.ocf.berkeley.edu/~pkmendez/envsci/projects/2009final/LeeD_2009.pdf</v>
      </c>
      <c r="P824" s="2" t="s">
        <v>9</v>
      </c>
      <c r="Q824" s="2" t="s">
        <v>10</v>
      </c>
    </row>
    <row r="825" spans="1:17" x14ac:dyDescent="0.35">
      <c r="A825" s="2" t="s">
        <v>5884</v>
      </c>
      <c r="B825" s="2" t="s">
        <v>4105</v>
      </c>
      <c r="C825" s="2" t="s">
        <v>4106</v>
      </c>
      <c r="D825" s="2">
        <v>2009</v>
      </c>
      <c r="E825" s="2" t="s">
        <v>4107</v>
      </c>
      <c r="G825" s="2" t="s">
        <v>4108</v>
      </c>
      <c r="H825" s="2" t="s">
        <v>4173</v>
      </c>
      <c r="I825" s="2" t="str" cm="1">
        <f t="array" ref="I825">H825 &amp; _xlfn.REGEXEXTRACT(G825,"^[^_]+_\d{4}") &amp; ".pdf"</f>
        <v>https://www.ocf.berkeley.edu/~pkmendez/envsci/projects/2009final/LeeH_2009.pdf</v>
      </c>
      <c r="J825" s="1" t="str">
        <f t="shared" si="13"/>
        <v>https://www.ocf.berkeley.edu/~pkmendez/envsci/projects/2009final/LeeH_2009.pdf</v>
      </c>
      <c r="P825" s="2" t="s">
        <v>9</v>
      </c>
      <c r="Q825" s="2" t="s">
        <v>10</v>
      </c>
    </row>
    <row r="826" spans="1:17" x14ac:dyDescent="0.35">
      <c r="A826" s="2" t="s">
        <v>5884</v>
      </c>
      <c r="B826" s="2" t="s">
        <v>4109</v>
      </c>
      <c r="C826" s="2" t="s">
        <v>4110</v>
      </c>
      <c r="D826" s="2">
        <v>2009</v>
      </c>
      <c r="E826" s="2" t="s">
        <v>4111</v>
      </c>
      <c r="G826" s="2" t="s">
        <v>4112</v>
      </c>
      <c r="H826" s="2" t="s">
        <v>4173</v>
      </c>
      <c r="I826" s="2" t="str" cm="1">
        <f t="array" ref="I826">H826 &amp; _xlfn.REGEXEXTRACT(G826,"^[^_]+_\d{4}") &amp; ".pdf"</f>
        <v>https://www.ocf.berkeley.edu/~pkmendez/envsci/projects/2009final/LiJ_2009.pdf</v>
      </c>
      <c r="J826" s="1" t="str">
        <f t="shared" si="13"/>
        <v>https://www.ocf.berkeley.edu/~pkmendez/envsci/projects/2009final/LiJ_2009.pdf</v>
      </c>
      <c r="P826" s="2" t="s">
        <v>9</v>
      </c>
      <c r="Q826" s="2" t="s">
        <v>10</v>
      </c>
    </row>
    <row r="827" spans="1:17" x14ac:dyDescent="0.35">
      <c r="A827" s="2" t="s">
        <v>5884</v>
      </c>
      <c r="B827" s="2" t="s">
        <v>4113</v>
      </c>
      <c r="C827" s="2" t="s">
        <v>4114</v>
      </c>
      <c r="D827" s="2">
        <v>2009</v>
      </c>
      <c r="E827" s="2" t="s">
        <v>4115</v>
      </c>
      <c r="G827" s="2" t="s">
        <v>4116</v>
      </c>
      <c r="H827" s="2" t="s">
        <v>4173</v>
      </c>
      <c r="I827" s="2" t="str" cm="1">
        <f t="array" ref="I827">H827 &amp; _xlfn.REGEXEXTRACT(G827,"^[^_]+_\d{4}") &amp; ".pdf"</f>
        <v>https://www.ocf.berkeley.edu/~pkmendez/envsci/projects/2009final/LinJ_2009.pdf</v>
      </c>
      <c r="J827" s="1" t="str">
        <f t="shared" si="13"/>
        <v>https://www.ocf.berkeley.edu/~pkmendez/envsci/projects/2009final/LinJ_2009.pdf</v>
      </c>
      <c r="P827" s="2" t="s">
        <v>9</v>
      </c>
      <c r="Q827" s="2" t="s">
        <v>10</v>
      </c>
    </row>
    <row r="828" spans="1:17" x14ac:dyDescent="0.35">
      <c r="A828" s="2" t="s">
        <v>5884</v>
      </c>
      <c r="B828" s="2" t="s">
        <v>4117</v>
      </c>
      <c r="C828" s="2" t="s">
        <v>4118</v>
      </c>
      <c r="D828" s="2">
        <v>2009</v>
      </c>
      <c r="E828" s="2" t="s">
        <v>4119</v>
      </c>
      <c r="G828" s="2" t="s">
        <v>4120</v>
      </c>
      <c r="H828" s="2" t="s">
        <v>4173</v>
      </c>
      <c r="I828" s="2" t="str" cm="1">
        <f t="array" ref="I828">H828 &amp; _xlfn.REGEXEXTRACT(G828,"^[^_]+_\d{4}") &amp; ".pdf"</f>
        <v>https://www.ocf.berkeley.edu/~pkmendez/envsci/projects/2009final/LopezL_2009.pdf</v>
      </c>
      <c r="J828" s="1" t="str">
        <f t="shared" si="13"/>
        <v>https://www.ocf.berkeley.edu/~pkmendez/envsci/projects/2009final/LopezL_2009.pdf</v>
      </c>
      <c r="P828" s="2" t="s">
        <v>9</v>
      </c>
      <c r="Q828" s="2" t="s">
        <v>10</v>
      </c>
    </row>
    <row r="829" spans="1:17" x14ac:dyDescent="0.35">
      <c r="A829" s="2" t="s">
        <v>5884</v>
      </c>
      <c r="B829" s="2" t="s">
        <v>4121</v>
      </c>
      <c r="C829" s="2" t="s">
        <v>4122</v>
      </c>
      <c r="D829" s="2">
        <v>2009</v>
      </c>
      <c r="E829" s="2" t="s">
        <v>4123</v>
      </c>
      <c r="G829" s="2" t="s">
        <v>4124</v>
      </c>
      <c r="H829" s="2" t="s">
        <v>4173</v>
      </c>
      <c r="I829" s="2" t="str" cm="1">
        <f t="array" ref="I829">H829 &amp; _xlfn.REGEXEXTRACT(G829,"^[^_]+_\d{4}") &amp; ".pdf"</f>
        <v>https://www.ocf.berkeley.edu/~pkmendez/envsci/projects/2009final/MatalonE_2009.pdf</v>
      </c>
      <c r="J829" s="1" t="str">
        <f t="shared" si="13"/>
        <v>https://www.ocf.berkeley.edu/~pkmendez/envsci/projects/2009final/MatalonE_2009.pdf</v>
      </c>
      <c r="P829" s="2" t="s">
        <v>9</v>
      </c>
      <c r="Q829" s="2" t="s">
        <v>10</v>
      </c>
    </row>
    <row r="830" spans="1:17" x14ac:dyDescent="0.35">
      <c r="A830" s="2" t="s">
        <v>5884</v>
      </c>
      <c r="B830" s="2" t="s">
        <v>4125</v>
      </c>
      <c r="C830" s="2" t="s">
        <v>4126</v>
      </c>
      <c r="D830" s="2">
        <v>2009</v>
      </c>
      <c r="E830" s="2" t="s">
        <v>4127</v>
      </c>
      <c r="G830" s="2" t="s">
        <v>4128</v>
      </c>
      <c r="H830" s="2" t="s">
        <v>4173</v>
      </c>
      <c r="I830" s="2" t="str" cm="1">
        <f t="array" ref="I830">H830 &amp; _xlfn.REGEXEXTRACT(G830,"^[^_]+_\d{4}") &amp; ".pdf"</f>
        <v>https://www.ocf.berkeley.edu/~pkmendez/envsci/projects/2009final/McGarveyJ_2009.pdf</v>
      </c>
      <c r="J830" s="1" t="str">
        <f t="shared" si="13"/>
        <v>https://www.ocf.berkeley.edu/~pkmendez/envsci/projects/2009final/McGarveyJ_2009.pdf</v>
      </c>
      <c r="P830" s="2" t="s">
        <v>9</v>
      </c>
      <c r="Q830" s="2" t="s">
        <v>10</v>
      </c>
    </row>
    <row r="831" spans="1:17" x14ac:dyDescent="0.35">
      <c r="A831" s="2" t="s">
        <v>5884</v>
      </c>
      <c r="B831" s="2" t="s">
        <v>4129</v>
      </c>
      <c r="C831" s="2" t="s">
        <v>4130</v>
      </c>
      <c r="D831" s="2">
        <v>2009</v>
      </c>
      <c r="E831" s="2" t="s">
        <v>4131</v>
      </c>
      <c r="G831" s="2" t="s">
        <v>4132</v>
      </c>
      <c r="H831" s="2" t="s">
        <v>4173</v>
      </c>
      <c r="I831" s="2" t="str" cm="1">
        <f t="array" ref="I831">H831 &amp; _xlfn.REGEXEXTRACT(G831,"^[^_]+_\d{4}") &amp; ".pdf"</f>
        <v>https://www.ocf.berkeley.edu/~pkmendez/envsci/projects/2009final/MertesdorfE_2009.pdf</v>
      </c>
      <c r="J831" s="1" t="str">
        <f t="shared" si="13"/>
        <v>https://www.ocf.berkeley.edu/~pkmendez/envsci/projects/2009final/MertesdorfE_2009.pdf</v>
      </c>
      <c r="P831" s="2" t="s">
        <v>9</v>
      </c>
      <c r="Q831" s="2" t="s">
        <v>10</v>
      </c>
    </row>
    <row r="832" spans="1:17" x14ac:dyDescent="0.35">
      <c r="A832" s="2" t="s">
        <v>5884</v>
      </c>
      <c r="B832" s="2" t="s">
        <v>4133</v>
      </c>
      <c r="C832" s="2" t="s">
        <v>4134</v>
      </c>
      <c r="D832" s="2">
        <v>2009</v>
      </c>
      <c r="E832" s="2" t="s">
        <v>4135</v>
      </c>
      <c r="G832" s="2" t="s">
        <v>4136</v>
      </c>
      <c r="H832" s="2" t="s">
        <v>4173</v>
      </c>
      <c r="I832" s="2" t="str" cm="1">
        <f t="array" ref="I832">H832 &amp; _xlfn.REGEXEXTRACT(G832,"^[^_]+_\d{4}") &amp; ".pdf"</f>
        <v>https://www.ocf.berkeley.edu/~pkmendez/envsci/projects/2009final/NoveroB_2009.pdf</v>
      </c>
      <c r="J832" s="1" t="str">
        <f t="shared" si="13"/>
        <v>https://www.ocf.berkeley.edu/~pkmendez/envsci/projects/2009final/NoveroB_2009.pdf</v>
      </c>
      <c r="P832" s="2" t="s">
        <v>9</v>
      </c>
      <c r="Q832" s="2" t="s">
        <v>10</v>
      </c>
    </row>
    <row r="833" spans="1:17" x14ac:dyDescent="0.35">
      <c r="A833" s="2" t="s">
        <v>5884</v>
      </c>
      <c r="B833" s="2" t="s">
        <v>4137</v>
      </c>
      <c r="C833" s="2" t="s">
        <v>4138</v>
      </c>
      <c r="D833" s="2">
        <v>2009</v>
      </c>
      <c r="E833" s="2" t="s">
        <v>4139</v>
      </c>
      <c r="G833" s="2" t="s">
        <v>4140</v>
      </c>
      <c r="H833" s="2" t="s">
        <v>4173</v>
      </c>
      <c r="I833" s="2" t="str" cm="1">
        <f t="array" ref="I833">H833 &amp; _xlfn.REGEXEXTRACT(G833,"^[^_]+_\d{4}") &amp; ".pdf"</f>
        <v>https://www.ocf.berkeley.edu/~pkmendez/envsci/projects/2009final/PentellaR_2009.pdf</v>
      </c>
      <c r="J833" s="1" t="str">
        <f t="shared" si="13"/>
        <v>https://www.ocf.berkeley.edu/~pkmendez/envsci/projects/2009final/PentellaR_2009.pdf</v>
      </c>
      <c r="P833" s="2" t="s">
        <v>9</v>
      </c>
      <c r="Q833" s="2" t="s">
        <v>10</v>
      </c>
    </row>
    <row r="834" spans="1:17" x14ac:dyDescent="0.35">
      <c r="A834" s="2" t="s">
        <v>5884</v>
      </c>
      <c r="B834" s="2" t="s">
        <v>4141</v>
      </c>
      <c r="C834" s="2" t="s">
        <v>4142</v>
      </c>
      <c r="D834" s="2">
        <v>2009</v>
      </c>
      <c r="E834" s="2" t="s">
        <v>4143</v>
      </c>
      <c r="G834" s="2" t="s">
        <v>4144</v>
      </c>
      <c r="H834" s="2" t="s">
        <v>4173</v>
      </c>
      <c r="I834" s="2" t="str" cm="1">
        <f t="array" ref="I834">H834 &amp; _xlfn.REGEXEXTRACT(G834,"^[^_]+_\d{4}") &amp; ".pdf"</f>
        <v>https://www.ocf.berkeley.edu/~pkmendez/envsci/projects/2009final/QuirkI_2009.pdf</v>
      </c>
      <c r="J834" s="1" t="str">
        <f t="shared" si="13"/>
        <v>https://www.ocf.berkeley.edu/~pkmendez/envsci/projects/2009final/QuirkI_2009.pdf</v>
      </c>
      <c r="P834" s="2" t="s">
        <v>9</v>
      </c>
      <c r="Q834" s="2" t="s">
        <v>10</v>
      </c>
    </row>
    <row r="835" spans="1:17" x14ac:dyDescent="0.35">
      <c r="A835" s="2" t="s">
        <v>5884</v>
      </c>
      <c r="B835" s="2" t="s">
        <v>4145</v>
      </c>
      <c r="C835" s="2" t="s">
        <v>4146</v>
      </c>
      <c r="D835" s="2">
        <v>2009</v>
      </c>
      <c r="E835" s="2" t="s">
        <v>4147</v>
      </c>
      <c r="G835" s="2" t="s">
        <v>4148</v>
      </c>
      <c r="H835" s="2" t="s">
        <v>4173</v>
      </c>
      <c r="I835" s="2" t="str" cm="1">
        <f t="array" ref="I835">H835 &amp; _xlfn.REGEXEXTRACT(G835,"^[^_]+_\d{4}") &amp; ".pdf"</f>
        <v>https://www.ocf.berkeley.edu/~pkmendez/envsci/projects/2009final/RedmondM_2009.pdf</v>
      </c>
      <c r="J835" s="1" t="str">
        <f t="shared" ref="J835:J898" si="14">HYPERLINK(I835, I835)</f>
        <v>https://www.ocf.berkeley.edu/~pkmendez/envsci/projects/2009final/RedmondM_2009.pdf</v>
      </c>
      <c r="P835" s="2" t="s">
        <v>9</v>
      </c>
      <c r="Q835" s="2" t="s">
        <v>10</v>
      </c>
    </row>
    <row r="836" spans="1:17" x14ac:dyDescent="0.35">
      <c r="A836" s="2" t="s">
        <v>5884</v>
      </c>
      <c r="B836" s="2" t="s">
        <v>4149</v>
      </c>
      <c r="C836" s="2" t="s">
        <v>4150</v>
      </c>
      <c r="D836" s="2">
        <v>2009</v>
      </c>
      <c r="E836" s="2" t="s">
        <v>4151</v>
      </c>
      <c r="G836" s="2" t="s">
        <v>4152</v>
      </c>
      <c r="H836" s="2" t="s">
        <v>4173</v>
      </c>
      <c r="I836" s="2" t="str" cm="1">
        <f t="array" ref="I836">H836 &amp; _xlfn.REGEXEXTRACT(G836,"^[^_]+_\d{4}") &amp; ".pdf"</f>
        <v>https://www.ocf.berkeley.edu/~pkmendez/envsci/projects/2009final/RodriguezR_2009.pdf</v>
      </c>
      <c r="J836" s="1" t="str">
        <f t="shared" si="14"/>
        <v>https://www.ocf.berkeley.edu/~pkmendez/envsci/projects/2009final/RodriguezR_2009.pdf</v>
      </c>
      <c r="P836" s="2" t="s">
        <v>9</v>
      </c>
      <c r="Q836" s="2" t="s">
        <v>10</v>
      </c>
    </row>
    <row r="837" spans="1:17" x14ac:dyDescent="0.35">
      <c r="A837" s="2" t="s">
        <v>5884</v>
      </c>
      <c r="B837" s="2" t="s">
        <v>4153</v>
      </c>
      <c r="C837" s="2" t="s">
        <v>4154</v>
      </c>
      <c r="D837" s="2">
        <v>2009</v>
      </c>
      <c r="E837" s="2" t="s">
        <v>4155</v>
      </c>
      <c r="G837" s="2" t="s">
        <v>4156</v>
      </c>
      <c r="H837" s="2" t="s">
        <v>4173</v>
      </c>
      <c r="I837" s="2" t="str" cm="1">
        <f t="array" ref="I837">H837 &amp; _xlfn.REGEXEXTRACT(G837,"^[^_]+_\d{4}") &amp; ".pdf"</f>
        <v>https://www.ocf.berkeley.edu/~pkmendez/envsci/projects/2009final/RosenbloomN_2009.pdf</v>
      </c>
      <c r="J837" s="1" t="str">
        <f t="shared" si="14"/>
        <v>https://www.ocf.berkeley.edu/~pkmendez/envsci/projects/2009final/RosenbloomN_2009.pdf</v>
      </c>
      <c r="P837" s="2" t="s">
        <v>9</v>
      </c>
      <c r="Q837" s="2" t="s">
        <v>10</v>
      </c>
    </row>
    <row r="838" spans="1:17" x14ac:dyDescent="0.35">
      <c r="A838" s="2" t="s">
        <v>5884</v>
      </c>
      <c r="B838" s="2" t="s">
        <v>4157</v>
      </c>
      <c r="C838" s="2" t="s">
        <v>4158</v>
      </c>
      <c r="D838" s="2">
        <v>2009</v>
      </c>
      <c r="E838" s="2" t="s">
        <v>4159</v>
      </c>
      <c r="G838" s="2" t="s">
        <v>4160</v>
      </c>
      <c r="H838" s="2" t="s">
        <v>4173</v>
      </c>
      <c r="I838" s="2" t="str" cm="1">
        <f t="array" ref="I838">H838 &amp; _xlfn.REGEXEXTRACT(G838,"^[^_]+_\d{4}") &amp; ".pdf"</f>
        <v>https://www.ocf.berkeley.edu/~pkmendez/envsci/projects/2009final/Schlitter_2009.pdf</v>
      </c>
      <c r="J838" s="1" t="str">
        <f t="shared" si="14"/>
        <v>https://www.ocf.berkeley.edu/~pkmendez/envsci/projects/2009final/Schlitter_2009.pdf</v>
      </c>
      <c r="P838" s="2" t="s">
        <v>9</v>
      </c>
      <c r="Q838" s="2" t="s">
        <v>10</v>
      </c>
    </row>
    <row r="839" spans="1:17" x14ac:dyDescent="0.35">
      <c r="A839" s="2" t="s">
        <v>5884</v>
      </c>
      <c r="B839" s="2" t="s">
        <v>4161</v>
      </c>
      <c r="C839" s="2" t="s">
        <v>4162</v>
      </c>
      <c r="D839" s="2">
        <v>2009</v>
      </c>
      <c r="E839" s="2" t="s">
        <v>4163</v>
      </c>
      <c r="G839" s="2" t="s">
        <v>4164</v>
      </c>
      <c r="H839" s="2" t="s">
        <v>4173</v>
      </c>
      <c r="I839" s="2" t="str" cm="1">
        <f t="array" ref="I839">H839 &amp; _xlfn.REGEXEXTRACT(G839,"^[^_]+_\d{4}") &amp; ".pdf"</f>
        <v>https://www.ocf.berkeley.edu/~pkmendez/envsci/projects/2009final/SkophammerS_2009.pdf</v>
      </c>
      <c r="J839" s="1" t="str">
        <f t="shared" si="14"/>
        <v>https://www.ocf.berkeley.edu/~pkmendez/envsci/projects/2009final/SkophammerS_2009.pdf</v>
      </c>
      <c r="P839" s="2" t="s">
        <v>9</v>
      </c>
      <c r="Q839" s="2" t="s">
        <v>10</v>
      </c>
    </row>
    <row r="840" spans="1:17" x14ac:dyDescent="0.35">
      <c r="A840" s="2" t="s">
        <v>5884</v>
      </c>
      <c r="B840" s="2" t="s">
        <v>4165</v>
      </c>
      <c r="C840" s="2" t="s">
        <v>4166</v>
      </c>
      <c r="D840" s="2">
        <v>2009</v>
      </c>
      <c r="E840" s="2" t="s">
        <v>4167</v>
      </c>
      <c r="G840" s="2" t="s">
        <v>4168</v>
      </c>
      <c r="H840" s="2" t="s">
        <v>4173</v>
      </c>
      <c r="I840" s="2" t="str" cm="1">
        <f t="array" ref="I840">H840 &amp; _xlfn.REGEXEXTRACT(G840,"^[^_]+_\d{4}") &amp; ".pdf"</f>
        <v>https://www.ocf.berkeley.edu/~pkmendez/envsci/projects/2009final/TsengG_2009.pdf</v>
      </c>
      <c r="J840" s="1" t="str">
        <f t="shared" si="14"/>
        <v>https://www.ocf.berkeley.edu/~pkmendez/envsci/projects/2009final/TsengG_2009.pdf</v>
      </c>
      <c r="P840" s="2" t="s">
        <v>9</v>
      </c>
      <c r="Q840" s="2" t="s">
        <v>10</v>
      </c>
    </row>
    <row r="841" spans="1:17" x14ac:dyDescent="0.35">
      <c r="A841" s="2" t="s">
        <v>5884</v>
      </c>
      <c r="B841" s="2" t="s">
        <v>4169</v>
      </c>
      <c r="C841" s="2" t="s">
        <v>4170</v>
      </c>
      <c r="D841" s="2">
        <v>2009</v>
      </c>
      <c r="E841" s="2" t="s">
        <v>4171</v>
      </c>
      <c r="G841" s="2" t="s">
        <v>4172</v>
      </c>
      <c r="H841" s="2" t="s">
        <v>4173</v>
      </c>
      <c r="I841" s="2" t="str" cm="1">
        <f t="array" ref="I841">H841 &amp; _xlfn.REGEXEXTRACT(G841,"^[^_]+_\d{4}") &amp; ".pdf"</f>
        <v>https://www.ocf.berkeley.edu/~pkmendez/envsci/projects/2009final/Wijeyewickrema_2009.pdf</v>
      </c>
      <c r="J841" s="1" t="str">
        <f t="shared" si="14"/>
        <v>https://www.ocf.berkeley.edu/~pkmendez/envsci/projects/2009final/Wijeyewickrema_2009.pdf</v>
      </c>
      <c r="P841" s="2" t="s">
        <v>9</v>
      </c>
      <c r="Q841" s="2" t="s">
        <v>10</v>
      </c>
    </row>
    <row r="842" spans="1:17" x14ac:dyDescent="0.35">
      <c r="A842" s="2" t="s">
        <v>5884</v>
      </c>
      <c r="B842" s="2" t="s">
        <v>4174</v>
      </c>
      <c r="C842" s="2" t="s">
        <v>4175</v>
      </c>
      <c r="D842" s="2">
        <v>2008</v>
      </c>
      <c r="E842" s="2" t="s">
        <v>4176</v>
      </c>
      <c r="G842" s="2" t="s">
        <v>4177</v>
      </c>
      <c r="H842" s="2" t="s">
        <v>4334</v>
      </c>
      <c r="I842" s="2" t="str" cm="1">
        <f t="array" ref="I842">H842 &amp; _xlfn.REGEXEXTRACT(G842,"^[^_]+_\d{4}") &amp; ".pdf"</f>
        <v>https://www.ocf.berkeley.edu/~pkmendez/envsci/projects/2008final/Abramson_2008.pdf</v>
      </c>
      <c r="J842" s="1" t="str">
        <f t="shared" si="14"/>
        <v>https://www.ocf.berkeley.edu/~pkmendez/envsci/projects/2008final/Abramson_2008.pdf</v>
      </c>
      <c r="P842" s="2" t="s">
        <v>9</v>
      </c>
      <c r="Q842" s="2" t="s">
        <v>10</v>
      </c>
    </row>
    <row r="843" spans="1:17" x14ac:dyDescent="0.35">
      <c r="A843" s="2" t="s">
        <v>5884</v>
      </c>
      <c r="B843" s="2" t="s">
        <v>4178</v>
      </c>
      <c r="C843" s="2" t="s">
        <v>4179</v>
      </c>
      <c r="D843" s="2">
        <v>2008</v>
      </c>
      <c r="E843" s="2" t="s">
        <v>4180</v>
      </c>
      <c r="G843" s="2" t="s">
        <v>4181</v>
      </c>
      <c r="H843" s="2" t="s">
        <v>4334</v>
      </c>
      <c r="I843" s="2" t="str" cm="1">
        <f t="array" ref="I843">H843 &amp; _xlfn.REGEXEXTRACT(G843,"^[^_]+_\d{4}") &amp; ".pdf"</f>
        <v>https://www.ocf.berkeley.edu/~pkmendez/envsci/projects/2008final/Alleyne_2008.pdf</v>
      </c>
      <c r="J843" s="1" t="str">
        <f t="shared" si="14"/>
        <v>https://www.ocf.berkeley.edu/~pkmendez/envsci/projects/2008final/Alleyne_2008.pdf</v>
      </c>
      <c r="P843" s="2" t="s">
        <v>9</v>
      </c>
      <c r="Q843" s="2" t="s">
        <v>10</v>
      </c>
    </row>
    <row r="844" spans="1:17" x14ac:dyDescent="0.35">
      <c r="A844" s="2" t="s">
        <v>5884</v>
      </c>
      <c r="B844" s="2" t="s">
        <v>4182</v>
      </c>
      <c r="C844" s="2" t="s">
        <v>4183</v>
      </c>
      <c r="D844" s="2">
        <v>2008</v>
      </c>
      <c r="E844" s="2" t="s">
        <v>4184</v>
      </c>
      <c r="G844" s="2" t="s">
        <v>4185</v>
      </c>
      <c r="H844" s="2" t="s">
        <v>4334</v>
      </c>
      <c r="I844" s="2" t="str" cm="1">
        <f t="array" ref="I844">H844 &amp; _xlfn.REGEXEXTRACT(G844,"^[^_]+_\d{4}") &amp; ".pdf"</f>
        <v>https://www.ocf.berkeley.edu/~pkmendez/envsci/projects/2008final/Brown_2008.pdf</v>
      </c>
      <c r="J844" s="1" t="str">
        <f t="shared" si="14"/>
        <v>https://www.ocf.berkeley.edu/~pkmendez/envsci/projects/2008final/Brown_2008.pdf</v>
      </c>
      <c r="P844" s="2" t="s">
        <v>9</v>
      </c>
      <c r="Q844" s="2" t="s">
        <v>10</v>
      </c>
    </row>
    <row r="845" spans="1:17" x14ac:dyDescent="0.35">
      <c r="A845" s="2" t="s">
        <v>5884</v>
      </c>
      <c r="B845" s="2" t="s">
        <v>4186</v>
      </c>
      <c r="C845" s="2" t="s">
        <v>4187</v>
      </c>
      <c r="D845" s="2">
        <v>2008</v>
      </c>
      <c r="E845" s="2" t="s">
        <v>4188</v>
      </c>
      <c r="G845" s="2" t="s">
        <v>4189</v>
      </c>
      <c r="H845" s="2" t="s">
        <v>4334</v>
      </c>
      <c r="I845" s="2" t="str" cm="1">
        <f t="array" ref="I845">H845 &amp; _xlfn.REGEXEXTRACT(G845,"^[^_]+_\d{4}") &amp; ".pdf"</f>
        <v>https://www.ocf.berkeley.edu/~pkmendez/envsci/projects/2008final/Castrejon_2008.pdf</v>
      </c>
      <c r="J845" s="1" t="str">
        <f t="shared" si="14"/>
        <v>https://www.ocf.berkeley.edu/~pkmendez/envsci/projects/2008final/Castrejon_2008.pdf</v>
      </c>
      <c r="P845" s="2" t="s">
        <v>9</v>
      </c>
      <c r="Q845" s="2" t="s">
        <v>10</v>
      </c>
    </row>
    <row r="846" spans="1:17" x14ac:dyDescent="0.35">
      <c r="A846" s="2" t="s">
        <v>5884</v>
      </c>
      <c r="B846" s="2" t="s">
        <v>4190</v>
      </c>
      <c r="C846" s="2" t="s">
        <v>4191</v>
      </c>
      <c r="D846" s="2">
        <v>2008</v>
      </c>
      <c r="E846" s="2" t="s">
        <v>4192</v>
      </c>
      <c r="G846" s="2" t="s">
        <v>4193</v>
      </c>
      <c r="H846" s="2" t="s">
        <v>4334</v>
      </c>
      <c r="I846" s="2" t="str" cm="1">
        <f t="array" ref="I846">H846 &amp; _xlfn.REGEXEXTRACT(G846,"^[^_]+_\d{4}") &amp; ".pdf"</f>
        <v>https://www.ocf.berkeley.edu/~pkmendez/envsci/projects/2008final/Chan_2008.pdf</v>
      </c>
      <c r="J846" s="1" t="str">
        <f t="shared" si="14"/>
        <v>https://www.ocf.berkeley.edu/~pkmendez/envsci/projects/2008final/Chan_2008.pdf</v>
      </c>
      <c r="P846" s="2" t="s">
        <v>9</v>
      </c>
      <c r="Q846" s="2" t="s">
        <v>10</v>
      </c>
    </row>
    <row r="847" spans="1:17" x14ac:dyDescent="0.35">
      <c r="A847" s="2" t="s">
        <v>5884</v>
      </c>
      <c r="B847" s="2" t="s">
        <v>4194</v>
      </c>
      <c r="C847" s="2" t="s">
        <v>4195</v>
      </c>
      <c r="D847" s="2">
        <v>2008</v>
      </c>
      <c r="E847" s="2" t="s">
        <v>4196</v>
      </c>
      <c r="G847" s="2" t="s">
        <v>4197</v>
      </c>
      <c r="H847" s="2" t="s">
        <v>4334</v>
      </c>
      <c r="I847" s="2" t="str" cm="1">
        <f t="array" ref="I847">H847 &amp; _xlfn.REGEXEXTRACT(G847,"^[^_]+_\d{4}") &amp; ".pdf"</f>
        <v>https://www.ocf.berkeley.edu/~pkmendez/envsci/projects/2008final/Chen_2008.pdf</v>
      </c>
      <c r="J847" s="1" t="str">
        <f t="shared" si="14"/>
        <v>https://www.ocf.berkeley.edu/~pkmendez/envsci/projects/2008final/Chen_2008.pdf</v>
      </c>
      <c r="P847" s="2" t="s">
        <v>9</v>
      </c>
      <c r="Q847" s="2" t="s">
        <v>10</v>
      </c>
    </row>
    <row r="848" spans="1:17" x14ac:dyDescent="0.35">
      <c r="A848" s="2" t="s">
        <v>5884</v>
      </c>
      <c r="B848" s="2" t="s">
        <v>4198</v>
      </c>
      <c r="C848" s="2" t="s">
        <v>4199</v>
      </c>
      <c r="D848" s="2">
        <v>2008</v>
      </c>
      <c r="E848" s="2" t="s">
        <v>4200</v>
      </c>
      <c r="G848" s="2" t="s">
        <v>4201</v>
      </c>
      <c r="H848" s="2" t="s">
        <v>4334</v>
      </c>
      <c r="I848" s="2" t="str" cm="1">
        <f t="array" ref="I848">H848 &amp; _xlfn.REGEXEXTRACT(G848,"^[^_]+_\d{4}") &amp; ".pdf"</f>
        <v>https://www.ocf.berkeley.edu/~pkmendez/envsci/projects/2008final/Cooc_2008.pdf</v>
      </c>
      <c r="J848" s="1" t="str">
        <f t="shared" si="14"/>
        <v>https://www.ocf.berkeley.edu/~pkmendez/envsci/projects/2008final/Cooc_2008.pdf</v>
      </c>
      <c r="P848" s="2" t="s">
        <v>9</v>
      </c>
      <c r="Q848" s="2" t="s">
        <v>10</v>
      </c>
    </row>
    <row r="849" spans="1:17" x14ac:dyDescent="0.35">
      <c r="A849" s="2" t="s">
        <v>5884</v>
      </c>
      <c r="B849" s="2" t="s">
        <v>4202</v>
      </c>
      <c r="C849" s="2" t="s">
        <v>4203</v>
      </c>
      <c r="D849" s="2">
        <v>2008</v>
      </c>
      <c r="E849" s="2" t="s">
        <v>4204</v>
      </c>
      <c r="G849" s="2" t="s">
        <v>4205</v>
      </c>
      <c r="H849" s="2" t="s">
        <v>4334</v>
      </c>
      <c r="I849" s="2" t="str" cm="1">
        <f t="array" ref="I849">H849 &amp; _xlfn.REGEXEXTRACT(G849,"^[^_]+_\d{4}") &amp; ".pdf"</f>
        <v>https://www.ocf.berkeley.edu/~pkmendez/envsci/projects/2008final/Dalke_2008.pdf</v>
      </c>
      <c r="J849" s="1" t="str">
        <f t="shared" si="14"/>
        <v>https://www.ocf.berkeley.edu/~pkmendez/envsci/projects/2008final/Dalke_2008.pdf</v>
      </c>
      <c r="P849" s="2" t="s">
        <v>9</v>
      </c>
      <c r="Q849" s="2" t="s">
        <v>10</v>
      </c>
    </row>
    <row r="850" spans="1:17" x14ac:dyDescent="0.35">
      <c r="A850" s="2" t="s">
        <v>5884</v>
      </c>
      <c r="B850" s="2" t="s">
        <v>4206</v>
      </c>
      <c r="C850" s="2" t="s">
        <v>4207</v>
      </c>
      <c r="D850" s="2">
        <v>2008</v>
      </c>
      <c r="E850" s="2" t="s">
        <v>4208</v>
      </c>
      <c r="G850" s="2" t="s">
        <v>4209</v>
      </c>
      <c r="H850" s="2" t="s">
        <v>4334</v>
      </c>
      <c r="I850" s="2" t="str" cm="1">
        <f t="array" ref="I850">H850 &amp; _xlfn.REGEXEXTRACT(G850,"^[^_]+_\d{4}") &amp; ".pdf"</f>
        <v>https://www.ocf.berkeley.edu/~pkmendez/envsci/projects/2008final/Davis_2008.pdf</v>
      </c>
      <c r="J850" s="1" t="str">
        <f t="shared" si="14"/>
        <v>https://www.ocf.berkeley.edu/~pkmendez/envsci/projects/2008final/Davis_2008.pdf</v>
      </c>
      <c r="P850" s="2" t="s">
        <v>9</v>
      </c>
      <c r="Q850" s="2" t="s">
        <v>10</v>
      </c>
    </row>
    <row r="851" spans="1:17" x14ac:dyDescent="0.35">
      <c r="A851" s="2" t="s">
        <v>5884</v>
      </c>
      <c r="B851" s="2" t="s">
        <v>4210</v>
      </c>
      <c r="C851" s="2" t="s">
        <v>4211</v>
      </c>
      <c r="D851" s="2">
        <v>2008</v>
      </c>
      <c r="E851" s="2" t="s">
        <v>4212</v>
      </c>
      <c r="G851" s="2" t="s">
        <v>4213</v>
      </c>
      <c r="H851" s="2" t="s">
        <v>4334</v>
      </c>
      <c r="I851" s="2" t="str" cm="1">
        <f t="array" ref="I851">H851 &amp; _xlfn.REGEXEXTRACT(G851,"^[^_]+_\d{4}") &amp; ".pdf"</f>
        <v>https://www.ocf.berkeley.edu/~pkmendez/envsci/projects/2008final/Do_2008.pdf</v>
      </c>
      <c r="J851" s="1" t="str">
        <f t="shared" si="14"/>
        <v>https://www.ocf.berkeley.edu/~pkmendez/envsci/projects/2008final/Do_2008.pdf</v>
      </c>
      <c r="P851" s="2" t="s">
        <v>9</v>
      </c>
      <c r="Q851" s="2" t="s">
        <v>10</v>
      </c>
    </row>
    <row r="852" spans="1:17" x14ac:dyDescent="0.35">
      <c r="A852" s="2" t="s">
        <v>5884</v>
      </c>
      <c r="B852" s="2" t="s">
        <v>4214</v>
      </c>
      <c r="C852" s="2" t="s">
        <v>4215</v>
      </c>
      <c r="D852" s="2">
        <v>2008</v>
      </c>
      <c r="E852" s="2" t="s">
        <v>4216</v>
      </c>
      <c r="G852" s="2" t="s">
        <v>4217</v>
      </c>
      <c r="H852" s="2" t="s">
        <v>4334</v>
      </c>
      <c r="I852" s="2" t="str" cm="1">
        <f t="array" ref="I852">H852 &amp; _xlfn.REGEXEXTRACT(G852,"^[^_]+_\d{4}") &amp; ".pdf"</f>
        <v>https://www.ocf.berkeley.edu/~pkmendez/envsci/projects/2008final/Dow_2008.pdf</v>
      </c>
      <c r="J852" s="1" t="str">
        <f t="shared" si="14"/>
        <v>https://www.ocf.berkeley.edu/~pkmendez/envsci/projects/2008final/Dow_2008.pdf</v>
      </c>
      <c r="P852" s="2" t="s">
        <v>9</v>
      </c>
      <c r="Q852" s="2" t="s">
        <v>10</v>
      </c>
    </row>
    <row r="853" spans="1:17" x14ac:dyDescent="0.35">
      <c r="A853" s="2" t="s">
        <v>5884</v>
      </c>
      <c r="B853" s="2" t="s">
        <v>4218</v>
      </c>
      <c r="C853" s="2" t="s">
        <v>4219</v>
      </c>
      <c r="D853" s="2">
        <v>2008</v>
      </c>
      <c r="E853" s="2" t="s">
        <v>4220</v>
      </c>
      <c r="G853" s="2" t="s">
        <v>4221</v>
      </c>
      <c r="H853" s="2" t="s">
        <v>4334</v>
      </c>
      <c r="I853" s="2" t="str" cm="1">
        <f t="array" ref="I853">H853 &amp; _xlfn.REGEXEXTRACT(G853,"^[^_]+_\d{4}") &amp; ".pdf"</f>
        <v>https://www.ocf.berkeley.edu/~pkmendez/envsci/projects/2008final/Downs_2008.pdf</v>
      </c>
      <c r="J853" s="1" t="str">
        <f t="shared" si="14"/>
        <v>https://www.ocf.berkeley.edu/~pkmendez/envsci/projects/2008final/Downs_2008.pdf</v>
      </c>
      <c r="P853" s="2" t="s">
        <v>9</v>
      </c>
      <c r="Q853" s="2" t="s">
        <v>10</v>
      </c>
    </row>
    <row r="854" spans="1:17" x14ac:dyDescent="0.35">
      <c r="A854" s="2" t="s">
        <v>5884</v>
      </c>
      <c r="B854" s="2" t="s">
        <v>4222</v>
      </c>
      <c r="C854" s="2" t="s">
        <v>4223</v>
      </c>
      <c r="D854" s="2">
        <v>2008</v>
      </c>
      <c r="E854" s="2" t="s">
        <v>4224</v>
      </c>
      <c r="G854" s="2" t="s">
        <v>4225</v>
      </c>
      <c r="H854" s="2" t="s">
        <v>4334</v>
      </c>
      <c r="I854" s="2" t="str" cm="1">
        <f t="array" ref="I854">H854 &amp; _xlfn.REGEXEXTRACT(G854,"^[^_]+_\d{4}") &amp; ".pdf"</f>
        <v>https://www.ocf.berkeley.edu/~pkmendez/envsci/projects/2008final/Ferguson_2008.pdf</v>
      </c>
      <c r="J854" s="1" t="str">
        <f t="shared" si="14"/>
        <v>https://www.ocf.berkeley.edu/~pkmendez/envsci/projects/2008final/Ferguson_2008.pdf</v>
      </c>
      <c r="P854" s="2" t="s">
        <v>9</v>
      </c>
      <c r="Q854" s="2" t="s">
        <v>10</v>
      </c>
    </row>
    <row r="855" spans="1:17" x14ac:dyDescent="0.35">
      <c r="A855" s="2" t="s">
        <v>5884</v>
      </c>
      <c r="B855" s="2" t="s">
        <v>4226</v>
      </c>
      <c r="C855" s="2" t="s">
        <v>4227</v>
      </c>
      <c r="D855" s="2">
        <v>2008</v>
      </c>
      <c r="E855" s="2" t="s">
        <v>4228</v>
      </c>
      <c r="G855" s="2" t="s">
        <v>4229</v>
      </c>
      <c r="H855" s="2" t="s">
        <v>4334</v>
      </c>
      <c r="I855" s="2" t="str" cm="1">
        <f t="array" ref="I855">H855 &amp; _xlfn.REGEXEXTRACT(G855,"^[^_]+_\d{4}") &amp; ".pdf"</f>
        <v>https://www.ocf.berkeley.edu/~pkmendez/envsci/projects/2008final/Fung_2008.pdf</v>
      </c>
      <c r="J855" s="1" t="str">
        <f t="shared" si="14"/>
        <v>https://www.ocf.berkeley.edu/~pkmendez/envsci/projects/2008final/Fung_2008.pdf</v>
      </c>
      <c r="P855" s="2" t="s">
        <v>9</v>
      </c>
      <c r="Q855" s="2" t="s">
        <v>10</v>
      </c>
    </row>
    <row r="856" spans="1:17" x14ac:dyDescent="0.35">
      <c r="A856" s="2" t="s">
        <v>5884</v>
      </c>
      <c r="B856" s="2" t="s">
        <v>4230</v>
      </c>
      <c r="C856" s="2" t="s">
        <v>4231</v>
      </c>
      <c r="D856" s="2">
        <v>2008</v>
      </c>
      <c r="E856" s="2" t="s">
        <v>4232</v>
      </c>
      <c r="G856" s="2" t="s">
        <v>4233</v>
      </c>
      <c r="H856" s="2" t="s">
        <v>4334</v>
      </c>
      <c r="I856" s="2" t="str" cm="1">
        <f t="array" ref="I856">H856 &amp; _xlfn.REGEXEXTRACT(G856,"^[^_]+_\d{4}") &amp; ".pdf"</f>
        <v>https://www.ocf.berkeley.edu/~pkmendez/envsci/projects/2008final/Glettner_2008.pdf</v>
      </c>
      <c r="J856" s="1" t="str">
        <f t="shared" si="14"/>
        <v>https://www.ocf.berkeley.edu/~pkmendez/envsci/projects/2008final/Glettner_2008.pdf</v>
      </c>
      <c r="P856" s="2" t="s">
        <v>9</v>
      </c>
      <c r="Q856" s="2" t="s">
        <v>10</v>
      </c>
    </row>
    <row r="857" spans="1:17" x14ac:dyDescent="0.35">
      <c r="A857" s="2" t="s">
        <v>5884</v>
      </c>
      <c r="B857" s="2" t="s">
        <v>4234</v>
      </c>
      <c r="C857" s="2" t="s">
        <v>4235</v>
      </c>
      <c r="D857" s="2">
        <v>2008</v>
      </c>
      <c r="E857" s="2" t="s">
        <v>4236</v>
      </c>
      <c r="G857" s="2" t="s">
        <v>4237</v>
      </c>
      <c r="H857" s="2" t="s">
        <v>4334</v>
      </c>
      <c r="I857" s="2" t="str" cm="1">
        <f t="array" ref="I857">H857 &amp; _xlfn.REGEXEXTRACT(G857,"^[^_]+_\d{4}") &amp; ".pdf"</f>
        <v>https://www.ocf.berkeley.edu/~pkmendez/envsci/projects/2008final/Green_2008.pdf</v>
      </c>
      <c r="J857" s="1" t="str">
        <f t="shared" si="14"/>
        <v>https://www.ocf.berkeley.edu/~pkmendez/envsci/projects/2008final/Green_2008.pdf</v>
      </c>
      <c r="P857" s="2" t="s">
        <v>9</v>
      </c>
      <c r="Q857" s="2" t="s">
        <v>10</v>
      </c>
    </row>
    <row r="858" spans="1:17" x14ac:dyDescent="0.35">
      <c r="A858" s="2" t="s">
        <v>5884</v>
      </c>
      <c r="B858" s="2" t="s">
        <v>4238</v>
      </c>
      <c r="C858" s="2" t="s">
        <v>4239</v>
      </c>
      <c r="D858" s="2">
        <v>2008</v>
      </c>
      <c r="E858" s="2" t="s">
        <v>4240</v>
      </c>
      <c r="G858" s="2" t="s">
        <v>4241</v>
      </c>
      <c r="H858" s="2" t="s">
        <v>4334</v>
      </c>
      <c r="I858" s="2" t="str" cm="1">
        <f t="array" ref="I858">H858 &amp; _xlfn.REGEXEXTRACT(G858,"^[^_]+_\d{4}") &amp; ".pdf"</f>
        <v>https://www.ocf.berkeley.edu/~pkmendez/envsci/projects/2008final/Looman_2008.pdf</v>
      </c>
      <c r="J858" s="1" t="str">
        <f t="shared" si="14"/>
        <v>https://www.ocf.berkeley.edu/~pkmendez/envsci/projects/2008final/Looman_2008.pdf</v>
      </c>
      <c r="P858" s="2" t="s">
        <v>9</v>
      </c>
      <c r="Q858" s="2" t="s">
        <v>10</v>
      </c>
    </row>
    <row r="859" spans="1:17" x14ac:dyDescent="0.35">
      <c r="A859" s="2" t="s">
        <v>5884</v>
      </c>
      <c r="B859" s="2" t="s">
        <v>4242</v>
      </c>
      <c r="C859" s="2" t="s">
        <v>4243</v>
      </c>
      <c r="D859" s="2">
        <v>2008</v>
      </c>
      <c r="E859" s="2" t="s">
        <v>4244</v>
      </c>
      <c r="G859" s="2" t="s">
        <v>4245</v>
      </c>
      <c r="H859" s="2" t="s">
        <v>4334</v>
      </c>
      <c r="I859" s="2" t="str" cm="1">
        <f t="array" ref="I859">H859 &amp; _xlfn.REGEXEXTRACT(G859,"^[^_]+_\d{4}") &amp; ".pdf"</f>
        <v>https://www.ocf.berkeley.edu/~pkmendez/envsci/projects/2008final/Milliken_2008.pdf</v>
      </c>
      <c r="J859" s="1" t="str">
        <f t="shared" si="14"/>
        <v>https://www.ocf.berkeley.edu/~pkmendez/envsci/projects/2008final/Milliken_2008.pdf</v>
      </c>
      <c r="P859" s="2" t="s">
        <v>9</v>
      </c>
      <c r="Q859" s="2" t="s">
        <v>10</v>
      </c>
    </row>
    <row r="860" spans="1:17" x14ac:dyDescent="0.35">
      <c r="A860" s="2" t="s">
        <v>5884</v>
      </c>
      <c r="B860" s="2" t="s">
        <v>4246</v>
      </c>
      <c r="C860" s="2" t="s">
        <v>4247</v>
      </c>
      <c r="D860" s="2">
        <v>2008</v>
      </c>
      <c r="E860" s="2" t="s">
        <v>4248</v>
      </c>
      <c r="G860" s="2" t="s">
        <v>4249</v>
      </c>
      <c r="H860" s="2" t="s">
        <v>4334</v>
      </c>
      <c r="I860" s="2" t="str" cm="1">
        <f t="array" ref="I860">H860 &amp; _xlfn.REGEXEXTRACT(G860,"^[^_]+_\d{4}") &amp; ".pdf"</f>
        <v>https://www.ocf.berkeley.edu/~pkmendez/envsci/projects/2008final/Morici_2008.pdf</v>
      </c>
      <c r="J860" s="1" t="str">
        <f t="shared" si="14"/>
        <v>https://www.ocf.berkeley.edu/~pkmendez/envsci/projects/2008final/Morici_2008.pdf</v>
      </c>
      <c r="P860" s="2" t="s">
        <v>9</v>
      </c>
      <c r="Q860" s="2" t="s">
        <v>10</v>
      </c>
    </row>
    <row r="861" spans="1:17" x14ac:dyDescent="0.35">
      <c r="A861" s="2" t="s">
        <v>5884</v>
      </c>
      <c r="B861" s="2" t="s">
        <v>4250</v>
      </c>
      <c r="C861" s="2" t="s">
        <v>4251</v>
      </c>
      <c r="D861" s="2">
        <v>2008</v>
      </c>
      <c r="E861" s="2" t="s">
        <v>4252</v>
      </c>
      <c r="G861" s="2" t="s">
        <v>4253</v>
      </c>
      <c r="H861" s="2" t="s">
        <v>4334</v>
      </c>
      <c r="I861" s="2" t="str" cm="1">
        <f t="array" ref="I861">H861 &amp; _xlfn.REGEXEXTRACT(G861,"^[^_]+_\d{4}") &amp; ".pdf"</f>
        <v>https://www.ocf.berkeley.edu/~pkmendez/envsci/projects/2008final/Murray_2008.pdf</v>
      </c>
      <c r="J861" s="1" t="str">
        <f t="shared" si="14"/>
        <v>https://www.ocf.berkeley.edu/~pkmendez/envsci/projects/2008final/Murray_2008.pdf</v>
      </c>
      <c r="P861" s="2" t="s">
        <v>9</v>
      </c>
      <c r="Q861" s="2" t="s">
        <v>10</v>
      </c>
    </row>
    <row r="862" spans="1:17" x14ac:dyDescent="0.35">
      <c r="A862" s="2" t="s">
        <v>5884</v>
      </c>
      <c r="B862" s="2" t="s">
        <v>4254</v>
      </c>
      <c r="C862" s="2" t="s">
        <v>4255</v>
      </c>
      <c r="D862" s="2">
        <v>2008</v>
      </c>
      <c r="E862" s="2" t="s">
        <v>4256</v>
      </c>
      <c r="G862" s="2" t="s">
        <v>4257</v>
      </c>
      <c r="H862" s="2" t="s">
        <v>4334</v>
      </c>
      <c r="I862" s="2" t="str" cm="1">
        <f t="array" ref="I862">H862 &amp; _xlfn.REGEXEXTRACT(G862,"^[^_]+_\d{4}") &amp; ".pdf"</f>
        <v>https://www.ocf.berkeley.edu/~pkmendez/envsci/projects/2008final/Ngo_2008.pdf</v>
      </c>
      <c r="J862" s="1" t="str">
        <f t="shared" si="14"/>
        <v>https://www.ocf.berkeley.edu/~pkmendez/envsci/projects/2008final/Ngo_2008.pdf</v>
      </c>
      <c r="P862" s="2" t="s">
        <v>9</v>
      </c>
      <c r="Q862" s="2" t="s">
        <v>10</v>
      </c>
    </row>
    <row r="863" spans="1:17" x14ac:dyDescent="0.35">
      <c r="A863" s="2" t="s">
        <v>5884</v>
      </c>
      <c r="B863" s="2" t="s">
        <v>4258</v>
      </c>
      <c r="C863" s="2" t="s">
        <v>4259</v>
      </c>
      <c r="D863" s="2">
        <v>2008</v>
      </c>
      <c r="E863" s="2" t="s">
        <v>4260</v>
      </c>
      <c r="G863" s="2" t="s">
        <v>4261</v>
      </c>
      <c r="H863" s="2" t="s">
        <v>4334</v>
      </c>
      <c r="I863" s="2" t="str" cm="1">
        <f t="array" ref="I863">H863 &amp; _xlfn.REGEXEXTRACT(G863,"^[^_]+_\d{4}") &amp; ".pdf"</f>
        <v>https://www.ocf.berkeley.edu/~pkmendez/envsci/projects/2008final/Oinuma_2008.pdf</v>
      </c>
      <c r="J863" s="1" t="str">
        <f t="shared" si="14"/>
        <v>https://www.ocf.berkeley.edu/~pkmendez/envsci/projects/2008final/Oinuma_2008.pdf</v>
      </c>
      <c r="P863" s="2" t="s">
        <v>9</v>
      </c>
      <c r="Q863" s="2" t="s">
        <v>10</v>
      </c>
    </row>
    <row r="864" spans="1:17" x14ac:dyDescent="0.35">
      <c r="A864" s="2" t="s">
        <v>5884</v>
      </c>
      <c r="B864" s="2" t="s">
        <v>4262</v>
      </c>
      <c r="C864" s="2" t="s">
        <v>4263</v>
      </c>
      <c r="D864" s="2">
        <v>2008</v>
      </c>
      <c r="E864" s="2" t="s">
        <v>4264</v>
      </c>
      <c r="G864" s="2" t="s">
        <v>4265</v>
      </c>
      <c r="H864" s="2" t="s">
        <v>4334</v>
      </c>
      <c r="I864" s="2" t="str" cm="1">
        <f t="array" ref="I864">H864 &amp; _xlfn.REGEXEXTRACT(G864,"^[^_]+_\d{4}") &amp; ".pdf"</f>
        <v>https://www.ocf.berkeley.edu/~pkmendez/envsci/projects/2008final/Olney_2008.pdf</v>
      </c>
      <c r="J864" s="1" t="str">
        <f t="shared" si="14"/>
        <v>https://www.ocf.berkeley.edu/~pkmendez/envsci/projects/2008final/Olney_2008.pdf</v>
      </c>
      <c r="P864" s="2" t="s">
        <v>9</v>
      </c>
      <c r="Q864" s="2" t="s">
        <v>10</v>
      </c>
    </row>
    <row r="865" spans="1:17" x14ac:dyDescent="0.35">
      <c r="A865" s="2" t="s">
        <v>5884</v>
      </c>
      <c r="B865" s="2" t="s">
        <v>4266</v>
      </c>
      <c r="C865" s="2" t="s">
        <v>4267</v>
      </c>
      <c r="D865" s="2">
        <v>2008</v>
      </c>
      <c r="E865" s="2" t="s">
        <v>4268</v>
      </c>
      <c r="G865" s="2" t="s">
        <v>4269</v>
      </c>
      <c r="H865" s="2" t="s">
        <v>4334</v>
      </c>
      <c r="I865" s="2" t="str" cm="1">
        <f t="array" ref="I865">H865 &amp; _xlfn.REGEXEXTRACT(G865,"^[^_]+_\d{4}") &amp; ".pdf"</f>
        <v>https://www.ocf.berkeley.edu/~pkmendez/envsci/projects/2008final/Philips_2008.pdf</v>
      </c>
      <c r="J865" s="1" t="str">
        <f t="shared" si="14"/>
        <v>https://www.ocf.berkeley.edu/~pkmendez/envsci/projects/2008final/Philips_2008.pdf</v>
      </c>
      <c r="P865" s="2" t="s">
        <v>9</v>
      </c>
      <c r="Q865" s="2" t="s">
        <v>10</v>
      </c>
    </row>
    <row r="866" spans="1:17" x14ac:dyDescent="0.35">
      <c r="A866" s="2" t="s">
        <v>5884</v>
      </c>
      <c r="B866" s="2" t="s">
        <v>4270</v>
      </c>
      <c r="C866" s="2" t="s">
        <v>4271</v>
      </c>
      <c r="D866" s="2">
        <v>2008</v>
      </c>
      <c r="E866" s="2" t="s">
        <v>4272</v>
      </c>
      <c r="G866" s="2" t="s">
        <v>4273</v>
      </c>
      <c r="H866" s="2" t="s">
        <v>4334</v>
      </c>
      <c r="I866" s="2" t="str" cm="1">
        <f t="array" ref="I866">H866 &amp; _xlfn.REGEXEXTRACT(G866,"^[^_]+_\d{4}") &amp; ".pdf"</f>
        <v>https://www.ocf.berkeley.edu/~pkmendez/envsci/projects/2008final/Placencia_2008.pdf</v>
      </c>
      <c r="J866" s="1" t="str">
        <f t="shared" si="14"/>
        <v>https://www.ocf.berkeley.edu/~pkmendez/envsci/projects/2008final/Placencia_2008.pdf</v>
      </c>
      <c r="P866" s="2" t="s">
        <v>9</v>
      </c>
      <c r="Q866" s="2" t="s">
        <v>10</v>
      </c>
    </row>
    <row r="867" spans="1:17" x14ac:dyDescent="0.35">
      <c r="A867" s="2" t="s">
        <v>5884</v>
      </c>
      <c r="B867" s="2" t="s">
        <v>4274</v>
      </c>
      <c r="C867" s="2" t="s">
        <v>4275</v>
      </c>
      <c r="D867" s="2">
        <v>2008</v>
      </c>
      <c r="E867" s="2" t="s">
        <v>4276</v>
      </c>
      <c r="G867" s="2" t="s">
        <v>4277</v>
      </c>
      <c r="H867" s="2" t="s">
        <v>4334</v>
      </c>
      <c r="I867" s="2" t="str" cm="1">
        <f t="array" ref="I867">H867 &amp; _xlfn.REGEXEXTRACT(G867,"^[^_]+_\d{4}") &amp; ".pdf"</f>
        <v>https://www.ocf.berkeley.edu/~pkmendez/envsci/projects/2008final/Regele_2008.pdf</v>
      </c>
      <c r="J867" s="1" t="str">
        <f t="shared" si="14"/>
        <v>https://www.ocf.berkeley.edu/~pkmendez/envsci/projects/2008final/Regele_2008.pdf</v>
      </c>
      <c r="P867" s="2" t="s">
        <v>9</v>
      </c>
      <c r="Q867" s="2" t="s">
        <v>10</v>
      </c>
    </row>
    <row r="868" spans="1:17" x14ac:dyDescent="0.35">
      <c r="A868" s="2" t="s">
        <v>5884</v>
      </c>
      <c r="B868" s="2" t="s">
        <v>4278</v>
      </c>
      <c r="C868" s="2" t="s">
        <v>4279</v>
      </c>
      <c r="D868" s="2">
        <v>2008</v>
      </c>
      <c r="E868" s="2" t="s">
        <v>4280</v>
      </c>
      <c r="G868" s="2" t="s">
        <v>4281</v>
      </c>
      <c r="H868" s="2" t="s">
        <v>4334</v>
      </c>
      <c r="I868" s="2" t="str" cm="1">
        <f t="array" ref="I868">H868 &amp; _xlfn.REGEXEXTRACT(G868,"^[^_]+_\d{4}") &amp; ".pdf"</f>
        <v>https://www.ocf.berkeley.edu/~pkmendez/envsci/projects/2008final/RileyD_2008.pdf</v>
      </c>
      <c r="J868" s="1" t="str">
        <f t="shared" si="14"/>
        <v>https://www.ocf.berkeley.edu/~pkmendez/envsci/projects/2008final/RileyD_2008.pdf</v>
      </c>
      <c r="P868" s="2" t="s">
        <v>9</v>
      </c>
      <c r="Q868" s="2" t="s">
        <v>10</v>
      </c>
    </row>
    <row r="869" spans="1:17" x14ac:dyDescent="0.35">
      <c r="A869" s="2" t="s">
        <v>5884</v>
      </c>
      <c r="B869" s="2" t="s">
        <v>4282</v>
      </c>
      <c r="C869" s="2" t="s">
        <v>4283</v>
      </c>
      <c r="D869" s="2">
        <v>2008</v>
      </c>
      <c r="E869" s="2" t="s">
        <v>4284</v>
      </c>
      <c r="G869" s="2" t="s">
        <v>4285</v>
      </c>
      <c r="H869" s="2" t="s">
        <v>4334</v>
      </c>
      <c r="I869" s="2" t="str" cm="1">
        <f t="array" ref="I869">H869 &amp; _xlfn.REGEXEXTRACT(G869,"^[^_]+_\d{4}") &amp; ".pdf"</f>
        <v>https://www.ocf.berkeley.edu/~pkmendez/envsci/projects/2008final/RileyM_2008.pdf</v>
      </c>
      <c r="J869" s="1" t="str">
        <f t="shared" si="14"/>
        <v>https://www.ocf.berkeley.edu/~pkmendez/envsci/projects/2008final/RileyM_2008.pdf</v>
      </c>
      <c r="P869" s="2" t="s">
        <v>9</v>
      </c>
      <c r="Q869" s="2" t="s">
        <v>10</v>
      </c>
    </row>
    <row r="870" spans="1:17" x14ac:dyDescent="0.35">
      <c r="A870" s="2" t="s">
        <v>5884</v>
      </c>
      <c r="B870" s="2" t="s">
        <v>4286</v>
      </c>
      <c r="C870" s="2" t="s">
        <v>4287</v>
      </c>
      <c r="D870" s="2">
        <v>2008</v>
      </c>
      <c r="E870" s="2" t="s">
        <v>4288</v>
      </c>
      <c r="G870" s="2" t="s">
        <v>4289</v>
      </c>
      <c r="H870" s="2" t="s">
        <v>4334</v>
      </c>
      <c r="I870" s="2" t="str" cm="1">
        <f t="array" ref="I870">H870 &amp; _xlfn.REGEXEXTRACT(G870,"^[^_]+_\d{4}") &amp; ".pdf"</f>
        <v>https://www.ocf.berkeley.edu/~pkmendez/envsci/projects/2008final/Rohilla_2008.pdf</v>
      </c>
      <c r="J870" s="1" t="str">
        <f t="shared" si="14"/>
        <v>https://www.ocf.berkeley.edu/~pkmendez/envsci/projects/2008final/Rohilla_2008.pdf</v>
      </c>
      <c r="P870" s="2" t="s">
        <v>9</v>
      </c>
      <c r="Q870" s="2" t="s">
        <v>10</v>
      </c>
    </row>
    <row r="871" spans="1:17" x14ac:dyDescent="0.35">
      <c r="A871" s="2" t="s">
        <v>5884</v>
      </c>
      <c r="B871" s="2" t="s">
        <v>4290</v>
      </c>
      <c r="C871" s="2" t="s">
        <v>4291</v>
      </c>
      <c r="D871" s="2">
        <v>2008</v>
      </c>
      <c r="E871" s="2" t="s">
        <v>4292</v>
      </c>
      <c r="G871" s="2" t="s">
        <v>4293</v>
      </c>
      <c r="H871" s="2" t="s">
        <v>4334</v>
      </c>
      <c r="I871" s="2" t="str" cm="1">
        <f t="array" ref="I871">H871 &amp; _xlfn.REGEXEXTRACT(G871,"^[^_]+_\d{4}") &amp; ".pdf"</f>
        <v>https://www.ocf.berkeley.edu/~pkmendez/envsci/projects/2008final/Ross_2008.pdf</v>
      </c>
      <c r="J871" s="1" t="str">
        <f t="shared" si="14"/>
        <v>https://www.ocf.berkeley.edu/~pkmendez/envsci/projects/2008final/Ross_2008.pdf</v>
      </c>
      <c r="P871" s="2" t="s">
        <v>9</v>
      </c>
      <c r="Q871" s="2" t="s">
        <v>10</v>
      </c>
    </row>
    <row r="872" spans="1:17" x14ac:dyDescent="0.35">
      <c r="A872" s="2" t="s">
        <v>5884</v>
      </c>
      <c r="B872" s="2" t="s">
        <v>4294</v>
      </c>
      <c r="C872" s="2" t="s">
        <v>4295</v>
      </c>
      <c r="D872" s="2">
        <v>2008</v>
      </c>
      <c r="E872" s="2" t="s">
        <v>4296</v>
      </c>
      <c r="G872" s="2" t="s">
        <v>4297</v>
      </c>
      <c r="H872" s="2" t="s">
        <v>4334</v>
      </c>
      <c r="I872" s="2" t="str" cm="1">
        <f t="array" ref="I872">H872 &amp; _xlfn.REGEXEXTRACT(G872,"^[^_]+_\d{4}") &amp; ".pdf"</f>
        <v>https://www.ocf.berkeley.edu/~pkmendez/envsci/projects/2008final/Rothschild_2008.pdf</v>
      </c>
      <c r="J872" s="1" t="str">
        <f t="shared" si="14"/>
        <v>https://www.ocf.berkeley.edu/~pkmendez/envsci/projects/2008final/Rothschild_2008.pdf</v>
      </c>
      <c r="P872" s="2" t="s">
        <v>9</v>
      </c>
      <c r="Q872" s="2" t="s">
        <v>10</v>
      </c>
    </row>
    <row r="873" spans="1:17" x14ac:dyDescent="0.35">
      <c r="A873" s="2" t="s">
        <v>5884</v>
      </c>
      <c r="B873" s="2" t="s">
        <v>4298</v>
      </c>
      <c r="C873" s="2" t="s">
        <v>4299</v>
      </c>
      <c r="D873" s="2">
        <v>2008</v>
      </c>
      <c r="E873" s="2" t="s">
        <v>4300</v>
      </c>
      <c r="G873" s="2" t="s">
        <v>4301</v>
      </c>
      <c r="H873" s="2" t="s">
        <v>4334</v>
      </c>
      <c r="I873" s="2" t="str" cm="1">
        <f t="array" ref="I873">H873 &amp; _xlfn.REGEXEXTRACT(G873,"^[^_]+_\d{4}") &amp; ".pdf"</f>
        <v>https://www.ocf.berkeley.edu/~pkmendez/envsci/projects/2008final/Shang_2008.pdf</v>
      </c>
      <c r="J873" s="1" t="str">
        <f t="shared" si="14"/>
        <v>https://www.ocf.berkeley.edu/~pkmendez/envsci/projects/2008final/Shang_2008.pdf</v>
      </c>
      <c r="P873" s="2" t="s">
        <v>9</v>
      </c>
      <c r="Q873" s="2" t="s">
        <v>10</v>
      </c>
    </row>
    <row r="874" spans="1:17" x14ac:dyDescent="0.35">
      <c r="A874" s="2" t="s">
        <v>5884</v>
      </c>
      <c r="B874" s="2" t="s">
        <v>4302</v>
      </c>
      <c r="C874" s="2" t="s">
        <v>4303</v>
      </c>
      <c r="D874" s="2">
        <v>2008</v>
      </c>
      <c r="E874" s="2" t="s">
        <v>4304</v>
      </c>
      <c r="G874" s="2" t="s">
        <v>4305</v>
      </c>
      <c r="H874" s="2" t="s">
        <v>4334</v>
      </c>
      <c r="I874" s="2" t="str" cm="1">
        <f t="array" ref="I874">H874 &amp; _xlfn.REGEXEXTRACT(G874,"^[^_]+_\d{4}") &amp; ".pdf"</f>
        <v>https://www.ocf.berkeley.edu/~pkmendez/envsci/projects/2008final/Sheppard_2008.pdf</v>
      </c>
      <c r="J874" s="1" t="str">
        <f t="shared" si="14"/>
        <v>https://www.ocf.berkeley.edu/~pkmendez/envsci/projects/2008final/Sheppard_2008.pdf</v>
      </c>
      <c r="P874" s="2" t="s">
        <v>9</v>
      </c>
      <c r="Q874" s="2" t="s">
        <v>10</v>
      </c>
    </row>
    <row r="875" spans="1:17" x14ac:dyDescent="0.35">
      <c r="A875" s="2" t="s">
        <v>5884</v>
      </c>
      <c r="B875" s="2" t="s">
        <v>4306</v>
      </c>
      <c r="C875" s="2" t="s">
        <v>4307</v>
      </c>
      <c r="D875" s="2">
        <v>2008</v>
      </c>
      <c r="E875" s="2" t="s">
        <v>4308</v>
      </c>
      <c r="G875" s="2" t="s">
        <v>4309</v>
      </c>
      <c r="H875" s="2" t="s">
        <v>4334</v>
      </c>
      <c r="I875" s="2" t="str" cm="1">
        <f t="array" ref="I875">H875 &amp; _xlfn.REGEXEXTRACT(G875,"^[^_]+_\d{4}") &amp; ".pdf"</f>
        <v>https://www.ocf.berkeley.edu/~pkmendez/envsci/projects/2008final/Song_2008.pdf</v>
      </c>
      <c r="J875" s="1" t="str">
        <f t="shared" si="14"/>
        <v>https://www.ocf.berkeley.edu/~pkmendez/envsci/projects/2008final/Song_2008.pdf</v>
      </c>
      <c r="P875" s="2" t="s">
        <v>9</v>
      </c>
      <c r="Q875" s="2" t="s">
        <v>10</v>
      </c>
    </row>
    <row r="876" spans="1:17" x14ac:dyDescent="0.35">
      <c r="A876" s="2" t="s">
        <v>5884</v>
      </c>
      <c r="B876" s="2" t="s">
        <v>4310</v>
      </c>
      <c r="C876" s="2" t="s">
        <v>4311</v>
      </c>
      <c r="D876" s="2">
        <v>2008</v>
      </c>
      <c r="E876" s="2" t="s">
        <v>4312</v>
      </c>
      <c r="G876" s="2" t="s">
        <v>4313</v>
      </c>
      <c r="H876" s="2" t="s">
        <v>4334</v>
      </c>
      <c r="I876" s="2" t="str" cm="1">
        <f t="array" ref="I876">H876 &amp; _xlfn.REGEXEXTRACT(G876,"^[^_]+_\d{4}") &amp; ".pdf"</f>
        <v>https://www.ocf.berkeley.edu/~pkmendez/envsci/projects/2008final/Suzara_2008.pdf</v>
      </c>
      <c r="J876" s="1" t="str">
        <f t="shared" si="14"/>
        <v>https://www.ocf.berkeley.edu/~pkmendez/envsci/projects/2008final/Suzara_2008.pdf</v>
      </c>
      <c r="P876" s="2" t="s">
        <v>9</v>
      </c>
      <c r="Q876" s="2" t="s">
        <v>10</v>
      </c>
    </row>
    <row r="877" spans="1:17" x14ac:dyDescent="0.35">
      <c r="A877" s="2" t="s">
        <v>5884</v>
      </c>
      <c r="B877" s="2" t="s">
        <v>4314</v>
      </c>
      <c r="C877" s="2" t="s">
        <v>4315</v>
      </c>
      <c r="D877" s="2">
        <v>2008</v>
      </c>
      <c r="E877" s="2" t="s">
        <v>4316</v>
      </c>
      <c r="G877" s="2" t="s">
        <v>4317</v>
      </c>
      <c r="H877" s="2" t="s">
        <v>4334</v>
      </c>
      <c r="I877" s="2" t="str" cm="1">
        <f t="array" ref="I877">H877 &amp; _xlfn.REGEXEXTRACT(G877,"^[^_]+_\d{4}") &amp; ".pdf"</f>
        <v>https://www.ocf.berkeley.edu/~pkmendez/envsci/projects/2008final/Talatala_2008.pdf</v>
      </c>
      <c r="J877" s="1" t="str">
        <f t="shared" si="14"/>
        <v>https://www.ocf.berkeley.edu/~pkmendez/envsci/projects/2008final/Talatala_2008.pdf</v>
      </c>
      <c r="P877" s="2" t="s">
        <v>9</v>
      </c>
      <c r="Q877" s="2" t="s">
        <v>10</v>
      </c>
    </row>
    <row r="878" spans="1:17" x14ac:dyDescent="0.35">
      <c r="A878" s="2" t="s">
        <v>5884</v>
      </c>
      <c r="B878" s="2" t="s">
        <v>4318</v>
      </c>
      <c r="C878" s="2" t="s">
        <v>4319</v>
      </c>
      <c r="D878" s="2">
        <v>2008</v>
      </c>
      <c r="E878" s="2" t="s">
        <v>4320</v>
      </c>
      <c r="G878" s="2" t="s">
        <v>4321</v>
      </c>
      <c r="H878" s="2" t="s">
        <v>4334</v>
      </c>
      <c r="I878" s="2" t="str" cm="1">
        <f t="array" ref="I878">H878 &amp; _xlfn.REGEXEXTRACT(G878,"^[^_]+_\d{4}") &amp; ".pdf"</f>
        <v>https://www.ocf.berkeley.edu/~pkmendez/envsci/projects/2008final/Thi_2008.pdf</v>
      </c>
      <c r="J878" s="1" t="str">
        <f t="shared" si="14"/>
        <v>https://www.ocf.berkeley.edu/~pkmendez/envsci/projects/2008final/Thi_2008.pdf</v>
      </c>
      <c r="P878" s="2" t="s">
        <v>9</v>
      </c>
      <c r="Q878" s="2" t="s">
        <v>10</v>
      </c>
    </row>
    <row r="879" spans="1:17" x14ac:dyDescent="0.35">
      <c r="A879" s="2" t="s">
        <v>5884</v>
      </c>
      <c r="B879" s="2" t="s">
        <v>4322</v>
      </c>
      <c r="C879" s="2" t="s">
        <v>4323</v>
      </c>
      <c r="D879" s="2">
        <v>2008</v>
      </c>
      <c r="E879" s="2" t="s">
        <v>4324</v>
      </c>
      <c r="G879" s="2" t="s">
        <v>4325</v>
      </c>
      <c r="H879" s="2" t="s">
        <v>4334</v>
      </c>
      <c r="I879" s="2" t="str" cm="1">
        <f t="array" ref="I879">H879 &amp; _xlfn.REGEXEXTRACT(G879,"^[^_]+_\d{4}") &amp; ".pdf"</f>
        <v>https://www.ocf.berkeley.edu/~pkmendez/envsci/projects/2008final/Tu_2008.pdf</v>
      </c>
      <c r="J879" s="1" t="str">
        <f t="shared" si="14"/>
        <v>https://www.ocf.berkeley.edu/~pkmendez/envsci/projects/2008final/Tu_2008.pdf</v>
      </c>
      <c r="P879" s="2" t="s">
        <v>9</v>
      </c>
      <c r="Q879" s="2" t="s">
        <v>10</v>
      </c>
    </row>
    <row r="880" spans="1:17" x14ac:dyDescent="0.35">
      <c r="A880" s="2" t="s">
        <v>5884</v>
      </c>
      <c r="B880" s="2" t="s">
        <v>4326</v>
      </c>
      <c r="C880" s="2" t="s">
        <v>4327</v>
      </c>
      <c r="D880" s="2">
        <v>2008</v>
      </c>
      <c r="E880" s="2" t="s">
        <v>4328</v>
      </c>
      <c r="G880" s="2" t="s">
        <v>4329</v>
      </c>
      <c r="H880" s="2" t="s">
        <v>4334</v>
      </c>
      <c r="I880" s="2" t="str" cm="1">
        <f t="array" ref="I880">H880 &amp; _xlfn.REGEXEXTRACT(G880,"^[^_]+_\d{4}") &amp; ".pdf"</f>
        <v>https://www.ocf.berkeley.edu/~pkmendez/envsci/projects/2008final/Vu_2008.pdf</v>
      </c>
      <c r="J880" s="1" t="str">
        <f t="shared" si="14"/>
        <v>https://www.ocf.berkeley.edu/~pkmendez/envsci/projects/2008final/Vu_2008.pdf</v>
      </c>
      <c r="P880" s="2" t="s">
        <v>9</v>
      </c>
      <c r="Q880" s="2" t="s">
        <v>10</v>
      </c>
    </row>
    <row r="881" spans="1:17" x14ac:dyDescent="0.35">
      <c r="A881" s="2" t="s">
        <v>5884</v>
      </c>
      <c r="B881" s="2" t="s">
        <v>4330</v>
      </c>
      <c r="C881" s="2" t="s">
        <v>4331</v>
      </c>
      <c r="D881" s="2">
        <v>2008</v>
      </c>
      <c r="E881" s="2" t="s">
        <v>4332</v>
      </c>
      <c r="G881" s="2" t="s">
        <v>4333</v>
      </c>
      <c r="H881" s="2" t="s">
        <v>4334</v>
      </c>
      <c r="I881" s="2" t="str" cm="1">
        <f t="array" ref="I881">H881 &amp; _xlfn.REGEXEXTRACT(G881,"^[^_]+_\d{4}") &amp; ".pdf"</f>
        <v>https://www.ocf.berkeley.edu/~pkmendez/envsci/projects/2008final/Xu_2008.pdf</v>
      </c>
      <c r="J881" s="1" t="str">
        <f t="shared" si="14"/>
        <v>https://www.ocf.berkeley.edu/~pkmendez/envsci/projects/2008final/Xu_2008.pdf</v>
      </c>
      <c r="P881" s="2" t="s">
        <v>9</v>
      </c>
      <c r="Q881" s="2" t="s">
        <v>10</v>
      </c>
    </row>
    <row r="882" spans="1:17" x14ac:dyDescent="0.35">
      <c r="A882" s="2" t="s">
        <v>5884</v>
      </c>
      <c r="B882" s="2" t="s">
        <v>4335</v>
      </c>
      <c r="C882" s="2" t="s">
        <v>4336</v>
      </c>
      <c r="D882" s="2">
        <v>2007</v>
      </c>
      <c r="E882" s="2" t="s">
        <v>4337</v>
      </c>
      <c r="G882" s="2" t="s">
        <v>4338</v>
      </c>
      <c r="H882" s="2" t="s">
        <v>4471</v>
      </c>
      <c r="I882" s="2" t="str" cm="1">
        <f t="array" ref="I882">H882&amp;_xlfn.REGEXEXTRACT(B882,"\S+$")&amp;".pdf"</f>
        <v>https://www.ocf.berkeley.edu/~pkmendez/envsci/projects/2007final/Ali.pdf</v>
      </c>
      <c r="J882" s="1" t="str">
        <f t="shared" si="14"/>
        <v>https://www.ocf.berkeley.edu/~pkmendez/envsci/projects/2007final/Ali.pdf</v>
      </c>
      <c r="P882" s="2" t="s">
        <v>9</v>
      </c>
      <c r="Q882" s="2" t="s">
        <v>10</v>
      </c>
    </row>
    <row r="883" spans="1:17" x14ac:dyDescent="0.35">
      <c r="A883" s="2" t="s">
        <v>5884</v>
      </c>
      <c r="B883" s="2" t="s">
        <v>4339</v>
      </c>
      <c r="C883" s="2" t="s">
        <v>4340</v>
      </c>
      <c r="D883" s="2">
        <v>2007</v>
      </c>
      <c r="E883" s="2" t="s">
        <v>4341</v>
      </c>
      <c r="G883" s="2" t="s">
        <v>4342</v>
      </c>
      <c r="H883" s="2" t="s">
        <v>4471</v>
      </c>
      <c r="I883" s="2" t="str" cm="1">
        <f t="array" ref="I883">H883&amp;_xlfn.REGEXEXTRACT(B883,"\S+$")&amp;".pdf"</f>
        <v>https://www.ocf.berkeley.edu/~pkmendez/envsci/projects/2007final/Briggs.pdf</v>
      </c>
      <c r="J883" s="1" t="str">
        <f t="shared" si="14"/>
        <v>https://www.ocf.berkeley.edu/~pkmendez/envsci/projects/2007final/Briggs.pdf</v>
      </c>
      <c r="P883" s="2" t="s">
        <v>9</v>
      </c>
      <c r="Q883" s="2" t="s">
        <v>10</v>
      </c>
    </row>
    <row r="884" spans="1:17" x14ac:dyDescent="0.35">
      <c r="A884" s="2" t="s">
        <v>5884</v>
      </c>
      <c r="B884" s="2" t="s">
        <v>4343</v>
      </c>
      <c r="C884" s="2" t="s">
        <v>4344</v>
      </c>
      <c r="D884" s="2">
        <v>2007</v>
      </c>
      <c r="E884" s="2" t="s">
        <v>4345</v>
      </c>
      <c r="G884" s="2" t="s">
        <v>4346</v>
      </c>
      <c r="H884" s="2" t="s">
        <v>4471</v>
      </c>
      <c r="I884" s="2" t="str" cm="1">
        <f t="array" ref="I884">H884&amp;_xlfn.REGEXEXTRACT(B884,"\S+$")&amp;".pdf"</f>
        <v>https://www.ocf.berkeley.edu/~pkmendez/envsci/projects/2007final/Cleary.pdf</v>
      </c>
      <c r="J884" s="1" t="str">
        <f t="shared" si="14"/>
        <v>https://www.ocf.berkeley.edu/~pkmendez/envsci/projects/2007final/Cleary.pdf</v>
      </c>
      <c r="P884" s="2" t="s">
        <v>9</v>
      </c>
      <c r="Q884" s="2" t="s">
        <v>10</v>
      </c>
    </row>
    <row r="885" spans="1:17" x14ac:dyDescent="0.35">
      <c r="A885" s="2" t="s">
        <v>5884</v>
      </c>
      <c r="B885" s="2" t="s">
        <v>4347</v>
      </c>
      <c r="C885" s="2" t="s">
        <v>4348</v>
      </c>
      <c r="D885" s="2">
        <v>2007</v>
      </c>
      <c r="E885" s="2" t="s">
        <v>4349</v>
      </c>
      <c r="G885" s="2" t="s">
        <v>4350</v>
      </c>
      <c r="H885" s="2" t="s">
        <v>4471</v>
      </c>
      <c r="I885" s="2" t="str" cm="1">
        <f t="array" ref="I885">H885&amp;_xlfn.REGEXEXTRACT(B885,"\S+$")&amp;".pdf"</f>
        <v>https://www.ocf.berkeley.edu/~pkmendez/envsci/projects/2007final/Freitas.pdf</v>
      </c>
      <c r="J885" s="1" t="str">
        <f t="shared" si="14"/>
        <v>https://www.ocf.berkeley.edu/~pkmendez/envsci/projects/2007final/Freitas.pdf</v>
      </c>
      <c r="P885" s="2" t="s">
        <v>9</v>
      </c>
      <c r="Q885" s="2" t="s">
        <v>10</v>
      </c>
    </row>
    <row r="886" spans="1:17" x14ac:dyDescent="0.35">
      <c r="A886" s="2" t="s">
        <v>5884</v>
      </c>
      <c r="B886" s="2" t="s">
        <v>4351</v>
      </c>
      <c r="C886" s="2" t="s">
        <v>4352</v>
      </c>
      <c r="D886" s="2">
        <v>2007</v>
      </c>
      <c r="E886" s="2" t="s">
        <v>4353</v>
      </c>
      <c r="G886" s="2" t="s">
        <v>4354</v>
      </c>
      <c r="H886" s="2" t="s">
        <v>4471</v>
      </c>
      <c r="I886" s="2" t="str" cm="1">
        <f t="array" ref="I886">H886&amp;_xlfn.REGEXEXTRACT(B886,"\S+$")&amp;".pdf"</f>
        <v>https://www.ocf.berkeley.edu/~pkmendez/envsci/projects/2007final/Gallivan.pdf</v>
      </c>
      <c r="J886" s="1" t="str">
        <f t="shared" si="14"/>
        <v>https://www.ocf.berkeley.edu/~pkmendez/envsci/projects/2007final/Gallivan.pdf</v>
      </c>
      <c r="P886" s="2" t="s">
        <v>9</v>
      </c>
      <c r="Q886" s="2" t="s">
        <v>10</v>
      </c>
    </row>
    <row r="887" spans="1:17" x14ac:dyDescent="0.35">
      <c r="A887" s="2" t="s">
        <v>5884</v>
      </c>
      <c r="B887" s="2" t="s">
        <v>4355</v>
      </c>
      <c r="C887" s="2" t="s">
        <v>4356</v>
      </c>
      <c r="D887" s="2">
        <v>2007</v>
      </c>
      <c r="E887" s="2" t="s">
        <v>4357</v>
      </c>
      <c r="G887" s="2" t="s">
        <v>4358</v>
      </c>
      <c r="H887" s="2" t="s">
        <v>4471</v>
      </c>
      <c r="I887" s="2" t="str" cm="1">
        <f t="array" ref="I887">H887&amp;_xlfn.REGEXEXTRACT(B887,"\S+$")&amp;".pdf"</f>
        <v>https://www.ocf.berkeley.edu/~pkmendez/envsci/projects/2007final/Giurgiulescu.pdf</v>
      </c>
      <c r="J887" s="1" t="str">
        <f t="shared" si="14"/>
        <v>https://www.ocf.berkeley.edu/~pkmendez/envsci/projects/2007final/Giurgiulescu.pdf</v>
      </c>
      <c r="P887" s="2" t="s">
        <v>9</v>
      </c>
      <c r="Q887" s="2" t="s">
        <v>10</v>
      </c>
    </row>
    <row r="888" spans="1:17" x14ac:dyDescent="0.35">
      <c r="A888" s="2" t="s">
        <v>5884</v>
      </c>
      <c r="B888" s="2" t="s">
        <v>4359</v>
      </c>
      <c r="C888" s="2" t="s">
        <v>4360</v>
      </c>
      <c r="D888" s="2">
        <v>2007</v>
      </c>
      <c r="E888" s="2" t="s">
        <v>4361</v>
      </c>
      <c r="G888" s="2" t="s">
        <v>4362</v>
      </c>
      <c r="H888" s="2" t="s">
        <v>4471</v>
      </c>
      <c r="I888" s="2" t="str" cm="1">
        <f t="array" ref="I888">H888&amp;_xlfn.REGEXEXTRACT(B888,"\S+$")&amp;".pdf"</f>
        <v>https://www.ocf.berkeley.edu/~pkmendez/envsci/projects/2007final/Grand.pdf</v>
      </c>
      <c r="J888" s="1" t="str">
        <f t="shared" si="14"/>
        <v>https://www.ocf.berkeley.edu/~pkmendez/envsci/projects/2007final/Grand.pdf</v>
      </c>
      <c r="P888" s="2" t="s">
        <v>9</v>
      </c>
      <c r="Q888" s="2" t="s">
        <v>10</v>
      </c>
    </row>
    <row r="889" spans="1:17" x14ac:dyDescent="0.35">
      <c r="A889" s="2" t="s">
        <v>5884</v>
      </c>
      <c r="B889" s="2" t="s">
        <v>4363</v>
      </c>
      <c r="C889" s="2" t="s">
        <v>4364</v>
      </c>
      <c r="D889" s="2">
        <v>2007</v>
      </c>
      <c r="E889" s="2" t="s">
        <v>4365</v>
      </c>
      <c r="G889" s="2" t="s">
        <v>4366</v>
      </c>
      <c r="H889" s="2" t="s">
        <v>4471</v>
      </c>
      <c r="I889" s="2" t="str" cm="1">
        <f t="array" ref="I889">H889&amp;_xlfn.REGEXEXTRACT(B889,"\S+$")&amp;".pdf"</f>
        <v>https://www.ocf.berkeley.edu/~pkmendez/envsci/projects/2007final/Hon.pdf</v>
      </c>
      <c r="J889" s="1" t="str">
        <f t="shared" si="14"/>
        <v>https://www.ocf.berkeley.edu/~pkmendez/envsci/projects/2007final/Hon.pdf</v>
      </c>
      <c r="P889" s="2" t="s">
        <v>9</v>
      </c>
      <c r="Q889" s="2" t="s">
        <v>10</v>
      </c>
    </row>
    <row r="890" spans="1:17" x14ac:dyDescent="0.35">
      <c r="A890" s="2" t="s">
        <v>5884</v>
      </c>
      <c r="B890" s="2" t="s">
        <v>4367</v>
      </c>
      <c r="C890" s="2" t="s">
        <v>4368</v>
      </c>
      <c r="D890" s="2">
        <v>2007</v>
      </c>
      <c r="E890" s="2" t="s">
        <v>4369</v>
      </c>
      <c r="G890" s="2" t="s">
        <v>4370</v>
      </c>
      <c r="H890" s="2" t="s">
        <v>4471</v>
      </c>
      <c r="I890" s="2" t="str" cm="1">
        <f t="array" ref="I890">H890&amp;_xlfn.REGEXEXTRACT(B890,"\S+$")&amp;".pdf"</f>
        <v>https://www.ocf.berkeley.edu/~pkmendez/envsci/projects/2007final/Huang.pdf</v>
      </c>
      <c r="J890" s="1" t="str">
        <f t="shared" si="14"/>
        <v>https://www.ocf.berkeley.edu/~pkmendez/envsci/projects/2007final/Huang.pdf</v>
      </c>
      <c r="P890" s="2" t="s">
        <v>9</v>
      </c>
      <c r="Q890" s="2" t="s">
        <v>10</v>
      </c>
    </row>
    <row r="891" spans="1:17" x14ac:dyDescent="0.35">
      <c r="A891" s="2" t="s">
        <v>5884</v>
      </c>
      <c r="B891" s="2" t="s">
        <v>4371</v>
      </c>
      <c r="C891" s="2" t="s">
        <v>4372</v>
      </c>
      <c r="D891" s="2">
        <v>2007</v>
      </c>
      <c r="E891" s="2" t="s">
        <v>4373</v>
      </c>
      <c r="G891" s="2" t="s">
        <v>4374</v>
      </c>
      <c r="H891" s="2" t="s">
        <v>4471</v>
      </c>
      <c r="I891" s="2" t="str" cm="1">
        <f t="array" ref="I891">H891&amp;_xlfn.REGEXEXTRACT(B891,"\S+$")&amp;".pdf"</f>
        <v>https://www.ocf.berkeley.edu/~pkmendez/envsci/projects/2007final/Kattan.pdf</v>
      </c>
      <c r="J891" s="1" t="str">
        <f t="shared" si="14"/>
        <v>https://www.ocf.berkeley.edu/~pkmendez/envsci/projects/2007final/Kattan.pdf</v>
      </c>
      <c r="P891" s="2" t="s">
        <v>9</v>
      </c>
      <c r="Q891" s="2" t="s">
        <v>10</v>
      </c>
    </row>
    <row r="892" spans="1:17" x14ac:dyDescent="0.35">
      <c r="A892" s="2" t="s">
        <v>5884</v>
      </c>
      <c r="B892" s="2" t="s">
        <v>4375</v>
      </c>
      <c r="C892" s="2" t="s">
        <v>4376</v>
      </c>
      <c r="D892" s="2">
        <v>2007</v>
      </c>
      <c r="E892" s="2" t="s">
        <v>4377</v>
      </c>
      <c r="G892" s="2" t="s">
        <v>4378</v>
      </c>
      <c r="H892" s="2" t="s">
        <v>4471</v>
      </c>
      <c r="I892" s="2" t="str" cm="1">
        <f t="array" ref="I892">H892&amp;_xlfn.REGEXEXTRACT(B892,"\S+$")&amp;".pdf"</f>
        <v>https://www.ocf.berkeley.edu/~pkmendez/envsci/projects/2007final/Kealey.pdf</v>
      </c>
      <c r="J892" s="1" t="str">
        <f t="shared" si="14"/>
        <v>https://www.ocf.berkeley.edu/~pkmendez/envsci/projects/2007final/Kealey.pdf</v>
      </c>
      <c r="P892" s="2" t="s">
        <v>9</v>
      </c>
      <c r="Q892" s="2" t="s">
        <v>10</v>
      </c>
    </row>
    <row r="893" spans="1:17" x14ac:dyDescent="0.35">
      <c r="A893" s="2" t="s">
        <v>5884</v>
      </c>
      <c r="B893" s="2" t="s">
        <v>4379</v>
      </c>
      <c r="C893" s="2" t="s">
        <v>4380</v>
      </c>
      <c r="D893" s="2">
        <v>2007</v>
      </c>
      <c r="E893" s="2" t="s">
        <v>4381</v>
      </c>
      <c r="G893" s="2" t="s">
        <v>4382</v>
      </c>
      <c r="H893" s="2" t="s">
        <v>4471</v>
      </c>
      <c r="I893" s="2" t="str" cm="1">
        <f t="array" ref="I893">H893&amp;_xlfn.REGEXEXTRACT(B893,"\S+$")&amp;".pdf"</f>
        <v>https://www.ocf.berkeley.edu/~pkmendez/envsci/projects/2007final/Klyce.pdf</v>
      </c>
      <c r="J893" s="1" t="str">
        <f t="shared" si="14"/>
        <v>https://www.ocf.berkeley.edu/~pkmendez/envsci/projects/2007final/Klyce.pdf</v>
      </c>
      <c r="P893" s="2" t="s">
        <v>9</v>
      </c>
      <c r="Q893" s="2" t="s">
        <v>10</v>
      </c>
    </row>
    <row r="894" spans="1:17" x14ac:dyDescent="0.35">
      <c r="A894" s="2" t="s">
        <v>5884</v>
      </c>
      <c r="B894" s="2" t="s">
        <v>4383</v>
      </c>
      <c r="C894" s="2" t="s">
        <v>4384</v>
      </c>
      <c r="D894" s="2">
        <v>2007</v>
      </c>
      <c r="E894" s="2" t="s">
        <v>4385</v>
      </c>
      <c r="G894" s="2" t="s">
        <v>4386</v>
      </c>
      <c r="H894" s="2" t="s">
        <v>4471</v>
      </c>
      <c r="I894" s="2" t="str" cm="1">
        <f t="array" ref="I894">H894&amp;_xlfn.REGEXEXTRACT(B894,"\S+$")&amp;".pdf"</f>
        <v>https://www.ocf.berkeley.edu/~pkmendez/envsci/projects/2007final/Krause.pdf</v>
      </c>
      <c r="J894" s="1" t="str">
        <f t="shared" si="14"/>
        <v>https://www.ocf.berkeley.edu/~pkmendez/envsci/projects/2007final/Krause.pdf</v>
      </c>
      <c r="P894" s="2" t="s">
        <v>9</v>
      </c>
      <c r="Q894" s="2" t="s">
        <v>10</v>
      </c>
    </row>
    <row r="895" spans="1:17" x14ac:dyDescent="0.35">
      <c r="A895" s="2" t="s">
        <v>5884</v>
      </c>
      <c r="B895" s="2" t="s">
        <v>4387</v>
      </c>
      <c r="C895" s="2" t="s">
        <v>4388</v>
      </c>
      <c r="D895" s="2">
        <v>2007</v>
      </c>
      <c r="E895" s="2" t="s">
        <v>4389</v>
      </c>
      <c r="G895" s="2" t="s">
        <v>4390</v>
      </c>
      <c r="H895" s="2" t="s">
        <v>4471</v>
      </c>
      <c r="I895" s="2" t="str" cm="1">
        <f t="array" ref="I895">H895&amp;_xlfn.REGEXEXTRACT(B895,"\S+$")&amp;".pdf"</f>
        <v>https://www.ocf.berkeley.edu/~pkmendez/envsci/projects/2007final/Lara.pdf</v>
      </c>
      <c r="J895" s="1" t="str">
        <f t="shared" si="14"/>
        <v>https://www.ocf.berkeley.edu/~pkmendez/envsci/projects/2007final/Lara.pdf</v>
      </c>
      <c r="P895" s="2" t="s">
        <v>9</v>
      </c>
      <c r="Q895" s="2" t="s">
        <v>10</v>
      </c>
    </row>
    <row r="896" spans="1:17" x14ac:dyDescent="0.35">
      <c r="A896" s="2" t="s">
        <v>5884</v>
      </c>
      <c r="B896" s="2" t="s">
        <v>4391</v>
      </c>
      <c r="C896" s="2" t="s">
        <v>4392</v>
      </c>
      <c r="D896" s="2">
        <v>2007</v>
      </c>
      <c r="E896" s="2" t="s">
        <v>4393</v>
      </c>
      <c r="G896" s="2" t="s">
        <v>4394</v>
      </c>
      <c r="H896" s="2" t="s">
        <v>4471</v>
      </c>
      <c r="I896" s="2" t="str" cm="1">
        <f t="array" ref="I896">H896&amp;_xlfn.REGEXEXTRACT(B896,"\S+$")&amp;".pdf"</f>
        <v>https://www.ocf.berkeley.edu/~pkmendez/envsci/projects/2007final/Levy.pdf</v>
      </c>
      <c r="J896" s="1" t="str">
        <f t="shared" si="14"/>
        <v>https://www.ocf.berkeley.edu/~pkmendez/envsci/projects/2007final/Levy.pdf</v>
      </c>
      <c r="P896" s="2" t="s">
        <v>9</v>
      </c>
      <c r="Q896" s="2" t="s">
        <v>10</v>
      </c>
    </row>
    <row r="897" spans="1:17" x14ac:dyDescent="0.35">
      <c r="A897" s="2" t="s">
        <v>5884</v>
      </c>
      <c r="B897" s="2" t="s">
        <v>4395</v>
      </c>
      <c r="C897" s="2" t="s">
        <v>4396</v>
      </c>
      <c r="D897" s="2">
        <v>2007</v>
      </c>
      <c r="E897" s="2" t="s">
        <v>4397</v>
      </c>
      <c r="G897" s="2" t="s">
        <v>4398</v>
      </c>
      <c r="H897" s="2" t="s">
        <v>4471</v>
      </c>
      <c r="I897" s="2" t="str" cm="1">
        <f t="array" ref="I897">H897&amp;_xlfn.REGEXEXTRACT(B897,"\S+$")&amp;".pdf"</f>
        <v>https://www.ocf.berkeley.edu/~pkmendez/envsci/projects/2007final/Limaye.pdf</v>
      </c>
      <c r="J897" s="1" t="str">
        <f t="shared" si="14"/>
        <v>https://www.ocf.berkeley.edu/~pkmendez/envsci/projects/2007final/Limaye.pdf</v>
      </c>
      <c r="P897" s="2" t="s">
        <v>9</v>
      </c>
      <c r="Q897" s="2" t="s">
        <v>10</v>
      </c>
    </row>
    <row r="898" spans="1:17" x14ac:dyDescent="0.35">
      <c r="A898" s="2" t="s">
        <v>5884</v>
      </c>
      <c r="B898" s="2" t="s">
        <v>4399</v>
      </c>
      <c r="C898" s="2" t="s">
        <v>4400</v>
      </c>
      <c r="D898" s="2">
        <v>2007</v>
      </c>
      <c r="E898" s="2" t="s">
        <v>4401</v>
      </c>
      <c r="G898" s="2" t="s">
        <v>4402</v>
      </c>
      <c r="H898" s="2" t="s">
        <v>4471</v>
      </c>
      <c r="I898" s="2" t="str" cm="1">
        <f t="array" ref="I898">H898&amp;_xlfn.REGEXEXTRACT(B898,"\S+$")&amp;".pdf"</f>
        <v>https://www.ocf.berkeley.edu/~pkmendez/envsci/projects/2007final/Maloney.pdf</v>
      </c>
      <c r="J898" s="1" t="str">
        <f t="shared" si="14"/>
        <v>https://www.ocf.berkeley.edu/~pkmendez/envsci/projects/2007final/Maloney.pdf</v>
      </c>
      <c r="P898" s="2" t="s">
        <v>9</v>
      </c>
      <c r="Q898" s="2" t="s">
        <v>10</v>
      </c>
    </row>
    <row r="899" spans="1:17" x14ac:dyDescent="0.35">
      <c r="A899" s="2" t="s">
        <v>5884</v>
      </c>
      <c r="B899" s="2" t="s">
        <v>4403</v>
      </c>
      <c r="C899" s="2" t="s">
        <v>4404</v>
      </c>
      <c r="D899" s="2">
        <v>2007</v>
      </c>
      <c r="E899" s="2" t="s">
        <v>4405</v>
      </c>
      <c r="G899" s="2" t="s">
        <v>4406</v>
      </c>
      <c r="H899" s="2" t="s">
        <v>4471</v>
      </c>
      <c r="I899" s="2" t="str" cm="1">
        <f t="array" ref="I899">H899&amp;_xlfn.REGEXEXTRACT(B899,"\S+$")&amp;"J.pdf"</f>
        <v>https://www.ocf.berkeley.edu/~pkmendez/envsci/projects/2007final/MillerJ.pdf</v>
      </c>
      <c r="J899" s="1" t="str">
        <f t="shared" ref="J899:J962" si="15">HYPERLINK(I899, I899)</f>
        <v>https://www.ocf.berkeley.edu/~pkmendez/envsci/projects/2007final/MillerJ.pdf</v>
      </c>
      <c r="P899" s="2" t="s">
        <v>9</v>
      </c>
      <c r="Q899" s="2" t="s">
        <v>10</v>
      </c>
    </row>
    <row r="900" spans="1:17" x14ac:dyDescent="0.35">
      <c r="A900" s="2" t="s">
        <v>5884</v>
      </c>
      <c r="B900" s="2" t="s">
        <v>4407</v>
      </c>
      <c r="C900" s="2" t="s">
        <v>4408</v>
      </c>
      <c r="D900" s="2">
        <v>2007</v>
      </c>
      <c r="E900" s="2" t="s">
        <v>4409</v>
      </c>
      <c r="G900" s="2" t="s">
        <v>4410</v>
      </c>
      <c r="H900" s="2" t="s">
        <v>4471</v>
      </c>
      <c r="I900" s="2" t="str" cm="1">
        <f t="array" ref="I900">H900&amp;_xlfn.REGEXEXTRACT(B900,"\S+$")&amp;"T.pdf"</f>
        <v>https://www.ocf.berkeley.edu/~pkmendez/envsci/projects/2007final/MillerT.pdf</v>
      </c>
      <c r="J900" s="1" t="str">
        <f t="shared" si="15"/>
        <v>https://www.ocf.berkeley.edu/~pkmendez/envsci/projects/2007final/MillerT.pdf</v>
      </c>
      <c r="P900" s="2" t="s">
        <v>9</v>
      </c>
      <c r="Q900" s="2" t="s">
        <v>10</v>
      </c>
    </row>
    <row r="901" spans="1:17" x14ac:dyDescent="0.35">
      <c r="A901" s="2" t="s">
        <v>5884</v>
      </c>
      <c r="B901" s="2" t="s">
        <v>4411</v>
      </c>
      <c r="C901" s="2" t="s">
        <v>4412</v>
      </c>
      <c r="D901" s="2">
        <v>2007</v>
      </c>
      <c r="E901" s="2" t="s">
        <v>4413</v>
      </c>
      <c r="G901" s="2" t="s">
        <v>4414</v>
      </c>
      <c r="H901" s="2" t="s">
        <v>4471</v>
      </c>
      <c r="I901" s="2" t="str" cm="1">
        <f t="array" ref="I901">H901&amp;_xlfn.REGEXEXTRACT(B901,"\S+$")&amp;".pdf"</f>
        <v>https://www.ocf.berkeley.edu/~pkmendez/envsci/projects/2007final/Petty.pdf</v>
      </c>
      <c r="J901" s="1" t="str">
        <f t="shared" si="15"/>
        <v>https://www.ocf.berkeley.edu/~pkmendez/envsci/projects/2007final/Petty.pdf</v>
      </c>
      <c r="P901" s="2" t="s">
        <v>9</v>
      </c>
      <c r="Q901" s="2" t="s">
        <v>10</v>
      </c>
    </row>
    <row r="902" spans="1:17" x14ac:dyDescent="0.35">
      <c r="A902" s="2" t="s">
        <v>5884</v>
      </c>
      <c r="B902" s="2" t="s">
        <v>4415</v>
      </c>
      <c r="C902" s="2" t="s">
        <v>4416</v>
      </c>
      <c r="D902" s="2">
        <v>2007</v>
      </c>
      <c r="E902" s="2" t="s">
        <v>4417</v>
      </c>
      <c r="G902" s="2" t="s">
        <v>4418</v>
      </c>
      <c r="H902" s="2" t="s">
        <v>4471</v>
      </c>
      <c r="I902" s="2" t="str" cm="1">
        <f t="array" ref="I902">H902&amp;_xlfn.REGEXEXTRACT(B902,"\S+$")&amp;".pdf"</f>
        <v>https://www.ocf.berkeley.edu/~pkmendez/envsci/projects/2007final/Pingatore.pdf</v>
      </c>
      <c r="J902" s="1" t="str">
        <f t="shared" si="15"/>
        <v>https://www.ocf.berkeley.edu/~pkmendez/envsci/projects/2007final/Pingatore.pdf</v>
      </c>
      <c r="P902" s="2" t="s">
        <v>9</v>
      </c>
      <c r="Q902" s="2" t="s">
        <v>10</v>
      </c>
    </row>
    <row r="903" spans="1:17" x14ac:dyDescent="0.35">
      <c r="A903" s="2" t="s">
        <v>5884</v>
      </c>
      <c r="B903" s="2" t="s">
        <v>4419</v>
      </c>
      <c r="C903" s="2" t="s">
        <v>4420</v>
      </c>
      <c r="D903" s="2">
        <v>2007</v>
      </c>
      <c r="E903" s="2" t="s">
        <v>4421</v>
      </c>
      <c r="G903" s="2" t="s">
        <v>4422</v>
      </c>
      <c r="H903" s="2" t="s">
        <v>4471</v>
      </c>
      <c r="I903" s="2" t="str" cm="1">
        <f t="array" ref="I903">H903&amp;_xlfn.REGEXEXTRACT(B903,"\S+$")&amp;".pdf"</f>
        <v>https://www.ocf.berkeley.edu/~pkmendez/envsci/projects/2007final/Rothfeder.pdf</v>
      </c>
      <c r="J903" s="1" t="str">
        <f t="shared" si="15"/>
        <v>https://www.ocf.berkeley.edu/~pkmendez/envsci/projects/2007final/Rothfeder.pdf</v>
      </c>
      <c r="P903" s="2" t="s">
        <v>9</v>
      </c>
      <c r="Q903" s="2" t="s">
        <v>10</v>
      </c>
    </row>
    <row r="904" spans="1:17" x14ac:dyDescent="0.35">
      <c r="A904" s="2" t="s">
        <v>5884</v>
      </c>
      <c r="B904" s="2" t="s">
        <v>4423</v>
      </c>
      <c r="C904" s="2" t="s">
        <v>4424</v>
      </c>
      <c r="D904" s="2">
        <v>2007</v>
      </c>
      <c r="E904" s="2" t="s">
        <v>4425</v>
      </c>
      <c r="G904" s="2" t="s">
        <v>4426</v>
      </c>
      <c r="H904" s="2" t="s">
        <v>4471</v>
      </c>
      <c r="I904" s="2" t="str" cm="1">
        <f t="array" ref="I904">H904&amp;_xlfn.REGEXEXTRACT(B904,"\S+$")&amp;".pdf"</f>
        <v>https://www.ocf.berkeley.edu/~pkmendez/envsci/projects/2007final/Rudolph.pdf</v>
      </c>
      <c r="J904" s="1" t="str">
        <f t="shared" si="15"/>
        <v>https://www.ocf.berkeley.edu/~pkmendez/envsci/projects/2007final/Rudolph.pdf</v>
      </c>
      <c r="P904" s="2" t="s">
        <v>9</v>
      </c>
      <c r="Q904" s="2" t="s">
        <v>10</v>
      </c>
    </row>
    <row r="905" spans="1:17" x14ac:dyDescent="0.35">
      <c r="A905" s="2" t="s">
        <v>5884</v>
      </c>
      <c r="B905" s="2" t="s">
        <v>4427</v>
      </c>
      <c r="C905" s="2" t="s">
        <v>4428</v>
      </c>
      <c r="D905" s="2">
        <v>2007</v>
      </c>
      <c r="E905" s="2" t="s">
        <v>4429</v>
      </c>
      <c r="G905" s="2" t="s">
        <v>4430</v>
      </c>
      <c r="H905" s="2" t="s">
        <v>4471</v>
      </c>
      <c r="I905" s="2" t="str" cm="1">
        <f t="array" ref="I905">H905&amp;_xlfn.REGEXEXTRACT(B905,"\S+$")&amp;".pdf"</f>
        <v>https://www.ocf.berkeley.edu/~pkmendez/envsci/projects/2007final/Saechao.pdf</v>
      </c>
      <c r="J905" s="1" t="str">
        <f t="shared" si="15"/>
        <v>https://www.ocf.berkeley.edu/~pkmendez/envsci/projects/2007final/Saechao.pdf</v>
      </c>
      <c r="P905" s="2" t="s">
        <v>9</v>
      </c>
      <c r="Q905" s="2" t="s">
        <v>10</v>
      </c>
    </row>
    <row r="906" spans="1:17" x14ac:dyDescent="0.35">
      <c r="A906" s="2" t="s">
        <v>5884</v>
      </c>
      <c r="B906" s="2" t="s">
        <v>4431</v>
      </c>
      <c r="C906" s="2" t="s">
        <v>4432</v>
      </c>
      <c r="D906" s="2">
        <v>2007</v>
      </c>
      <c r="E906" s="2" t="s">
        <v>4433</v>
      </c>
      <c r="G906" s="2" t="s">
        <v>4434</v>
      </c>
      <c r="H906" s="2" t="s">
        <v>4471</v>
      </c>
      <c r="I906" s="2" t="str" cm="1">
        <f t="array" ref="I906">H906&amp;_xlfn.REGEXEXTRACT(B906,"\S+$")&amp;".pdf"</f>
        <v>https://www.ocf.berkeley.edu/~pkmendez/envsci/projects/2007final/Salman.pdf</v>
      </c>
      <c r="J906" s="1" t="str">
        <f t="shared" si="15"/>
        <v>https://www.ocf.berkeley.edu/~pkmendez/envsci/projects/2007final/Salman.pdf</v>
      </c>
      <c r="P906" s="2" t="s">
        <v>9</v>
      </c>
      <c r="Q906" s="2" t="s">
        <v>10</v>
      </c>
    </row>
    <row r="907" spans="1:17" x14ac:dyDescent="0.35">
      <c r="A907" s="2" t="s">
        <v>5884</v>
      </c>
      <c r="B907" s="2" t="s">
        <v>4435</v>
      </c>
      <c r="C907" s="2" t="s">
        <v>4436</v>
      </c>
      <c r="D907" s="2">
        <v>2007</v>
      </c>
      <c r="E907" s="2" t="s">
        <v>4437</v>
      </c>
      <c r="G907" s="2" t="s">
        <v>4438</v>
      </c>
      <c r="H907" s="2" t="s">
        <v>4471</v>
      </c>
      <c r="I907" s="2" t="str" cm="1">
        <f t="array" ref="I907">H907&amp;_xlfn.REGEXEXTRACT(B907,"\S+$")&amp;".pdf"</f>
        <v>https://www.ocf.berkeley.edu/~pkmendez/envsci/projects/2007final/Scheingross.pdf</v>
      </c>
      <c r="J907" s="1" t="str">
        <f t="shared" si="15"/>
        <v>https://www.ocf.berkeley.edu/~pkmendez/envsci/projects/2007final/Scheingross.pdf</v>
      </c>
      <c r="P907" s="2" t="s">
        <v>9</v>
      </c>
      <c r="Q907" s="2" t="s">
        <v>10</v>
      </c>
    </row>
    <row r="908" spans="1:17" x14ac:dyDescent="0.35">
      <c r="A908" s="2" t="s">
        <v>5884</v>
      </c>
      <c r="B908" s="2" t="s">
        <v>4439</v>
      </c>
      <c r="C908" s="2" t="s">
        <v>4440</v>
      </c>
      <c r="D908" s="2">
        <v>2007</v>
      </c>
      <c r="E908" s="2" t="s">
        <v>4441</v>
      </c>
      <c r="G908" s="2" t="s">
        <v>4442</v>
      </c>
      <c r="H908" s="2" t="s">
        <v>4471</v>
      </c>
      <c r="I908" s="2" t="str" cm="1">
        <f t="array" ref="I908">H908&amp;_xlfn.REGEXEXTRACT(B908,"\S+$")&amp;".pdf"</f>
        <v>https://www.ocf.berkeley.edu/~pkmendez/envsci/projects/2007final/Shen.pdf</v>
      </c>
      <c r="J908" s="1" t="str">
        <f t="shared" si="15"/>
        <v>https://www.ocf.berkeley.edu/~pkmendez/envsci/projects/2007final/Shen.pdf</v>
      </c>
      <c r="P908" s="2" t="s">
        <v>9</v>
      </c>
      <c r="Q908" s="2" t="s">
        <v>10</v>
      </c>
    </row>
    <row r="909" spans="1:17" x14ac:dyDescent="0.35">
      <c r="A909" s="2" t="s">
        <v>5884</v>
      </c>
      <c r="B909" s="2" t="s">
        <v>4443</v>
      </c>
      <c r="C909" s="2" t="s">
        <v>4444</v>
      </c>
      <c r="D909" s="2">
        <v>2007</v>
      </c>
      <c r="E909" s="2" t="s">
        <v>4445</v>
      </c>
      <c r="G909" s="2" t="s">
        <v>4446</v>
      </c>
      <c r="H909" s="2" t="s">
        <v>4471</v>
      </c>
      <c r="I909" s="2" t="str" cm="1">
        <f t="array" ref="I909">H909&amp;_xlfn.REGEXEXTRACT(B909,"\S+$")&amp;".pdf"</f>
        <v>https://www.ocf.berkeley.edu/~pkmendez/envsci/projects/2007final/Siu.pdf</v>
      </c>
      <c r="J909" s="1" t="str">
        <f t="shared" si="15"/>
        <v>https://www.ocf.berkeley.edu/~pkmendez/envsci/projects/2007final/Siu.pdf</v>
      </c>
      <c r="P909" s="2" t="s">
        <v>9</v>
      </c>
      <c r="Q909" s="2" t="s">
        <v>10</v>
      </c>
    </row>
    <row r="910" spans="1:17" x14ac:dyDescent="0.35">
      <c r="A910" s="2" t="s">
        <v>5884</v>
      </c>
      <c r="B910" s="2" t="s">
        <v>4447</v>
      </c>
      <c r="C910" s="2" t="s">
        <v>4448</v>
      </c>
      <c r="D910" s="2">
        <v>2007</v>
      </c>
      <c r="E910" s="2" t="s">
        <v>4449</v>
      </c>
      <c r="G910" s="2" t="s">
        <v>4450</v>
      </c>
      <c r="H910" s="2" t="s">
        <v>4471</v>
      </c>
      <c r="I910" s="2" t="str" cm="1">
        <f t="array" ref="I910">H910&amp;_xlfn.REGEXEXTRACT(B910,"\S+$")&amp;".pdf"</f>
        <v>https://www.ocf.berkeley.edu/~pkmendez/envsci/projects/2007final/Swenson.pdf</v>
      </c>
      <c r="J910" s="1" t="str">
        <f t="shared" si="15"/>
        <v>https://www.ocf.berkeley.edu/~pkmendez/envsci/projects/2007final/Swenson.pdf</v>
      </c>
      <c r="P910" s="2" t="s">
        <v>9</v>
      </c>
      <c r="Q910" s="2" t="s">
        <v>10</v>
      </c>
    </row>
    <row r="911" spans="1:17" x14ac:dyDescent="0.35">
      <c r="A911" s="2" t="s">
        <v>5884</v>
      </c>
      <c r="B911" s="2" t="s">
        <v>4451</v>
      </c>
      <c r="C911" s="2" t="s">
        <v>4452</v>
      </c>
      <c r="D911" s="2">
        <v>2007</v>
      </c>
      <c r="E911" s="2" t="s">
        <v>4453</v>
      </c>
      <c r="G911" s="2" t="s">
        <v>4454</v>
      </c>
      <c r="H911" s="2" t="s">
        <v>4471</v>
      </c>
      <c r="I911" s="2" t="str" cm="1">
        <f t="array" ref="I911">H911&amp;_xlfn.REGEXEXTRACT(B911,"\S+$")&amp;".pdf"</f>
        <v>https://www.ocf.berkeley.edu/~pkmendez/envsci/projects/2007final/Vu.pdf</v>
      </c>
      <c r="J911" s="1" t="str">
        <f t="shared" si="15"/>
        <v>https://www.ocf.berkeley.edu/~pkmendez/envsci/projects/2007final/Vu.pdf</v>
      </c>
      <c r="P911" s="2" t="s">
        <v>9</v>
      </c>
      <c r="Q911" s="2" t="s">
        <v>10</v>
      </c>
    </row>
    <row r="912" spans="1:17" x14ac:dyDescent="0.35">
      <c r="A912" s="2" t="s">
        <v>5884</v>
      </c>
      <c r="B912" s="2" t="s">
        <v>4455</v>
      </c>
      <c r="C912" s="2" t="s">
        <v>4456</v>
      </c>
      <c r="D912" s="2">
        <v>2007</v>
      </c>
      <c r="E912" s="2" t="s">
        <v>4457</v>
      </c>
      <c r="G912" s="2" t="s">
        <v>4458</v>
      </c>
      <c r="H912" s="2" t="s">
        <v>4471</v>
      </c>
      <c r="I912" s="2" t="str" cm="1">
        <f t="array" ref="I912">H912&amp;_xlfn.REGEXEXTRACT(B912,"\S+$")&amp;".pdf"</f>
        <v>https://www.ocf.berkeley.edu/~pkmendez/envsci/projects/2007final/Warren.pdf</v>
      </c>
      <c r="J912" s="1" t="str">
        <f t="shared" si="15"/>
        <v>https://www.ocf.berkeley.edu/~pkmendez/envsci/projects/2007final/Warren.pdf</v>
      </c>
      <c r="P912" s="2" t="s">
        <v>9</v>
      </c>
      <c r="Q912" s="2" t="s">
        <v>10</v>
      </c>
    </row>
    <row r="913" spans="1:17" x14ac:dyDescent="0.35">
      <c r="A913" s="2" t="s">
        <v>5884</v>
      </c>
      <c r="B913" s="2" t="s">
        <v>4459</v>
      </c>
      <c r="C913" s="2" t="s">
        <v>4460</v>
      </c>
      <c r="D913" s="2">
        <v>2007</v>
      </c>
      <c r="E913" s="2" t="s">
        <v>4461</v>
      </c>
      <c r="G913" s="2" t="s">
        <v>4462</v>
      </c>
      <c r="H913" s="2" t="s">
        <v>4471</v>
      </c>
      <c r="I913" s="2" t="str" cm="1">
        <f t="array" ref="I913">H913&amp;_xlfn.REGEXEXTRACT(B913,"\S+$")&amp;".pdf"</f>
        <v>https://www.ocf.berkeley.edu/~pkmendez/envsci/projects/2007final/Wong.pdf</v>
      </c>
      <c r="J913" s="1" t="str">
        <f t="shared" si="15"/>
        <v>https://www.ocf.berkeley.edu/~pkmendez/envsci/projects/2007final/Wong.pdf</v>
      </c>
      <c r="P913" s="2" t="s">
        <v>9</v>
      </c>
      <c r="Q913" s="2" t="s">
        <v>10</v>
      </c>
    </row>
    <row r="914" spans="1:17" x14ac:dyDescent="0.35">
      <c r="A914" s="2" t="s">
        <v>5884</v>
      </c>
      <c r="B914" s="2" t="s">
        <v>4463</v>
      </c>
      <c r="C914" s="2" t="s">
        <v>4464</v>
      </c>
      <c r="D914" s="2">
        <v>2007</v>
      </c>
      <c r="E914" s="2" t="s">
        <v>4465</v>
      </c>
      <c r="G914" s="2" t="s">
        <v>4466</v>
      </c>
      <c r="H914" s="2" t="s">
        <v>4471</v>
      </c>
      <c r="I914" s="2" t="str" cm="1">
        <f t="array" ref="I914">H914&amp;_xlfn.REGEXEXTRACT(B914,"\S+$")&amp;".pdf"</f>
        <v>https://www.ocf.berkeley.edu/~pkmendez/envsci/projects/2007final/Wright.pdf</v>
      </c>
      <c r="J914" s="1" t="str">
        <f t="shared" si="15"/>
        <v>https://www.ocf.berkeley.edu/~pkmendez/envsci/projects/2007final/Wright.pdf</v>
      </c>
      <c r="P914" s="2" t="s">
        <v>9</v>
      </c>
      <c r="Q914" s="2" t="s">
        <v>10</v>
      </c>
    </row>
    <row r="915" spans="1:17" x14ac:dyDescent="0.35">
      <c r="A915" s="2" t="s">
        <v>5884</v>
      </c>
      <c r="B915" s="2" t="s">
        <v>4467</v>
      </c>
      <c r="C915" s="2" t="s">
        <v>4468</v>
      </c>
      <c r="D915" s="2">
        <v>2007</v>
      </c>
      <c r="E915" s="2" t="s">
        <v>4469</v>
      </c>
      <c r="G915" s="2" t="s">
        <v>4470</v>
      </c>
      <c r="H915" s="3" t="s">
        <v>4471</v>
      </c>
      <c r="I915" s="2" t="str" cm="1">
        <f t="array" ref="I915">H915&amp;_xlfn.REGEXEXTRACT(B915,"\S+$")&amp;".pdf"</f>
        <v>https://www.ocf.berkeley.edu/~pkmendez/envsci/projects/2007final/Zhong.pdf</v>
      </c>
      <c r="J915" s="1" t="str">
        <f t="shared" si="15"/>
        <v>https://www.ocf.berkeley.edu/~pkmendez/envsci/projects/2007final/Zhong.pdf</v>
      </c>
      <c r="P915" s="2" t="s">
        <v>9</v>
      </c>
      <c r="Q915" s="2" t="s">
        <v>10</v>
      </c>
    </row>
    <row r="916" spans="1:17" x14ac:dyDescent="0.35">
      <c r="A916" s="2" t="s">
        <v>5884</v>
      </c>
      <c r="B916" s="2" t="s">
        <v>4472</v>
      </c>
      <c r="C916" s="2" t="s">
        <v>4473</v>
      </c>
      <c r="D916" s="2">
        <v>2006</v>
      </c>
      <c r="E916" s="2" t="s">
        <v>4474</v>
      </c>
      <c r="G916" s="2" t="s">
        <v>4475</v>
      </c>
      <c r="H916" s="3" t="s">
        <v>4611</v>
      </c>
      <c r="I916" s="2" t="str" cm="1">
        <f t="array" ref="I916">H916&amp;_xlfn.REGEXEXTRACT(G916,"^(.*?)(?=-page1)")&amp;".pdf"</f>
        <v>https://www.ocf.berkeley.edu/~pkmendez/envsci/projects/2006final/belichesky.pdf</v>
      </c>
      <c r="J916" s="1" t="str">
        <f t="shared" si="15"/>
        <v>https://www.ocf.berkeley.edu/~pkmendez/envsci/projects/2006final/belichesky.pdf</v>
      </c>
      <c r="P916" s="4" t="s">
        <v>9</v>
      </c>
      <c r="Q916" s="4" t="s">
        <v>10</v>
      </c>
    </row>
    <row r="917" spans="1:17" x14ac:dyDescent="0.35">
      <c r="A917" s="2" t="s">
        <v>5884</v>
      </c>
      <c r="B917" s="2" t="s">
        <v>4476</v>
      </c>
      <c r="C917" s="2" t="s">
        <v>4477</v>
      </c>
      <c r="D917" s="2">
        <v>2006</v>
      </c>
      <c r="E917" s="2" t="s">
        <v>4478</v>
      </c>
      <c r="G917" s="2" t="s">
        <v>4479</v>
      </c>
      <c r="H917" s="3" t="s">
        <v>4611</v>
      </c>
      <c r="I917" s="2" t="str" cm="1">
        <f t="array" ref="I917">H917&amp;_xlfn.REGEXEXTRACT(G917,"^(.*?)(?=-page1)")&amp;".pdf"</f>
        <v>https://www.ocf.berkeley.edu/~pkmendez/envsci/projects/2006final/bozack.pdf</v>
      </c>
      <c r="J917" s="1" t="str">
        <f t="shared" si="15"/>
        <v>https://www.ocf.berkeley.edu/~pkmendez/envsci/projects/2006final/bozack.pdf</v>
      </c>
      <c r="P917" s="4" t="s">
        <v>9</v>
      </c>
      <c r="Q917" s="4" t="s">
        <v>10</v>
      </c>
    </row>
    <row r="918" spans="1:17" x14ac:dyDescent="0.35">
      <c r="A918" s="2" t="s">
        <v>5884</v>
      </c>
      <c r="B918" s="2" t="s">
        <v>4480</v>
      </c>
      <c r="C918" s="2" t="s">
        <v>4481</v>
      </c>
      <c r="D918" s="2">
        <v>2006</v>
      </c>
      <c r="E918" s="2" t="s">
        <v>4482</v>
      </c>
      <c r="G918" s="2" t="s">
        <v>4483</v>
      </c>
      <c r="H918" s="3" t="s">
        <v>4611</v>
      </c>
      <c r="I918" s="2" t="str" cm="1">
        <f t="array" ref="I918">H918&amp;_xlfn.REGEXEXTRACT(G918,"^(.*?)(?=-page1)")&amp;".pdf"</f>
        <v>https://www.ocf.berkeley.edu/~pkmendez/envsci/projects/2006final/burke.pdf</v>
      </c>
      <c r="J918" s="1" t="str">
        <f t="shared" si="15"/>
        <v>https://www.ocf.berkeley.edu/~pkmendez/envsci/projects/2006final/burke.pdf</v>
      </c>
      <c r="P918" s="4" t="s">
        <v>9</v>
      </c>
      <c r="Q918" s="4" t="s">
        <v>10</v>
      </c>
    </row>
    <row r="919" spans="1:17" x14ac:dyDescent="0.35">
      <c r="A919" s="2" t="s">
        <v>5884</v>
      </c>
      <c r="B919" s="2" t="s">
        <v>4484</v>
      </c>
      <c r="C919" s="2" t="s">
        <v>4485</v>
      </c>
      <c r="D919" s="2">
        <v>2006</v>
      </c>
      <c r="E919" s="2" t="s">
        <v>4486</v>
      </c>
      <c r="G919" s="2" t="s">
        <v>4487</v>
      </c>
      <c r="H919" s="3" t="s">
        <v>4611</v>
      </c>
      <c r="I919" s="2" t="str" cm="1">
        <f t="array" ref="I919">H919&amp;_xlfn.REGEXEXTRACT(G919,"^(.*?)(?=-page1)")&amp;".pdf"</f>
        <v>https://www.ocf.berkeley.edu/~pkmendez/envsci/projects/2006final/butler.pdf</v>
      </c>
      <c r="J919" s="1" t="str">
        <f t="shared" si="15"/>
        <v>https://www.ocf.berkeley.edu/~pkmendez/envsci/projects/2006final/butler.pdf</v>
      </c>
      <c r="P919" s="4" t="s">
        <v>9</v>
      </c>
      <c r="Q919" s="4" t="s">
        <v>10</v>
      </c>
    </row>
    <row r="920" spans="1:17" x14ac:dyDescent="0.35">
      <c r="A920" s="2" t="s">
        <v>5884</v>
      </c>
      <c r="B920" s="2" t="s">
        <v>4488</v>
      </c>
      <c r="C920" s="2" t="s">
        <v>4489</v>
      </c>
      <c r="D920" s="2">
        <v>2006</v>
      </c>
      <c r="E920" s="2" t="s">
        <v>4490</v>
      </c>
      <c r="G920" s="2" t="s">
        <v>4491</v>
      </c>
      <c r="H920" s="3" t="s">
        <v>4611</v>
      </c>
      <c r="I920" s="2" t="str" cm="1">
        <f t="array" ref="I920">H920&amp;_xlfn.REGEXEXTRACT(G920,"^(.*?)(?=-page1)")&amp;".pdf"</f>
        <v>https://www.ocf.berkeley.edu/~pkmendez/envsci/projects/2006final/c-lee.pdf</v>
      </c>
      <c r="J920" s="1" t="str">
        <f t="shared" si="15"/>
        <v>https://www.ocf.berkeley.edu/~pkmendez/envsci/projects/2006final/c-lee.pdf</v>
      </c>
      <c r="P920" s="4" t="s">
        <v>9</v>
      </c>
      <c r="Q920" s="4" t="s">
        <v>10</v>
      </c>
    </row>
    <row r="921" spans="1:17" x14ac:dyDescent="0.35">
      <c r="A921" s="2" t="s">
        <v>5884</v>
      </c>
      <c r="B921" s="2" t="s">
        <v>4492</v>
      </c>
      <c r="C921" s="2" t="s">
        <v>4493</v>
      </c>
      <c r="D921" s="2">
        <v>2006</v>
      </c>
      <c r="E921" s="2" t="s">
        <v>4494</v>
      </c>
      <c r="G921" s="2" t="s">
        <v>4495</v>
      </c>
      <c r="H921" s="3" t="s">
        <v>4611</v>
      </c>
      <c r="I921" s="2" t="str" cm="1">
        <f t="array" ref="I921">H921&amp;_xlfn.REGEXEXTRACT(G921,"^(.*?)(?=-page1)")&amp;".pdf"</f>
        <v>https://www.ocf.berkeley.edu/~pkmendez/envsci/projects/2006final/chalmers.pdf</v>
      </c>
      <c r="J921" s="1" t="str">
        <f t="shared" si="15"/>
        <v>https://www.ocf.berkeley.edu/~pkmendez/envsci/projects/2006final/chalmers.pdf</v>
      </c>
      <c r="P921" s="4" t="s">
        <v>9</v>
      </c>
      <c r="Q921" s="4" t="s">
        <v>10</v>
      </c>
    </row>
    <row r="922" spans="1:17" x14ac:dyDescent="0.35">
      <c r="A922" s="2" t="s">
        <v>5884</v>
      </c>
      <c r="B922" s="2" t="s">
        <v>4496</v>
      </c>
      <c r="C922" s="2" t="s">
        <v>4497</v>
      </c>
      <c r="D922" s="2">
        <v>2006</v>
      </c>
      <c r="E922" s="2" t="s">
        <v>4498</v>
      </c>
      <c r="G922" s="2" t="s">
        <v>4499</v>
      </c>
      <c r="H922" s="3" t="s">
        <v>4611</v>
      </c>
      <c r="I922" s="2" t="str" cm="1">
        <f t="array" ref="I922">H922&amp;_xlfn.REGEXEXTRACT(G922,"^(.*?)(?=-page1)")&amp;".pdf"</f>
        <v>https://www.ocf.berkeley.edu/~pkmendez/envsci/projects/2006final/dombrowski.pdf</v>
      </c>
      <c r="J922" s="1" t="str">
        <f t="shared" si="15"/>
        <v>https://www.ocf.berkeley.edu/~pkmendez/envsci/projects/2006final/dombrowski.pdf</v>
      </c>
      <c r="P922" s="4" t="s">
        <v>9</v>
      </c>
      <c r="Q922" s="4" t="s">
        <v>10</v>
      </c>
    </row>
    <row r="923" spans="1:17" x14ac:dyDescent="0.35">
      <c r="A923" s="2" t="s">
        <v>5884</v>
      </c>
      <c r="B923" s="2" t="s">
        <v>4500</v>
      </c>
      <c r="C923" s="2" t="s">
        <v>4501</v>
      </c>
      <c r="D923" s="2">
        <v>2006</v>
      </c>
      <c r="E923" s="2" t="s">
        <v>4502</v>
      </c>
      <c r="G923" s="2" t="s">
        <v>4503</v>
      </c>
      <c r="H923" s="3" t="s">
        <v>4611</v>
      </c>
      <c r="I923" s="2" t="str" cm="1">
        <f t="array" ref="I923">H923&amp;_xlfn.REGEXEXTRACT(G923,"^(.*?)(?=-page1)")&amp;".pdf"</f>
        <v>https://www.ocf.berkeley.edu/~pkmendez/envsci/projects/2006final/e-lee.pdf</v>
      </c>
      <c r="J923" s="1" t="str">
        <f t="shared" si="15"/>
        <v>https://www.ocf.berkeley.edu/~pkmendez/envsci/projects/2006final/e-lee.pdf</v>
      </c>
      <c r="P923" s="4" t="s">
        <v>9</v>
      </c>
      <c r="Q923" s="4" t="s">
        <v>10</v>
      </c>
    </row>
    <row r="924" spans="1:17" x14ac:dyDescent="0.35">
      <c r="A924" s="2" t="s">
        <v>5884</v>
      </c>
      <c r="B924" s="2" t="s">
        <v>4504</v>
      </c>
      <c r="C924" s="2" t="s">
        <v>4505</v>
      </c>
      <c r="D924" s="2">
        <v>2006</v>
      </c>
      <c r="E924" s="2" t="s">
        <v>4506</v>
      </c>
      <c r="G924" s="2" t="s">
        <v>4507</v>
      </c>
      <c r="H924" s="3" t="s">
        <v>4611</v>
      </c>
      <c r="I924" s="2" t="str" cm="1">
        <f t="array" ref="I924">H924&amp;_xlfn.REGEXEXTRACT(G924,"^(.*?)(?=-page1)")&amp;".pdf"</f>
        <v>https://www.ocf.berkeley.edu/~pkmendez/envsci/projects/2006final/griffis.pdf</v>
      </c>
      <c r="J924" s="1" t="str">
        <f t="shared" si="15"/>
        <v>https://www.ocf.berkeley.edu/~pkmendez/envsci/projects/2006final/griffis.pdf</v>
      </c>
      <c r="P924" s="4" t="s">
        <v>9</v>
      </c>
      <c r="Q924" s="4" t="s">
        <v>10</v>
      </c>
    </row>
    <row r="925" spans="1:17" x14ac:dyDescent="0.35">
      <c r="A925" s="2" t="s">
        <v>5884</v>
      </c>
      <c r="B925" s="2" t="s">
        <v>4508</v>
      </c>
      <c r="C925" s="2" t="s">
        <v>4509</v>
      </c>
      <c r="D925" s="2">
        <v>2006</v>
      </c>
      <c r="E925" s="2" t="s">
        <v>4510</v>
      </c>
      <c r="G925" s="2" t="s">
        <v>4511</v>
      </c>
      <c r="H925" s="3" t="s">
        <v>4611</v>
      </c>
      <c r="I925" s="2" t="str" cm="1">
        <f t="array" ref="I925">H925&amp;_xlfn.REGEXEXTRACT(G925,"^(.*?)(?=-page1)")&amp;".pdf"</f>
        <v>https://www.ocf.berkeley.edu/~pkmendez/envsci/projects/2006final/haiman.pdf</v>
      </c>
      <c r="J925" s="1" t="str">
        <f t="shared" si="15"/>
        <v>https://www.ocf.berkeley.edu/~pkmendez/envsci/projects/2006final/haiman.pdf</v>
      </c>
      <c r="P925" s="4" t="s">
        <v>9</v>
      </c>
      <c r="Q925" s="4" t="s">
        <v>10</v>
      </c>
    </row>
    <row r="926" spans="1:17" x14ac:dyDescent="0.35">
      <c r="A926" s="2" t="s">
        <v>5884</v>
      </c>
      <c r="B926" s="2" t="s">
        <v>4512</v>
      </c>
      <c r="C926" s="2" t="s">
        <v>4513</v>
      </c>
      <c r="D926" s="2">
        <v>2006</v>
      </c>
      <c r="E926" s="2" t="s">
        <v>4514</v>
      </c>
      <c r="G926" s="2" t="s">
        <v>4515</v>
      </c>
      <c r="H926" s="3" t="s">
        <v>4611</v>
      </c>
      <c r="I926" s="2" t="str" cm="1">
        <f t="array" ref="I926">H926&amp;_xlfn.REGEXEXTRACT(G926,"^(.*?)(?=-page1)")&amp;".pdf"</f>
        <v>https://www.ocf.berkeley.edu/~pkmendez/envsci/projects/2006final/hauck.pdf</v>
      </c>
      <c r="J926" s="1" t="str">
        <f t="shared" si="15"/>
        <v>https://www.ocf.berkeley.edu/~pkmendez/envsci/projects/2006final/hauck.pdf</v>
      </c>
      <c r="P926" s="4" t="s">
        <v>9</v>
      </c>
      <c r="Q926" s="4" t="s">
        <v>10</v>
      </c>
    </row>
    <row r="927" spans="1:17" x14ac:dyDescent="0.35">
      <c r="A927" s="2" t="s">
        <v>5884</v>
      </c>
      <c r="B927" s="2" t="s">
        <v>4516</v>
      </c>
      <c r="C927" s="2" t="s">
        <v>4517</v>
      </c>
      <c r="D927" s="2">
        <v>2006</v>
      </c>
      <c r="E927" s="2" t="s">
        <v>4518</v>
      </c>
      <c r="G927" s="2" t="s">
        <v>4519</v>
      </c>
      <c r="H927" s="3" t="s">
        <v>4611</v>
      </c>
      <c r="I927" s="2" t="str" cm="1">
        <f t="array" ref="I927">H927&amp;_xlfn.REGEXEXTRACT(G927,"^(.*?)(?=-page1)")&amp;".pdf"</f>
        <v>https://www.ocf.berkeley.edu/~pkmendez/envsci/projects/2006final/hernandez.pdf</v>
      </c>
      <c r="J927" s="1" t="str">
        <f t="shared" si="15"/>
        <v>https://www.ocf.berkeley.edu/~pkmendez/envsci/projects/2006final/hernandez.pdf</v>
      </c>
      <c r="P927" s="4" t="s">
        <v>9</v>
      </c>
      <c r="Q927" s="4" t="s">
        <v>10</v>
      </c>
    </row>
    <row r="928" spans="1:17" x14ac:dyDescent="0.35">
      <c r="A928" s="2" t="s">
        <v>5884</v>
      </c>
      <c r="B928" s="2" t="s">
        <v>4520</v>
      </c>
      <c r="C928" s="2" t="s">
        <v>4521</v>
      </c>
      <c r="D928" s="2">
        <v>2006</v>
      </c>
      <c r="E928" s="2" t="s">
        <v>4522</v>
      </c>
      <c r="G928" s="2" t="s">
        <v>4523</v>
      </c>
      <c r="H928" s="3" t="s">
        <v>4611</v>
      </c>
      <c r="I928" s="2" t="str" cm="1">
        <f t="array" ref="I928">H928&amp;_xlfn.REGEXEXTRACT(G928,"^(.*?)(?=-page1)")&amp;".pdf"</f>
        <v>https://www.ocf.berkeley.edu/~pkmendez/envsci/projects/2006final/hiddenkisch.pdf</v>
      </c>
      <c r="J928" s="1" t="str">
        <f t="shared" si="15"/>
        <v>https://www.ocf.berkeley.edu/~pkmendez/envsci/projects/2006final/hiddenkisch.pdf</v>
      </c>
      <c r="P928" s="4" t="s">
        <v>9</v>
      </c>
      <c r="Q928" s="4" t="s">
        <v>10</v>
      </c>
    </row>
    <row r="929" spans="1:17" x14ac:dyDescent="0.35">
      <c r="A929" s="2" t="s">
        <v>5884</v>
      </c>
      <c r="B929" s="2" t="s">
        <v>4524</v>
      </c>
      <c r="C929" s="2" t="s">
        <v>4525</v>
      </c>
      <c r="D929" s="2">
        <v>2006</v>
      </c>
      <c r="E929" s="2" t="s">
        <v>4526</v>
      </c>
      <c r="G929" s="2" t="s">
        <v>4527</v>
      </c>
      <c r="H929" s="3" t="s">
        <v>4611</v>
      </c>
      <c r="I929" s="2" t="str" cm="1">
        <f t="array" ref="I929">H929&amp;_xlfn.REGEXEXTRACT(G929,"^(.*?)(?=-page1)")&amp;".pdf"</f>
        <v>https://www.ocf.berkeley.edu/~pkmendez/envsci/projects/2006final/hunt.pdf</v>
      </c>
      <c r="J929" s="1" t="str">
        <f t="shared" si="15"/>
        <v>https://www.ocf.berkeley.edu/~pkmendez/envsci/projects/2006final/hunt.pdf</v>
      </c>
      <c r="P929" s="4" t="s">
        <v>9</v>
      </c>
      <c r="Q929" s="4" t="s">
        <v>10</v>
      </c>
    </row>
    <row r="930" spans="1:17" x14ac:dyDescent="0.35">
      <c r="A930" s="2" t="s">
        <v>5884</v>
      </c>
      <c r="B930" s="2" t="s">
        <v>4528</v>
      </c>
      <c r="C930" s="2" t="s">
        <v>4529</v>
      </c>
      <c r="D930" s="2">
        <v>2006</v>
      </c>
      <c r="E930" s="2" t="s">
        <v>4530</v>
      </c>
      <c r="G930" s="2" t="s">
        <v>4531</v>
      </c>
      <c r="H930" s="3" t="s">
        <v>4611</v>
      </c>
      <c r="I930" s="2" t="str" cm="1">
        <f t="array" ref="I930">H930&amp;_xlfn.REGEXEXTRACT(G930,"^(.*?)(?=-page1)")&amp;".pdf"</f>
        <v>https://www.ocf.berkeley.edu/~pkmendez/envsci/projects/2006final/johnson.pdf</v>
      </c>
      <c r="J930" s="1" t="str">
        <f t="shared" si="15"/>
        <v>https://www.ocf.berkeley.edu/~pkmendez/envsci/projects/2006final/johnson.pdf</v>
      </c>
      <c r="P930" s="4" t="s">
        <v>9</v>
      </c>
      <c r="Q930" s="4" t="s">
        <v>10</v>
      </c>
    </row>
    <row r="931" spans="1:17" x14ac:dyDescent="0.35">
      <c r="A931" s="2" t="s">
        <v>5884</v>
      </c>
      <c r="B931" s="2" t="s">
        <v>4532</v>
      </c>
      <c r="C931" s="2" t="s">
        <v>4533</v>
      </c>
      <c r="D931" s="2">
        <v>2006</v>
      </c>
      <c r="E931" s="2" t="s">
        <v>4534</v>
      </c>
      <c r="G931" s="2" t="s">
        <v>4535</v>
      </c>
      <c r="H931" s="3" t="s">
        <v>4611</v>
      </c>
      <c r="I931" s="2" t="str" cm="1">
        <f t="array" ref="I931">H931&amp;_xlfn.REGEXEXTRACT(G931,"^(.*?)(?=-page1)")&amp;".pdf"</f>
        <v>https://www.ocf.berkeley.edu/~pkmendez/envsci/projects/2006final/kim.pdf</v>
      </c>
      <c r="J931" s="1" t="str">
        <f t="shared" si="15"/>
        <v>https://www.ocf.berkeley.edu/~pkmendez/envsci/projects/2006final/kim.pdf</v>
      </c>
      <c r="P931" s="4" t="s">
        <v>9</v>
      </c>
      <c r="Q931" s="4" t="s">
        <v>10</v>
      </c>
    </row>
    <row r="932" spans="1:17" x14ac:dyDescent="0.35">
      <c r="A932" s="2" t="s">
        <v>5884</v>
      </c>
      <c r="B932" s="2" t="s">
        <v>4536</v>
      </c>
      <c r="C932" s="2" t="s">
        <v>4537</v>
      </c>
      <c r="D932" s="2">
        <v>2006</v>
      </c>
      <c r="E932" s="2" t="s">
        <v>4538</v>
      </c>
      <c r="G932" s="2" t="s">
        <v>4539</v>
      </c>
      <c r="H932" s="3" t="s">
        <v>4611</v>
      </c>
      <c r="I932" s="2" t="str" cm="1">
        <f t="array" ref="I932">H932&amp;_xlfn.REGEXEXTRACT(G932,"^(.*?)(?=-page1)")&amp;".pdf"</f>
        <v>https://www.ocf.berkeley.edu/~pkmendez/envsci/projects/2006final/krupa.pdf</v>
      </c>
      <c r="J932" s="1" t="str">
        <f t="shared" si="15"/>
        <v>https://www.ocf.berkeley.edu/~pkmendez/envsci/projects/2006final/krupa.pdf</v>
      </c>
      <c r="P932" s="4" t="s">
        <v>9</v>
      </c>
      <c r="Q932" s="4" t="s">
        <v>10</v>
      </c>
    </row>
    <row r="933" spans="1:17" x14ac:dyDescent="0.35">
      <c r="A933" s="2" t="s">
        <v>5884</v>
      </c>
      <c r="B933" s="2" t="s">
        <v>4540</v>
      </c>
      <c r="C933" s="2" t="s">
        <v>4541</v>
      </c>
      <c r="D933" s="2">
        <v>2006</v>
      </c>
      <c r="E933" s="2" t="s">
        <v>4542</v>
      </c>
      <c r="G933" s="2" t="s">
        <v>4543</v>
      </c>
      <c r="H933" s="3" t="s">
        <v>4611</v>
      </c>
      <c r="I933" s="2" t="str" cm="1">
        <f t="array" ref="I933">H933&amp;_xlfn.REGEXEXTRACT(G933,"^(.*?)(?=-page1)")&amp;".pdf"</f>
        <v>https://www.ocf.berkeley.edu/~pkmendez/envsci/projects/2006final/lau.pdf</v>
      </c>
      <c r="J933" s="1" t="str">
        <f t="shared" si="15"/>
        <v>https://www.ocf.berkeley.edu/~pkmendez/envsci/projects/2006final/lau.pdf</v>
      </c>
      <c r="P933" s="4" t="s">
        <v>9</v>
      </c>
      <c r="Q933" s="4" t="s">
        <v>10</v>
      </c>
    </row>
    <row r="934" spans="1:17" x14ac:dyDescent="0.35">
      <c r="A934" s="2" t="s">
        <v>5884</v>
      </c>
      <c r="B934" s="2" t="s">
        <v>4544</v>
      </c>
      <c r="C934" s="2" t="s">
        <v>4545</v>
      </c>
      <c r="D934" s="2">
        <v>2006</v>
      </c>
      <c r="E934" s="2" t="s">
        <v>4546</v>
      </c>
      <c r="G934" s="2" t="s">
        <v>4547</v>
      </c>
      <c r="H934" s="3" t="s">
        <v>4611</v>
      </c>
      <c r="I934" s="2" t="str" cm="1">
        <f t="array" ref="I934">H934&amp;_xlfn.REGEXEXTRACT(G934,"^(.*?)(?=-page1)")&amp;".pdf"</f>
        <v>https://www.ocf.berkeley.edu/~pkmendez/envsci/projects/2006final/lyser.pdf</v>
      </c>
      <c r="J934" s="1" t="str">
        <f t="shared" si="15"/>
        <v>https://www.ocf.berkeley.edu/~pkmendez/envsci/projects/2006final/lyser.pdf</v>
      </c>
      <c r="P934" s="4" t="s">
        <v>9</v>
      </c>
      <c r="Q934" s="4" t="s">
        <v>10</v>
      </c>
    </row>
    <row r="935" spans="1:17" x14ac:dyDescent="0.35">
      <c r="A935" s="2" t="s">
        <v>5884</v>
      </c>
      <c r="B935" s="2" t="s">
        <v>4548</v>
      </c>
      <c r="C935" s="2" t="s">
        <v>4549</v>
      </c>
      <c r="D935" s="2">
        <v>2006</v>
      </c>
      <c r="E935" s="2" t="s">
        <v>4550</v>
      </c>
      <c r="G935" s="2" t="s">
        <v>4551</v>
      </c>
      <c r="H935" s="3" t="s">
        <v>4611</v>
      </c>
      <c r="I935" s="2" t="str" cm="1">
        <f t="array" ref="I935">H935&amp;_xlfn.REGEXEXTRACT(G935,"^(.*?)(?=-page1)")&amp;".pdf"</f>
        <v>https://www.ocf.berkeley.edu/~pkmendez/envsci/projects/2006final/ma.pdf</v>
      </c>
      <c r="J935" s="1" t="str">
        <f t="shared" si="15"/>
        <v>https://www.ocf.berkeley.edu/~pkmendez/envsci/projects/2006final/ma.pdf</v>
      </c>
      <c r="P935" s="4" t="s">
        <v>9</v>
      </c>
      <c r="Q935" s="4" t="s">
        <v>10</v>
      </c>
    </row>
    <row r="936" spans="1:17" x14ac:dyDescent="0.35">
      <c r="A936" s="2" t="s">
        <v>5884</v>
      </c>
      <c r="B936" s="2" t="s">
        <v>4552</v>
      </c>
      <c r="C936" s="2" t="s">
        <v>4553</v>
      </c>
      <c r="D936" s="2">
        <v>2006</v>
      </c>
      <c r="E936" s="2" t="s">
        <v>4554</v>
      </c>
      <c r="G936" s="2" t="s">
        <v>4555</v>
      </c>
      <c r="H936" s="3" t="s">
        <v>4611</v>
      </c>
      <c r="I936" s="2" t="str" cm="1">
        <f t="array" ref="I936">H936&amp;_xlfn.REGEXEXTRACT(G936,"^(.*?)(?=-page1)")&amp;".pdf"</f>
        <v>https://www.ocf.berkeley.edu/~pkmendez/envsci/projects/2006final/miljkovic.pdf</v>
      </c>
      <c r="J936" s="1" t="str">
        <f t="shared" si="15"/>
        <v>https://www.ocf.berkeley.edu/~pkmendez/envsci/projects/2006final/miljkovic.pdf</v>
      </c>
      <c r="P936" s="4" t="s">
        <v>9</v>
      </c>
      <c r="Q936" s="4" t="s">
        <v>10</v>
      </c>
    </row>
    <row r="937" spans="1:17" x14ac:dyDescent="0.35">
      <c r="A937" s="2" t="s">
        <v>5884</v>
      </c>
      <c r="B937" s="2" t="s">
        <v>4556</v>
      </c>
      <c r="C937" s="2" t="s">
        <v>4557</v>
      </c>
      <c r="D937" s="2">
        <v>2006</v>
      </c>
      <c r="E937" s="2" t="s">
        <v>4558</v>
      </c>
      <c r="G937" s="2" t="s">
        <v>4559</v>
      </c>
      <c r="H937" s="3" t="s">
        <v>4611</v>
      </c>
      <c r="I937" s="2" t="str" cm="1">
        <f t="array" ref="I937">H937&amp;_xlfn.REGEXEXTRACT(G937,"^(.*?)(?=-page1)")&amp;".pdf"</f>
        <v>https://www.ocf.berkeley.edu/~pkmendez/envsci/projects/2006final/mulvihill.pdf</v>
      </c>
      <c r="J937" s="1" t="str">
        <f t="shared" si="15"/>
        <v>https://www.ocf.berkeley.edu/~pkmendez/envsci/projects/2006final/mulvihill.pdf</v>
      </c>
      <c r="P937" s="4" t="s">
        <v>9</v>
      </c>
      <c r="Q937" s="4" t="s">
        <v>10</v>
      </c>
    </row>
    <row r="938" spans="1:17" x14ac:dyDescent="0.35">
      <c r="A938" s="2" t="s">
        <v>5884</v>
      </c>
      <c r="B938" s="2" t="s">
        <v>4560</v>
      </c>
      <c r="C938" s="2" t="s">
        <v>4561</v>
      </c>
      <c r="D938" s="2">
        <v>2006</v>
      </c>
      <c r="E938" s="2" t="s">
        <v>4562</v>
      </c>
      <c r="G938" s="2" t="s">
        <v>4563</v>
      </c>
      <c r="H938" s="3" t="s">
        <v>4611</v>
      </c>
      <c r="I938" s="2" t="str" cm="1">
        <f t="array" ref="I938">H938&amp;_xlfn.REGEXEXTRACT(G938,"^(.*?)(?=-page1)")&amp;".pdf"</f>
        <v>https://www.ocf.berkeley.edu/~pkmendez/envsci/projects/2006final/nelson.pdf</v>
      </c>
      <c r="J938" s="1" t="str">
        <f t="shared" si="15"/>
        <v>https://www.ocf.berkeley.edu/~pkmendez/envsci/projects/2006final/nelson.pdf</v>
      </c>
      <c r="P938" s="4" t="s">
        <v>9</v>
      </c>
      <c r="Q938" s="4" t="s">
        <v>10</v>
      </c>
    </row>
    <row r="939" spans="1:17" x14ac:dyDescent="0.35">
      <c r="A939" s="2" t="s">
        <v>5884</v>
      </c>
      <c r="B939" s="2" t="s">
        <v>4564</v>
      </c>
      <c r="C939" s="2" t="s">
        <v>4565</v>
      </c>
      <c r="D939" s="2">
        <v>2006</v>
      </c>
      <c r="E939" s="2" t="s">
        <v>4566</v>
      </c>
      <c r="G939" s="2" t="s">
        <v>4567</v>
      </c>
      <c r="H939" s="3" t="s">
        <v>4611</v>
      </c>
      <c r="I939" s="2" t="str" cm="1">
        <f t="array" ref="I939">H939&amp;_xlfn.REGEXEXTRACT(G939,"^(.*?)(?=-page1)")&amp;".pdf"</f>
        <v>https://www.ocf.berkeley.edu/~pkmendez/envsci/projects/2006final/orsini.pdf</v>
      </c>
      <c r="J939" s="1" t="str">
        <f t="shared" si="15"/>
        <v>https://www.ocf.berkeley.edu/~pkmendez/envsci/projects/2006final/orsini.pdf</v>
      </c>
      <c r="P939" s="4" t="s">
        <v>9</v>
      </c>
      <c r="Q939" s="4" t="s">
        <v>10</v>
      </c>
    </row>
    <row r="940" spans="1:17" x14ac:dyDescent="0.35">
      <c r="A940" s="2" t="s">
        <v>5884</v>
      </c>
      <c r="B940" s="2" t="s">
        <v>4568</v>
      </c>
      <c r="C940" s="2" t="s">
        <v>4569</v>
      </c>
      <c r="D940" s="2">
        <v>2006</v>
      </c>
      <c r="E940" s="2" t="s">
        <v>4570</v>
      </c>
      <c r="G940" s="2" t="s">
        <v>4571</v>
      </c>
      <c r="H940" s="3" t="s">
        <v>4611</v>
      </c>
      <c r="I940" s="2" t="str" cm="1">
        <f t="array" ref="I940">H940&amp;_xlfn.REGEXEXTRACT(G940,"^(.*?)(?=-page1)")&amp;".pdf"</f>
        <v>https://www.ocf.berkeley.edu/~pkmendez/envsci/projects/2006final/panzer.pdf</v>
      </c>
      <c r="J940" s="1" t="str">
        <f t="shared" si="15"/>
        <v>https://www.ocf.berkeley.edu/~pkmendez/envsci/projects/2006final/panzer.pdf</v>
      </c>
      <c r="P940" s="4" t="s">
        <v>9</v>
      </c>
      <c r="Q940" s="4" t="s">
        <v>10</v>
      </c>
    </row>
    <row r="941" spans="1:17" x14ac:dyDescent="0.35">
      <c r="A941" s="2" t="s">
        <v>5884</v>
      </c>
      <c r="B941" s="2" t="s">
        <v>4572</v>
      </c>
      <c r="C941" s="2" t="s">
        <v>4573</v>
      </c>
      <c r="D941" s="2">
        <v>2006</v>
      </c>
      <c r="E941" s="2" t="s">
        <v>4574</v>
      </c>
      <c r="G941" s="2" t="s">
        <v>4575</v>
      </c>
      <c r="H941" s="3" t="s">
        <v>4611</v>
      </c>
      <c r="I941" s="2" t="str" cm="1">
        <f t="array" ref="I941">H941&amp;_xlfn.REGEXEXTRACT(G941,"^(.*?)(?=-page1)")&amp;".pdf"</f>
        <v>https://www.ocf.berkeley.edu/~pkmendez/envsci/projects/2006final/parks.pdf</v>
      </c>
      <c r="J941" s="1" t="str">
        <f t="shared" si="15"/>
        <v>https://www.ocf.berkeley.edu/~pkmendez/envsci/projects/2006final/parks.pdf</v>
      </c>
      <c r="P941" s="4" t="s">
        <v>9</v>
      </c>
      <c r="Q941" s="4" t="s">
        <v>10</v>
      </c>
    </row>
    <row r="942" spans="1:17" x14ac:dyDescent="0.35">
      <c r="A942" s="2" t="s">
        <v>5884</v>
      </c>
      <c r="B942" s="2" t="s">
        <v>4576</v>
      </c>
      <c r="C942" s="2" t="s">
        <v>4577</v>
      </c>
      <c r="D942" s="2">
        <v>2006</v>
      </c>
      <c r="E942" s="2" t="s">
        <v>4578</v>
      </c>
      <c r="G942" s="2" t="s">
        <v>4579</v>
      </c>
      <c r="H942" s="3" t="s">
        <v>4611</v>
      </c>
      <c r="I942" s="2" t="str" cm="1">
        <f t="array" ref="I942">H942&amp;_xlfn.REGEXEXTRACT(G942,"^(.*?)(?=-page1)")&amp;".pdf"</f>
        <v>https://www.ocf.berkeley.edu/~pkmendez/envsci/projects/2006final/seymour.pdf</v>
      </c>
      <c r="J942" s="1" t="str">
        <f t="shared" si="15"/>
        <v>https://www.ocf.berkeley.edu/~pkmendez/envsci/projects/2006final/seymour.pdf</v>
      </c>
      <c r="P942" s="4" t="s">
        <v>9</v>
      </c>
      <c r="Q942" s="4" t="s">
        <v>10</v>
      </c>
    </row>
    <row r="943" spans="1:17" x14ac:dyDescent="0.35">
      <c r="A943" s="2" t="s">
        <v>5884</v>
      </c>
      <c r="B943" s="2" t="s">
        <v>4580</v>
      </c>
      <c r="C943" s="2" t="s">
        <v>4581</v>
      </c>
      <c r="D943" s="2">
        <v>2006</v>
      </c>
      <c r="E943" s="2" t="s">
        <v>4582</v>
      </c>
      <c r="G943" s="2" t="s">
        <v>4583</v>
      </c>
      <c r="H943" s="3" t="s">
        <v>4611</v>
      </c>
      <c r="I943" s="2" t="str" cm="1">
        <f t="array" ref="I943">H943&amp;_xlfn.REGEXEXTRACT(G943,"^(.*?)(?=-page1)")&amp;".pdf"</f>
        <v>https://www.ocf.berkeley.edu/~pkmendez/envsci/projects/2006final/slosser.pdf</v>
      </c>
      <c r="J943" s="1" t="str">
        <f t="shared" si="15"/>
        <v>https://www.ocf.berkeley.edu/~pkmendez/envsci/projects/2006final/slosser.pdf</v>
      </c>
      <c r="P943" s="4" t="s">
        <v>9</v>
      </c>
      <c r="Q943" s="4" t="s">
        <v>10</v>
      </c>
    </row>
    <row r="944" spans="1:17" x14ac:dyDescent="0.35">
      <c r="A944" s="2" t="s">
        <v>5884</v>
      </c>
      <c r="B944" s="2" t="s">
        <v>4584</v>
      </c>
      <c r="C944" s="2" t="s">
        <v>4585</v>
      </c>
      <c r="D944" s="2">
        <v>2006</v>
      </c>
      <c r="E944" s="2" t="s">
        <v>4586</v>
      </c>
      <c r="G944" s="2" t="s">
        <v>4587</v>
      </c>
      <c r="H944" s="3" t="s">
        <v>4611</v>
      </c>
      <c r="I944" s="2" t="str" cm="1">
        <f t="array" ref="I944">H944&amp;_xlfn.REGEXEXTRACT(G944,"^(.*?)(?=-page1)")&amp;".pdf"</f>
        <v>https://www.ocf.berkeley.edu/~pkmendez/envsci/projects/2006final/tsuchiya.pdf</v>
      </c>
      <c r="J944" s="1" t="str">
        <f t="shared" si="15"/>
        <v>https://www.ocf.berkeley.edu/~pkmendez/envsci/projects/2006final/tsuchiya.pdf</v>
      </c>
      <c r="P944" s="4" t="s">
        <v>9</v>
      </c>
      <c r="Q944" s="4" t="s">
        <v>10</v>
      </c>
    </row>
    <row r="945" spans="1:17" x14ac:dyDescent="0.35">
      <c r="A945" s="2" t="s">
        <v>5884</v>
      </c>
      <c r="B945" s="2" t="s">
        <v>4588</v>
      </c>
      <c r="C945" s="2" t="s">
        <v>4589</v>
      </c>
      <c r="D945" s="2">
        <v>2006</v>
      </c>
      <c r="E945" s="2" t="s">
        <v>4590</v>
      </c>
      <c r="G945" s="2" t="s">
        <v>4591</v>
      </c>
      <c r="H945" s="3" t="s">
        <v>4611</v>
      </c>
      <c r="I945" s="2" t="str" cm="1">
        <f t="array" ref="I945">H945&amp;_xlfn.REGEXEXTRACT(G945,"^(.*?)(?=-page1)")&amp;".pdf"</f>
        <v>https://www.ocf.berkeley.edu/~pkmendez/envsci/projects/2006final/valera.pdf</v>
      </c>
      <c r="J945" s="1" t="str">
        <f t="shared" si="15"/>
        <v>https://www.ocf.berkeley.edu/~pkmendez/envsci/projects/2006final/valera.pdf</v>
      </c>
      <c r="P945" s="4" t="s">
        <v>9</v>
      </c>
      <c r="Q945" s="4" t="s">
        <v>10</v>
      </c>
    </row>
    <row r="946" spans="1:17" x14ac:dyDescent="0.35">
      <c r="A946" s="2" t="s">
        <v>5884</v>
      </c>
      <c r="B946" s="2" t="s">
        <v>4592</v>
      </c>
      <c r="C946" s="2" t="s">
        <v>4593</v>
      </c>
      <c r="D946" s="2">
        <v>2006</v>
      </c>
      <c r="E946" s="2" t="s">
        <v>4594</v>
      </c>
      <c r="G946" s="2" t="s">
        <v>4595</v>
      </c>
      <c r="H946" s="3" t="s">
        <v>4611</v>
      </c>
      <c r="I946" s="2" t="str" cm="1">
        <f t="array" ref="I946">H946&amp;_xlfn.REGEXEXTRACT(G946,"^(.*?)(?=-page1)")&amp;".pdf"</f>
        <v>https://www.ocf.berkeley.edu/~pkmendez/envsci/projects/2006final/wallace.pdf</v>
      </c>
      <c r="J946" s="1" t="str">
        <f t="shared" si="15"/>
        <v>https://www.ocf.berkeley.edu/~pkmendez/envsci/projects/2006final/wallace.pdf</v>
      </c>
      <c r="P946" s="4" t="s">
        <v>9</v>
      </c>
      <c r="Q946" s="4" t="s">
        <v>10</v>
      </c>
    </row>
    <row r="947" spans="1:17" x14ac:dyDescent="0.35">
      <c r="A947" s="2" t="s">
        <v>5884</v>
      </c>
      <c r="B947" s="2" t="s">
        <v>4596</v>
      </c>
      <c r="C947" s="2" t="s">
        <v>4597</v>
      </c>
      <c r="D947" s="2">
        <v>2006</v>
      </c>
      <c r="E947" s="2" t="s">
        <v>4598</v>
      </c>
      <c r="G947" s="2" t="s">
        <v>4599</v>
      </c>
      <c r="H947" s="3" t="s">
        <v>4611</v>
      </c>
      <c r="I947" s="2" t="str" cm="1">
        <f t="array" ref="I947">H947&amp;_xlfn.REGEXEXTRACT(G947,"^(.*?)(?=-page1)")&amp;".pdf"</f>
        <v>https://www.ocf.berkeley.edu/~pkmendez/envsci/projects/2006final/wang.pdf</v>
      </c>
      <c r="J947" s="1" t="str">
        <f t="shared" si="15"/>
        <v>https://www.ocf.berkeley.edu/~pkmendez/envsci/projects/2006final/wang.pdf</v>
      </c>
      <c r="P947" s="4" t="s">
        <v>9</v>
      </c>
      <c r="Q947" s="4" t="s">
        <v>10</v>
      </c>
    </row>
    <row r="948" spans="1:17" x14ac:dyDescent="0.35">
      <c r="A948" s="2" t="s">
        <v>5884</v>
      </c>
      <c r="B948" s="2" t="s">
        <v>4600</v>
      </c>
      <c r="C948" s="2" t="s">
        <v>4601</v>
      </c>
      <c r="D948" s="2">
        <v>2006</v>
      </c>
      <c r="E948" s="2" t="s">
        <v>4602</v>
      </c>
      <c r="G948" s="2" t="s">
        <v>4603</v>
      </c>
      <c r="H948" s="3" t="s">
        <v>4611</v>
      </c>
      <c r="I948" s="2" t="str" cm="1">
        <f t="array" ref="I948">H948&amp;_xlfn.REGEXEXTRACT(G948,"^(.*?)(?=-page1)")&amp;".pdf"</f>
        <v>https://www.ocf.berkeley.edu/~pkmendez/envsci/projects/2006final/yee.pdf</v>
      </c>
      <c r="J948" s="1" t="str">
        <f t="shared" si="15"/>
        <v>https://www.ocf.berkeley.edu/~pkmendez/envsci/projects/2006final/yee.pdf</v>
      </c>
      <c r="P948" s="4" t="s">
        <v>9</v>
      </c>
      <c r="Q948" s="4" t="s">
        <v>10</v>
      </c>
    </row>
    <row r="949" spans="1:17" x14ac:dyDescent="0.35">
      <c r="A949" s="2" t="s">
        <v>5884</v>
      </c>
      <c r="B949" s="2" t="s">
        <v>4604</v>
      </c>
      <c r="C949" s="2" t="s">
        <v>4605</v>
      </c>
      <c r="D949" s="2">
        <v>2006</v>
      </c>
      <c r="E949" s="2" t="s">
        <v>4606</v>
      </c>
      <c r="G949" s="2" t="s">
        <v>4607</v>
      </c>
      <c r="H949" s="3" t="s">
        <v>4611</v>
      </c>
      <c r="I949" s="2" t="str" cm="1">
        <f t="array" ref="I949">H949&amp;_xlfn.REGEXEXTRACT(G949,"^(.*?)(?=-page1)")&amp;".pdf"</f>
        <v>https://www.ocf.berkeley.edu/~pkmendez/envsci/projects/2006final/zarchi.pdf</v>
      </c>
      <c r="J949" s="1" t="str">
        <f t="shared" si="15"/>
        <v>https://www.ocf.berkeley.edu/~pkmendez/envsci/projects/2006final/zarchi.pdf</v>
      </c>
      <c r="P949" s="4" t="s">
        <v>9</v>
      </c>
      <c r="Q949" s="4" t="s">
        <v>10</v>
      </c>
    </row>
    <row r="950" spans="1:17" x14ac:dyDescent="0.35">
      <c r="A950" s="2" t="s">
        <v>5884</v>
      </c>
      <c r="B950" s="2" t="s">
        <v>4608</v>
      </c>
      <c r="C950" s="2" t="s">
        <v>4609</v>
      </c>
      <c r="D950" s="2">
        <v>2006</v>
      </c>
      <c r="E950" s="2" t="s">
        <v>4610</v>
      </c>
      <c r="G950" s="2" t="s">
        <v>5870</v>
      </c>
      <c r="H950" s="3" t="s">
        <v>4611</v>
      </c>
      <c r="I950" s="2" t="str" cm="1">
        <f t="array" ref="I950">H950&amp;_xlfn.REGEXEXTRACT(G950,"^(.*?)(?=-page1)")&amp;"%20.pdf"</f>
        <v>https://www.ocf.berkeley.edu/~pkmendez/envsci/projects/2006final/zintzun%20.pdf</v>
      </c>
      <c r="J950" s="1" t="str">
        <f t="shared" si="15"/>
        <v>https://www.ocf.berkeley.edu/~pkmendez/envsci/projects/2006final/zintzun%20.pdf</v>
      </c>
      <c r="P950" s="4" t="s">
        <v>9</v>
      </c>
      <c r="Q950" s="4" t="s">
        <v>10</v>
      </c>
    </row>
    <row r="951" spans="1:17" x14ac:dyDescent="0.35">
      <c r="A951" s="2" t="s">
        <v>5884</v>
      </c>
      <c r="B951" s="2" t="s">
        <v>4612</v>
      </c>
      <c r="C951" s="2" t="s">
        <v>4613</v>
      </c>
      <c r="D951" s="2">
        <v>2005</v>
      </c>
      <c r="E951" s="2" t="s">
        <v>4614</v>
      </c>
      <c r="G951" s="2" t="s">
        <v>4615</v>
      </c>
      <c r="H951" s="6" t="s">
        <v>5871</v>
      </c>
      <c r="I951" s="2" t="str" cm="1">
        <f t="array" ref="I951">H951&amp;_xlfn.REGEXEXTRACT(G951,"^(.*?)(?=-page1)")&amp;".pdf"</f>
        <v>https://www.ocf.berkeley.edu/~pkmendez/envsci/projects/2005final/Abe.pdf</v>
      </c>
      <c r="J951" s="1" t="str">
        <f t="shared" si="15"/>
        <v>https://www.ocf.berkeley.edu/~pkmendez/envsci/projects/2005final/Abe.pdf</v>
      </c>
      <c r="P951" s="4" t="s">
        <v>9</v>
      </c>
      <c r="Q951" s="4" t="s">
        <v>10</v>
      </c>
    </row>
    <row r="952" spans="1:17" x14ac:dyDescent="0.35">
      <c r="A952" s="2" t="s">
        <v>5884</v>
      </c>
      <c r="B952" s="2" t="s">
        <v>4616</v>
      </c>
      <c r="C952" s="2" t="s">
        <v>4617</v>
      </c>
      <c r="D952" s="2">
        <v>2005</v>
      </c>
      <c r="E952" s="2" t="s">
        <v>4618</v>
      </c>
      <c r="G952" s="2" t="s">
        <v>4619</v>
      </c>
      <c r="H952" s="6" t="s">
        <v>5871</v>
      </c>
      <c r="I952" s="2" t="str" cm="1">
        <f t="array" ref="I952">H952&amp;_xlfn.REGEXEXTRACT(G952,"^(.*?)(?=-page1)")&amp;".pdf"</f>
        <v>https://www.ocf.berkeley.edu/~pkmendez/envsci/projects/2005final/Anketell.pdf</v>
      </c>
      <c r="J952" s="1" t="str">
        <f t="shared" si="15"/>
        <v>https://www.ocf.berkeley.edu/~pkmendez/envsci/projects/2005final/Anketell.pdf</v>
      </c>
      <c r="P952" s="4" t="s">
        <v>9</v>
      </c>
      <c r="Q952" s="4" t="s">
        <v>10</v>
      </c>
    </row>
    <row r="953" spans="1:17" x14ac:dyDescent="0.35">
      <c r="A953" s="2" t="s">
        <v>5884</v>
      </c>
      <c r="B953" s="2" t="s">
        <v>4620</v>
      </c>
      <c r="C953" s="2" t="s">
        <v>4621</v>
      </c>
      <c r="D953" s="2">
        <v>2005</v>
      </c>
      <c r="E953" s="2" t="s">
        <v>4622</v>
      </c>
      <c r="G953" s="2" t="s">
        <v>4623</v>
      </c>
      <c r="H953" s="6" t="s">
        <v>5871</v>
      </c>
      <c r="I953" s="2" t="str" cm="1">
        <f t="array" ref="I953">H953&amp;_xlfn.REGEXEXTRACT(G953,"^(.*?)(?=-page1)")&amp;".pdf"</f>
        <v>https://www.ocf.berkeley.edu/~pkmendez/envsci/projects/2005final/Betz.pdf</v>
      </c>
      <c r="J953" s="1" t="str">
        <f t="shared" si="15"/>
        <v>https://www.ocf.berkeley.edu/~pkmendez/envsci/projects/2005final/Betz.pdf</v>
      </c>
      <c r="P953" s="4" t="s">
        <v>9</v>
      </c>
      <c r="Q953" s="4" t="s">
        <v>10</v>
      </c>
    </row>
    <row r="954" spans="1:17" x14ac:dyDescent="0.35">
      <c r="A954" s="2" t="s">
        <v>5884</v>
      </c>
      <c r="B954" s="2" t="s">
        <v>4624</v>
      </c>
      <c r="C954" s="2" t="s">
        <v>4625</v>
      </c>
      <c r="D954" s="2">
        <v>2005</v>
      </c>
      <c r="E954" s="2" t="s">
        <v>4626</v>
      </c>
      <c r="G954" s="2" t="s">
        <v>4627</v>
      </c>
      <c r="H954" s="6" t="s">
        <v>5871</v>
      </c>
      <c r="I954" s="2" t="str" cm="1">
        <f t="array" ref="I954">H954&amp;_xlfn.REGEXEXTRACT(G954,"^(.*?)(?=-page1)")&amp;".pdf"</f>
        <v>https://www.ocf.berkeley.edu/~pkmendez/envsci/projects/2005final/Bishop.pdf</v>
      </c>
      <c r="J954" s="1" t="str">
        <f t="shared" si="15"/>
        <v>https://www.ocf.berkeley.edu/~pkmendez/envsci/projects/2005final/Bishop.pdf</v>
      </c>
      <c r="P954" s="4" t="s">
        <v>9</v>
      </c>
      <c r="Q954" s="4" t="s">
        <v>10</v>
      </c>
    </row>
    <row r="955" spans="1:17" x14ac:dyDescent="0.35">
      <c r="A955" s="2" t="s">
        <v>5884</v>
      </c>
      <c r="B955" s="2" t="s">
        <v>4628</v>
      </c>
      <c r="C955" s="2" t="s">
        <v>4629</v>
      </c>
      <c r="D955" s="2">
        <v>2005</v>
      </c>
      <c r="E955" s="2" t="s">
        <v>4630</v>
      </c>
      <c r="G955" s="2" t="s">
        <v>4631</v>
      </c>
      <c r="H955" s="6" t="s">
        <v>5871</v>
      </c>
      <c r="I955" s="2" t="str" cm="1">
        <f t="array" ref="I955">H955&amp;_xlfn.REGEXEXTRACT(G955,"^(.*?)(?=-page1)")&amp;".pdf"</f>
        <v>https://www.ocf.berkeley.edu/~pkmendez/envsci/projects/2005final/Bonebrake.pdf</v>
      </c>
      <c r="J955" s="1" t="str">
        <f t="shared" si="15"/>
        <v>https://www.ocf.berkeley.edu/~pkmendez/envsci/projects/2005final/Bonebrake.pdf</v>
      </c>
      <c r="P955" s="4" t="s">
        <v>9</v>
      </c>
      <c r="Q955" s="4" t="s">
        <v>10</v>
      </c>
    </row>
    <row r="956" spans="1:17" x14ac:dyDescent="0.35">
      <c r="A956" s="2" t="s">
        <v>5884</v>
      </c>
      <c r="B956" s="2" t="s">
        <v>4632</v>
      </c>
      <c r="C956" s="2" t="s">
        <v>4633</v>
      </c>
      <c r="D956" s="2">
        <v>2005</v>
      </c>
      <c r="E956" s="2" t="s">
        <v>4634</v>
      </c>
      <c r="G956" s="2" t="s">
        <v>4635</v>
      </c>
      <c r="H956" s="6" t="s">
        <v>5871</v>
      </c>
      <c r="I956" s="2" t="str" cm="1">
        <f t="array" ref="I956">H956&amp;_xlfn.REGEXEXTRACT(G956,"^(.*?)(?=-page1)")&amp;".pdf"</f>
        <v>https://www.ocf.berkeley.edu/~pkmendez/envsci/projects/2005final/Brickman.pdf</v>
      </c>
      <c r="J956" s="1" t="str">
        <f t="shared" si="15"/>
        <v>https://www.ocf.berkeley.edu/~pkmendez/envsci/projects/2005final/Brickman.pdf</v>
      </c>
      <c r="P956" s="4" t="s">
        <v>9</v>
      </c>
      <c r="Q956" s="4" t="s">
        <v>10</v>
      </c>
    </row>
    <row r="957" spans="1:17" x14ac:dyDescent="0.35">
      <c r="A957" s="2" t="s">
        <v>5884</v>
      </c>
      <c r="B957" s="2" t="s">
        <v>4636</v>
      </c>
      <c r="C957" s="2" t="s">
        <v>4637</v>
      </c>
      <c r="D957" s="2">
        <v>2005</v>
      </c>
      <c r="E957" s="2" t="s">
        <v>4638</v>
      </c>
      <c r="G957" s="2" t="s">
        <v>4338</v>
      </c>
      <c r="H957" s="6" t="s">
        <v>5871</v>
      </c>
      <c r="I957" s="2" t="str" cm="1">
        <f t="array" ref="I957">H957&amp;_xlfn.REGEXEXTRACT(G957,"^(.*?)(?=-page1)")&amp;".pdf"</f>
        <v>https://www.ocf.berkeley.edu/~pkmendez/envsci/projects/2005final/Briggs.pdf</v>
      </c>
      <c r="J957" s="1" t="str">
        <f t="shared" si="15"/>
        <v>https://www.ocf.berkeley.edu/~pkmendez/envsci/projects/2005final/Briggs.pdf</v>
      </c>
      <c r="P957" s="4" t="s">
        <v>9</v>
      </c>
      <c r="Q957" s="4" t="s">
        <v>10</v>
      </c>
    </row>
    <row r="958" spans="1:17" x14ac:dyDescent="0.35">
      <c r="A958" s="2" t="s">
        <v>5884</v>
      </c>
      <c r="B958" s="2" t="s">
        <v>4639</v>
      </c>
      <c r="C958" s="2" t="s">
        <v>4640</v>
      </c>
      <c r="D958" s="2">
        <v>2005</v>
      </c>
      <c r="E958" s="2" t="s">
        <v>4641</v>
      </c>
      <c r="G958" s="2" t="s">
        <v>4642</v>
      </c>
      <c r="H958" s="6" t="s">
        <v>5871</v>
      </c>
      <c r="I958" s="2" t="str" cm="1">
        <f t="array" ref="I958">H958&amp;_xlfn.REGEXEXTRACT(G958,"^(.*?)(?=-page1)")&amp;".pdf"</f>
        <v>https://www.ocf.berkeley.edu/~pkmendez/envsci/projects/2005final/Bui.pdf</v>
      </c>
      <c r="J958" s="1" t="str">
        <f t="shared" si="15"/>
        <v>https://www.ocf.berkeley.edu/~pkmendez/envsci/projects/2005final/Bui.pdf</v>
      </c>
      <c r="P958" s="4" t="s">
        <v>9</v>
      </c>
      <c r="Q958" s="4" t="s">
        <v>10</v>
      </c>
    </row>
    <row r="959" spans="1:17" x14ac:dyDescent="0.35">
      <c r="A959" s="2" t="s">
        <v>5884</v>
      </c>
      <c r="B959" s="2" t="s">
        <v>4643</v>
      </c>
      <c r="C959" s="2" t="s">
        <v>4644</v>
      </c>
      <c r="D959" s="2">
        <v>2005</v>
      </c>
      <c r="E959" s="2" t="s">
        <v>4645</v>
      </c>
      <c r="G959" s="2" t="s">
        <v>4646</v>
      </c>
      <c r="H959" s="6" t="s">
        <v>5871</v>
      </c>
      <c r="I959" s="2" t="str" cm="1">
        <f t="array" ref="I959">H959&amp;_xlfn.REGEXEXTRACT(G959,"^(.*?)(?=-page1)")&amp;".pdf"</f>
        <v>https://www.ocf.berkeley.edu/~pkmendez/envsci/projects/2005final/Chen.pdf</v>
      </c>
      <c r="J959" s="1" t="str">
        <f t="shared" si="15"/>
        <v>https://www.ocf.berkeley.edu/~pkmendez/envsci/projects/2005final/Chen.pdf</v>
      </c>
      <c r="P959" s="4" t="s">
        <v>9</v>
      </c>
      <c r="Q959" s="4" t="s">
        <v>10</v>
      </c>
    </row>
    <row r="960" spans="1:17" x14ac:dyDescent="0.35">
      <c r="A960" s="2" t="s">
        <v>5884</v>
      </c>
      <c r="B960" s="2" t="s">
        <v>4647</v>
      </c>
      <c r="C960" s="2" t="s">
        <v>4648</v>
      </c>
      <c r="D960" s="2">
        <v>2005</v>
      </c>
      <c r="E960" s="2" t="s">
        <v>4649</v>
      </c>
      <c r="G960" s="2" t="s">
        <v>4650</v>
      </c>
      <c r="H960" s="6" t="s">
        <v>5871</v>
      </c>
      <c r="I960" s="2" t="str" cm="1">
        <f t="array" ref="I960">H960&amp;_xlfn.REGEXEXTRACT(G960,"^(.*?)(?=-page1)")&amp;".pdf"</f>
        <v>https://www.ocf.berkeley.edu/~pkmendez/envsci/projects/2005final/Collins.pdf</v>
      </c>
      <c r="J960" s="1" t="str">
        <f t="shared" si="15"/>
        <v>https://www.ocf.berkeley.edu/~pkmendez/envsci/projects/2005final/Collins.pdf</v>
      </c>
      <c r="P960" s="4" t="s">
        <v>9</v>
      </c>
      <c r="Q960" s="4" t="s">
        <v>10</v>
      </c>
    </row>
    <row r="961" spans="1:17" x14ac:dyDescent="0.35">
      <c r="A961" s="2" t="s">
        <v>5884</v>
      </c>
      <c r="B961" s="2" t="s">
        <v>4651</v>
      </c>
      <c r="C961" s="2" t="s">
        <v>4652</v>
      </c>
      <c r="D961" s="2">
        <v>2005</v>
      </c>
      <c r="E961" s="2" t="s">
        <v>4653</v>
      </c>
      <c r="G961" s="2" t="s">
        <v>4654</v>
      </c>
      <c r="H961" s="6" t="s">
        <v>5871</v>
      </c>
      <c r="I961" s="2" t="str" cm="1">
        <f t="array" ref="I961">H961&amp;_xlfn.REGEXEXTRACT(G961,"^(.*?)(?=-page1)")&amp;".pdf"</f>
        <v>https://www.ocf.berkeley.edu/~pkmendez/envsci/projects/2005final/Forsburg.pdf</v>
      </c>
      <c r="J961" s="1" t="str">
        <f t="shared" si="15"/>
        <v>https://www.ocf.berkeley.edu/~pkmendez/envsci/projects/2005final/Forsburg.pdf</v>
      </c>
      <c r="P961" s="4" t="s">
        <v>9</v>
      </c>
      <c r="Q961" s="4" t="s">
        <v>10</v>
      </c>
    </row>
    <row r="962" spans="1:17" x14ac:dyDescent="0.35">
      <c r="A962" s="2" t="s">
        <v>5884</v>
      </c>
      <c r="B962" s="2" t="s">
        <v>4655</v>
      </c>
      <c r="C962" s="2" t="s">
        <v>4656</v>
      </c>
      <c r="D962" s="2">
        <v>2005</v>
      </c>
      <c r="E962" s="2" t="s">
        <v>4657</v>
      </c>
      <c r="G962" s="2" t="s">
        <v>4658</v>
      </c>
      <c r="H962" s="6" t="s">
        <v>5871</v>
      </c>
      <c r="I962" s="2" t="str" cm="1">
        <f t="array" ref="I962">H962&amp;_xlfn.REGEXEXTRACT(G962,"^(.*?)(?=-page1)")&amp;".pdf"</f>
        <v>https://www.ocf.berkeley.edu/~pkmendez/envsci/projects/2005final/Gin.pdf</v>
      </c>
      <c r="J962" s="1" t="str">
        <f t="shared" si="15"/>
        <v>https://www.ocf.berkeley.edu/~pkmendez/envsci/projects/2005final/Gin.pdf</v>
      </c>
      <c r="P962" s="4" t="s">
        <v>9</v>
      </c>
      <c r="Q962" s="4" t="s">
        <v>10</v>
      </c>
    </row>
    <row r="963" spans="1:17" x14ac:dyDescent="0.35">
      <c r="A963" s="2" t="s">
        <v>5884</v>
      </c>
      <c r="B963" s="2" t="s">
        <v>4659</v>
      </c>
      <c r="C963" s="2" t="s">
        <v>4660</v>
      </c>
      <c r="D963" s="2">
        <v>2005</v>
      </c>
      <c r="G963" s="2" t="s">
        <v>4661</v>
      </c>
      <c r="H963" s="6" t="s">
        <v>5871</v>
      </c>
      <c r="I963" s="2" t="str" cm="1">
        <f t="array" ref="I963">H963&amp;_xlfn.REGEXEXTRACT(G963,"^(.*?)(?=-page1)")&amp;".pdf"</f>
        <v>https://www.ocf.berkeley.edu/~pkmendez/envsci/projects/2005final/Graeter.pdf</v>
      </c>
      <c r="J963" s="1" t="str">
        <f t="shared" ref="J963:J1026" si="16">HYPERLINK(I963, I963)</f>
        <v>https://www.ocf.berkeley.edu/~pkmendez/envsci/projects/2005final/Graeter.pdf</v>
      </c>
      <c r="P963" s="4" t="s">
        <v>9</v>
      </c>
      <c r="Q963" s="4" t="s">
        <v>10</v>
      </c>
    </row>
    <row r="964" spans="1:17" x14ac:dyDescent="0.35">
      <c r="A964" s="2" t="s">
        <v>5884</v>
      </c>
      <c r="B964" s="2" t="s">
        <v>4662</v>
      </c>
      <c r="C964" s="2" t="s">
        <v>4663</v>
      </c>
      <c r="D964" s="2">
        <v>2005</v>
      </c>
      <c r="E964" s="2" t="s">
        <v>4664</v>
      </c>
      <c r="G964" s="2" t="s">
        <v>4665</v>
      </c>
      <c r="H964" s="6" t="s">
        <v>5871</v>
      </c>
      <c r="I964" s="2" t="str" cm="1">
        <f t="array" ref="I964">H964&amp;_xlfn.REGEXEXTRACT(G964,"^(.*?)(?=-page1)")&amp;".pdf"</f>
        <v>https://www.ocf.berkeley.edu/~pkmendez/envsci/projects/2005final/Harris.pdf</v>
      </c>
      <c r="J964" s="1" t="str">
        <f t="shared" si="16"/>
        <v>https://www.ocf.berkeley.edu/~pkmendez/envsci/projects/2005final/Harris.pdf</v>
      </c>
      <c r="P964" s="4" t="s">
        <v>9</v>
      </c>
      <c r="Q964" s="4" t="s">
        <v>10</v>
      </c>
    </row>
    <row r="965" spans="1:17" x14ac:dyDescent="0.35">
      <c r="A965" s="2" t="s">
        <v>5884</v>
      </c>
      <c r="B965" s="2" t="s">
        <v>4666</v>
      </c>
      <c r="C965" s="2" t="s">
        <v>4667</v>
      </c>
      <c r="D965" s="2">
        <v>2005</v>
      </c>
      <c r="E965" s="2" t="s">
        <v>4668</v>
      </c>
      <c r="G965" s="2" t="s">
        <v>4669</v>
      </c>
      <c r="H965" s="6" t="s">
        <v>5871</v>
      </c>
      <c r="I965" s="2" t="str" cm="1">
        <f t="array" ref="I965">H965&amp;_xlfn.REGEXEXTRACT(G965,"^(.*?)(?=-page1)")&amp;".pdf"</f>
        <v>https://www.ocf.berkeley.edu/~pkmendez/envsci/projects/2005final/Hopkins.pdf</v>
      </c>
      <c r="J965" s="1" t="str">
        <f t="shared" si="16"/>
        <v>https://www.ocf.berkeley.edu/~pkmendez/envsci/projects/2005final/Hopkins.pdf</v>
      </c>
      <c r="P965" s="4" t="s">
        <v>9</v>
      </c>
      <c r="Q965" s="4" t="s">
        <v>10</v>
      </c>
    </row>
    <row r="966" spans="1:17" x14ac:dyDescent="0.35">
      <c r="A966" s="2" t="s">
        <v>5884</v>
      </c>
      <c r="B966" s="2" t="s">
        <v>4670</v>
      </c>
      <c r="C966" s="2" t="s">
        <v>4671</v>
      </c>
      <c r="D966" s="2">
        <v>2005</v>
      </c>
      <c r="E966" s="2" t="s">
        <v>4672</v>
      </c>
      <c r="G966" s="2" t="s">
        <v>4673</v>
      </c>
      <c r="H966" s="6" t="s">
        <v>5871</v>
      </c>
      <c r="I966" s="2" t="str" cm="1">
        <f t="array" ref="I966">H966&amp;_xlfn.REGEXEXTRACT(G966,"^(.*?)(?=-page1)")&amp;".pdf"</f>
        <v>https://www.ocf.berkeley.edu/~pkmendez/envsci/projects/2005final/Jones.pdf</v>
      </c>
      <c r="J966" s="1" t="str">
        <f t="shared" si="16"/>
        <v>https://www.ocf.berkeley.edu/~pkmendez/envsci/projects/2005final/Jones.pdf</v>
      </c>
      <c r="P966" s="4" t="s">
        <v>9</v>
      </c>
      <c r="Q966" s="4" t="s">
        <v>10</v>
      </c>
    </row>
    <row r="967" spans="1:17" x14ac:dyDescent="0.35">
      <c r="A967" s="2" t="s">
        <v>5884</v>
      </c>
      <c r="B967" s="2" t="s">
        <v>4674</v>
      </c>
      <c r="C967" s="2" t="s">
        <v>4675</v>
      </c>
      <c r="D967" s="2">
        <v>2005</v>
      </c>
      <c r="E967" s="2" t="s">
        <v>4676</v>
      </c>
      <c r="G967" s="2" t="s">
        <v>4677</v>
      </c>
      <c r="H967" s="6" t="s">
        <v>5871</v>
      </c>
      <c r="I967" s="2" t="str" cm="1">
        <f t="array" ref="I967">H967&amp;_xlfn.REGEXEXTRACT(G967,"^(.*?)(?=-page1)")&amp;".pdf"</f>
        <v>https://www.ocf.berkeley.edu/~pkmendez/envsci/projects/2005final/Kim.pdf</v>
      </c>
      <c r="J967" s="1" t="str">
        <f t="shared" si="16"/>
        <v>https://www.ocf.berkeley.edu/~pkmendez/envsci/projects/2005final/Kim.pdf</v>
      </c>
      <c r="P967" s="4" t="s">
        <v>9</v>
      </c>
      <c r="Q967" s="4" t="s">
        <v>10</v>
      </c>
    </row>
    <row r="968" spans="1:17" x14ac:dyDescent="0.35">
      <c r="A968" s="2" t="s">
        <v>5884</v>
      </c>
      <c r="B968" s="2" t="s">
        <v>4678</v>
      </c>
      <c r="C968" s="2" t="s">
        <v>4679</v>
      </c>
      <c r="D968" s="2">
        <v>2005</v>
      </c>
      <c r="E968" s="2" t="s">
        <v>4680</v>
      </c>
      <c r="G968" s="2" t="s">
        <v>4681</v>
      </c>
      <c r="H968" s="6" t="s">
        <v>5871</v>
      </c>
      <c r="I968" s="2" t="str" cm="1">
        <f t="array" ref="I968">H968&amp;_xlfn.REGEXEXTRACT(G968,"^(.*?)(?=-page1)")&amp;".pdf"</f>
        <v>https://www.ocf.berkeley.edu/~pkmendez/envsci/projects/2005final/Lau.pdf</v>
      </c>
      <c r="J968" s="1" t="str">
        <f t="shared" si="16"/>
        <v>https://www.ocf.berkeley.edu/~pkmendez/envsci/projects/2005final/Lau.pdf</v>
      </c>
      <c r="P968" s="4" t="s">
        <v>9</v>
      </c>
      <c r="Q968" s="4" t="s">
        <v>10</v>
      </c>
    </row>
    <row r="969" spans="1:17" x14ac:dyDescent="0.35">
      <c r="A969" s="2" t="s">
        <v>5884</v>
      </c>
      <c r="B969" s="2" t="s">
        <v>4682</v>
      </c>
      <c r="C969" s="2" t="s">
        <v>4683</v>
      </c>
      <c r="D969" s="2">
        <v>2005</v>
      </c>
      <c r="E969" s="2" t="s">
        <v>4684</v>
      </c>
      <c r="G969" s="2" t="s">
        <v>4685</v>
      </c>
      <c r="H969" s="6" t="s">
        <v>5871</v>
      </c>
      <c r="I969" s="2" t="str" cm="1">
        <f t="array" ref="I969">H969&amp;_xlfn.REGEXEXTRACT(G969,"^(.*?)(?=-page1)")&amp;".pdf"</f>
        <v>https://www.ocf.berkeley.edu/~pkmendez/envsci/projects/2005final/Lim.pdf</v>
      </c>
      <c r="J969" s="1" t="str">
        <f t="shared" si="16"/>
        <v>https://www.ocf.berkeley.edu/~pkmendez/envsci/projects/2005final/Lim.pdf</v>
      </c>
      <c r="P969" s="4" t="s">
        <v>9</v>
      </c>
      <c r="Q969" s="4" t="s">
        <v>10</v>
      </c>
    </row>
    <row r="970" spans="1:17" x14ac:dyDescent="0.35">
      <c r="A970" s="2" t="s">
        <v>5884</v>
      </c>
      <c r="B970" s="2" t="s">
        <v>4686</v>
      </c>
      <c r="C970" s="2" t="s">
        <v>4687</v>
      </c>
      <c r="D970" s="2">
        <v>2005</v>
      </c>
      <c r="E970" s="2" t="s">
        <v>4688</v>
      </c>
      <c r="G970" s="2" t="s">
        <v>4689</v>
      </c>
      <c r="H970" s="6" t="s">
        <v>5871</v>
      </c>
      <c r="I970" s="2" t="str" cm="1">
        <f t="array" ref="I970">H970&amp;_xlfn.REGEXEXTRACT(G970,"^(.*?)(?=-page1)")&amp;".pdf"</f>
        <v>https://www.ocf.berkeley.edu/~pkmendez/envsci/projects/2005final/Liu.pdf</v>
      </c>
      <c r="J970" s="1" t="str">
        <f t="shared" si="16"/>
        <v>https://www.ocf.berkeley.edu/~pkmendez/envsci/projects/2005final/Liu.pdf</v>
      </c>
      <c r="P970" s="4" t="s">
        <v>9</v>
      </c>
      <c r="Q970" s="4" t="s">
        <v>10</v>
      </c>
    </row>
    <row r="971" spans="1:17" x14ac:dyDescent="0.35">
      <c r="A971" s="2" t="s">
        <v>5884</v>
      </c>
      <c r="B971" s="2" t="s">
        <v>4690</v>
      </c>
      <c r="C971" s="2" t="s">
        <v>4691</v>
      </c>
      <c r="D971" s="2">
        <v>2005</v>
      </c>
      <c r="E971" s="2" t="s">
        <v>4692</v>
      </c>
      <c r="G971" s="2" t="s">
        <v>4693</v>
      </c>
      <c r="H971" s="6" t="s">
        <v>5871</v>
      </c>
      <c r="I971" s="2" t="str" cm="1">
        <f t="array" ref="I971">H971&amp;_xlfn.REGEXEXTRACT(G971,"^(.*?)(?=-page1)")&amp;".pdf"</f>
        <v>https://www.ocf.berkeley.edu/~pkmendez/envsci/projects/2005final/Lopus.pdf</v>
      </c>
      <c r="J971" s="1" t="str">
        <f t="shared" si="16"/>
        <v>https://www.ocf.berkeley.edu/~pkmendez/envsci/projects/2005final/Lopus.pdf</v>
      </c>
      <c r="P971" s="4" t="s">
        <v>9</v>
      </c>
      <c r="Q971" s="4" t="s">
        <v>10</v>
      </c>
    </row>
    <row r="972" spans="1:17" x14ac:dyDescent="0.35">
      <c r="A972" s="2" t="s">
        <v>5884</v>
      </c>
      <c r="B972" s="2" t="s">
        <v>4694</v>
      </c>
      <c r="C972" s="2" t="s">
        <v>4695</v>
      </c>
      <c r="D972" s="2">
        <v>2005</v>
      </c>
      <c r="E972" s="2" t="s">
        <v>4696</v>
      </c>
      <c r="G972" s="2" t="s">
        <v>4697</v>
      </c>
      <c r="H972" s="6" t="s">
        <v>5871</v>
      </c>
      <c r="I972" s="2" t="str" cm="1">
        <f t="array" ref="I972">H972&amp;_xlfn.REGEXEXTRACT(G972,"^(.*?)(?=-page1)")&amp;".pdf"</f>
        <v>https://www.ocf.berkeley.edu/~pkmendez/envsci/projects/2005final/Lue.pdf</v>
      </c>
      <c r="J972" s="1" t="str">
        <f t="shared" si="16"/>
        <v>https://www.ocf.berkeley.edu/~pkmendez/envsci/projects/2005final/Lue.pdf</v>
      </c>
      <c r="P972" s="4" t="s">
        <v>9</v>
      </c>
      <c r="Q972" s="4" t="s">
        <v>10</v>
      </c>
    </row>
    <row r="973" spans="1:17" x14ac:dyDescent="0.35">
      <c r="A973" s="2" t="s">
        <v>5884</v>
      </c>
      <c r="B973" s="2" t="s">
        <v>4698</v>
      </c>
      <c r="C973" s="2" t="s">
        <v>4699</v>
      </c>
      <c r="D973" s="2">
        <v>2005</v>
      </c>
      <c r="E973" s="2" t="s">
        <v>4700</v>
      </c>
      <c r="G973" s="2" t="s">
        <v>4701</v>
      </c>
      <c r="H973" s="6" t="s">
        <v>5871</v>
      </c>
      <c r="I973" s="2" t="str" cm="1">
        <f t="array" ref="I973">H973&amp;_xlfn.REGEXEXTRACT(G973,"^(.*?)(?=-page1)")&amp;".pdf"</f>
        <v>https://www.ocf.berkeley.edu/~pkmendez/envsci/projects/2005final/Malin.pdf</v>
      </c>
      <c r="J973" s="1" t="str">
        <f t="shared" si="16"/>
        <v>https://www.ocf.berkeley.edu/~pkmendez/envsci/projects/2005final/Malin.pdf</v>
      </c>
      <c r="P973" s="4" t="s">
        <v>9</v>
      </c>
      <c r="Q973" s="4" t="s">
        <v>10</v>
      </c>
    </row>
    <row r="974" spans="1:17" x14ac:dyDescent="0.35">
      <c r="A974" s="2" t="s">
        <v>5884</v>
      </c>
      <c r="B974" s="2" t="s">
        <v>4702</v>
      </c>
      <c r="C974" s="2" t="s">
        <v>4703</v>
      </c>
      <c r="D974" s="2">
        <v>2005</v>
      </c>
      <c r="E974" s="2" t="s">
        <v>4704</v>
      </c>
      <c r="G974" s="2" t="s">
        <v>4705</v>
      </c>
      <c r="H974" s="6" t="s">
        <v>5871</v>
      </c>
      <c r="I974" s="2" t="str" cm="1">
        <f t="array" ref="I974">H974&amp;_xlfn.REGEXEXTRACT(G974,"^(.*?)(?=-page1)")&amp;".pdf"</f>
        <v>https://www.ocf.berkeley.edu/~pkmendez/envsci/projects/2005final/Nguyen_A.pdf</v>
      </c>
      <c r="J974" s="1" t="str">
        <f t="shared" si="16"/>
        <v>https://www.ocf.berkeley.edu/~pkmendez/envsci/projects/2005final/Nguyen_A.pdf</v>
      </c>
      <c r="P974" s="4" t="s">
        <v>9</v>
      </c>
      <c r="Q974" s="4" t="s">
        <v>10</v>
      </c>
    </row>
    <row r="975" spans="1:17" x14ac:dyDescent="0.35">
      <c r="A975" s="2" t="s">
        <v>5884</v>
      </c>
      <c r="B975" s="2" t="s">
        <v>4706</v>
      </c>
      <c r="C975" s="2" t="s">
        <v>4707</v>
      </c>
      <c r="D975" s="2">
        <v>2005</v>
      </c>
      <c r="E975" s="2" t="s">
        <v>4708</v>
      </c>
      <c r="G975" s="2" t="s">
        <v>4709</v>
      </c>
      <c r="H975" s="6" t="s">
        <v>5871</v>
      </c>
      <c r="I975" s="2" t="str" cm="1">
        <f t="array" ref="I975">H975&amp;_xlfn.REGEXEXTRACT(G975,"^(.*?)(?=-page1)")&amp;".pdf"</f>
        <v>https://www.ocf.berkeley.edu/~pkmendez/envsci/projects/2005final/Nguyen_J.pdf</v>
      </c>
      <c r="J975" s="1" t="str">
        <f t="shared" si="16"/>
        <v>https://www.ocf.berkeley.edu/~pkmendez/envsci/projects/2005final/Nguyen_J.pdf</v>
      </c>
      <c r="P975" s="4" t="s">
        <v>9</v>
      </c>
      <c r="Q975" s="4" t="s">
        <v>10</v>
      </c>
    </row>
    <row r="976" spans="1:17" x14ac:dyDescent="0.35">
      <c r="A976" s="2" t="s">
        <v>5884</v>
      </c>
      <c r="B976" s="2" t="s">
        <v>4710</v>
      </c>
      <c r="C976" s="2" t="s">
        <v>4711</v>
      </c>
      <c r="D976" s="2">
        <v>2005</v>
      </c>
      <c r="E976" s="2" t="s">
        <v>4712</v>
      </c>
      <c r="G976" s="2" t="s">
        <v>4713</v>
      </c>
      <c r="H976" s="6" t="s">
        <v>5871</v>
      </c>
      <c r="I976" s="2" t="str" cm="1">
        <f t="array" ref="I976">H976&amp;_xlfn.REGEXEXTRACT(G976,"^(.*?)(?=-page1)")&amp;".pdf"</f>
        <v>https://www.ocf.berkeley.edu/~pkmendez/envsci/projects/2005final/Oleary.pdf</v>
      </c>
      <c r="J976" s="1" t="str">
        <f t="shared" si="16"/>
        <v>https://www.ocf.berkeley.edu/~pkmendez/envsci/projects/2005final/Oleary.pdf</v>
      </c>
      <c r="P976" s="4" t="s">
        <v>9</v>
      </c>
      <c r="Q976" s="4" t="s">
        <v>10</v>
      </c>
    </row>
    <row r="977" spans="1:17" x14ac:dyDescent="0.35">
      <c r="A977" s="2" t="s">
        <v>5884</v>
      </c>
      <c r="B977" s="2" t="s">
        <v>4714</v>
      </c>
      <c r="C977" s="2" t="s">
        <v>4715</v>
      </c>
      <c r="D977" s="2">
        <v>2005</v>
      </c>
      <c r="E977" s="2" t="s">
        <v>4716</v>
      </c>
      <c r="G977" s="2" t="s">
        <v>4717</v>
      </c>
      <c r="H977" s="6" t="s">
        <v>5871</v>
      </c>
      <c r="I977" s="2" t="str" cm="1">
        <f t="array" ref="I977">H977&amp;_xlfn.REGEXEXTRACT(G977,"^(.*?)(?=-page1)")&amp;".pdf"</f>
        <v>https://www.ocf.berkeley.edu/~pkmendez/envsci/projects/2005final/Pelham.pdf</v>
      </c>
      <c r="J977" s="1" t="str">
        <f t="shared" si="16"/>
        <v>https://www.ocf.berkeley.edu/~pkmendez/envsci/projects/2005final/Pelham.pdf</v>
      </c>
      <c r="P977" s="4" t="s">
        <v>9</v>
      </c>
      <c r="Q977" s="4" t="s">
        <v>10</v>
      </c>
    </row>
    <row r="978" spans="1:17" x14ac:dyDescent="0.35">
      <c r="A978" s="2" t="s">
        <v>5884</v>
      </c>
      <c r="B978" s="2" t="s">
        <v>4718</v>
      </c>
      <c r="C978" s="2" t="s">
        <v>4719</v>
      </c>
      <c r="D978" s="2">
        <v>2005</v>
      </c>
      <c r="E978" s="2" t="s">
        <v>4720</v>
      </c>
      <c r="G978" s="2" t="s">
        <v>4721</v>
      </c>
      <c r="H978" s="6" t="s">
        <v>5871</v>
      </c>
      <c r="I978" s="2" t="str" cm="1">
        <f t="array" ref="I978">H978&amp;_xlfn.REGEXEXTRACT(G978,"^(.*?)(?=-page1)")&amp;".pdf"</f>
        <v>https://www.ocf.berkeley.edu/~pkmendez/envsci/projects/2005final/Pollak.pdf</v>
      </c>
      <c r="J978" s="1" t="str">
        <f t="shared" si="16"/>
        <v>https://www.ocf.berkeley.edu/~pkmendez/envsci/projects/2005final/Pollak.pdf</v>
      </c>
      <c r="P978" s="4" t="s">
        <v>9</v>
      </c>
      <c r="Q978" s="4" t="s">
        <v>10</v>
      </c>
    </row>
    <row r="979" spans="1:17" x14ac:dyDescent="0.35">
      <c r="A979" s="2" t="s">
        <v>5884</v>
      </c>
      <c r="B979" s="2" t="s">
        <v>4722</v>
      </c>
      <c r="C979" s="2" t="s">
        <v>4723</v>
      </c>
      <c r="D979" s="2">
        <v>2005</v>
      </c>
      <c r="E979" s="2" t="s">
        <v>4724</v>
      </c>
      <c r="G979" s="2" t="s">
        <v>4725</v>
      </c>
      <c r="H979" s="6" t="s">
        <v>5871</v>
      </c>
      <c r="I979" s="2" t="str" cm="1">
        <f t="array" ref="I979">H979&amp;_xlfn.REGEXEXTRACT(G979,"^(.*?)(?=-page1)")&amp;".pdf"</f>
        <v>https://www.ocf.berkeley.edu/~pkmendez/envsci/projects/2005final/Ray.pdf</v>
      </c>
      <c r="J979" s="1" t="str">
        <f t="shared" si="16"/>
        <v>https://www.ocf.berkeley.edu/~pkmendez/envsci/projects/2005final/Ray.pdf</v>
      </c>
      <c r="P979" s="4" t="s">
        <v>9</v>
      </c>
      <c r="Q979" s="4" t="s">
        <v>10</v>
      </c>
    </row>
    <row r="980" spans="1:17" x14ac:dyDescent="0.35">
      <c r="A980" s="2" t="s">
        <v>5884</v>
      </c>
      <c r="B980" s="2" t="s">
        <v>4726</v>
      </c>
      <c r="C980" s="2" t="s">
        <v>4727</v>
      </c>
      <c r="D980" s="2">
        <v>2005</v>
      </c>
      <c r="E980" s="2" t="s">
        <v>4728</v>
      </c>
      <c r="G980" s="2" t="s">
        <v>4729</v>
      </c>
      <c r="H980" s="6" t="s">
        <v>5871</v>
      </c>
      <c r="I980" s="2" t="str" cm="1">
        <f t="array" ref="I980">H980&amp;_xlfn.REGEXEXTRACT(G980,"^(.*?)(?=-page1)")&amp;".pdf"</f>
        <v>https://www.ocf.berkeley.edu/~pkmendez/envsci/projects/2005final/Schinsing.pdf</v>
      </c>
      <c r="J980" s="1" t="str">
        <f t="shared" si="16"/>
        <v>https://www.ocf.berkeley.edu/~pkmendez/envsci/projects/2005final/Schinsing.pdf</v>
      </c>
      <c r="P980" s="4" t="s">
        <v>9</v>
      </c>
      <c r="Q980" s="4" t="s">
        <v>10</v>
      </c>
    </row>
    <row r="981" spans="1:17" x14ac:dyDescent="0.35">
      <c r="A981" s="2" t="s">
        <v>5884</v>
      </c>
      <c r="B981" s="2" t="s">
        <v>4730</v>
      </c>
      <c r="C981" s="2" t="s">
        <v>4731</v>
      </c>
      <c r="D981" s="2">
        <v>2005</v>
      </c>
      <c r="E981" s="2" t="s">
        <v>4732</v>
      </c>
      <c r="G981" s="2" t="s">
        <v>4733</v>
      </c>
      <c r="H981" s="6" t="s">
        <v>5871</v>
      </c>
      <c r="I981" s="2" t="str" cm="1">
        <f t="array" ref="I981">H981&amp;_xlfn.REGEXEXTRACT(G981,"^(.*?)(?=-page1)")&amp;".pdf"</f>
        <v>https://www.ocf.berkeley.edu/~pkmendez/envsci/projects/2005final/Schlegel.pdf</v>
      </c>
      <c r="J981" s="1" t="str">
        <f t="shared" si="16"/>
        <v>https://www.ocf.berkeley.edu/~pkmendez/envsci/projects/2005final/Schlegel.pdf</v>
      </c>
      <c r="P981" s="4" t="s">
        <v>9</v>
      </c>
      <c r="Q981" s="4" t="s">
        <v>10</v>
      </c>
    </row>
    <row r="982" spans="1:17" x14ac:dyDescent="0.35">
      <c r="A982" s="2" t="s">
        <v>5884</v>
      </c>
      <c r="B982" s="2" t="s">
        <v>4734</v>
      </c>
      <c r="C982" s="2" t="s">
        <v>4735</v>
      </c>
      <c r="D982" s="2">
        <v>2005</v>
      </c>
      <c r="E982" s="2" t="s">
        <v>4736</v>
      </c>
      <c r="G982" s="2" t="s">
        <v>4737</v>
      </c>
      <c r="H982" s="6" t="s">
        <v>5871</v>
      </c>
      <c r="I982" s="2" t="str" cm="1">
        <f t="array" ref="I982">H982&amp;_xlfn.REGEXEXTRACT(G982,"^(.*?)(?=-page1)")&amp;".pdf"</f>
        <v>https://www.ocf.berkeley.edu/~pkmendez/envsci/projects/2005final/Siddiqui.pdf</v>
      </c>
      <c r="J982" s="1" t="str">
        <f t="shared" si="16"/>
        <v>https://www.ocf.berkeley.edu/~pkmendez/envsci/projects/2005final/Siddiqui.pdf</v>
      </c>
      <c r="P982" s="4" t="s">
        <v>9</v>
      </c>
      <c r="Q982" s="4" t="s">
        <v>10</v>
      </c>
    </row>
    <row r="983" spans="1:17" x14ac:dyDescent="0.35">
      <c r="A983" s="2" t="s">
        <v>5884</v>
      </c>
      <c r="B983" s="2" t="s">
        <v>4738</v>
      </c>
      <c r="C983" s="2" t="s">
        <v>4739</v>
      </c>
      <c r="D983" s="2">
        <v>2005</v>
      </c>
      <c r="E983" s="2" t="s">
        <v>4740</v>
      </c>
      <c r="G983" s="2" t="s">
        <v>4741</v>
      </c>
      <c r="H983" s="6" t="s">
        <v>5871</v>
      </c>
      <c r="I983" s="2" t="str" cm="1">
        <f t="array" ref="I983">H983&amp;_xlfn.REGEXEXTRACT(G983,"^(.*?)(?=-page1)")&amp;".pdf"</f>
        <v>https://www.ocf.berkeley.edu/~pkmendez/envsci/projects/2005final/Sweere.pdf</v>
      </c>
      <c r="J983" s="1" t="str">
        <f t="shared" si="16"/>
        <v>https://www.ocf.berkeley.edu/~pkmendez/envsci/projects/2005final/Sweere.pdf</v>
      </c>
      <c r="P983" s="4" t="s">
        <v>9</v>
      </c>
      <c r="Q983" s="4" t="s">
        <v>10</v>
      </c>
    </row>
    <row r="984" spans="1:17" x14ac:dyDescent="0.35">
      <c r="A984" s="2" t="s">
        <v>5884</v>
      </c>
      <c r="B984" s="2" t="s">
        <v>4742</v>
      </c>
      <c r="C984" s="2" t="s">
        <v>4743</v>
      </c>
      <c r="D984" s="2">
        <v>2005</v>
      </c>
      <c r="E984" s="2" t="s">
        <v>4744</v>
      </c>
      <c r="G984" s="2" t="s">
        <v>4745</v>
      </c>
      <c r="H984" s="6" t="s">
        <v>5871</v>
      </c>
      <c r="I984" s="2" t="str" cm="1">
        <f t="array" ref="I984">H984&amp;_xlfn.REGEXEXTRACT(G984,"^(.*?)(?=-page1)")&amp;".pdf"</f>
        <v>https://www.ocf.berkeley.edu/~pkmendez/envsci/projects/2005final/Tabares.pdf</v>
      </c>
      <c r="J984" s="1" t="str">
        <f t="shared" si="16"/>
        <v>https://www.ocf.berkeley.edu/~pkmendez/envsci/projects/2005final/Tabares.pdf</v>
      </c>
      <c r="P984" s="4" t="s">
        <v>9</v>
      </c>
      <c r="Q984" s="4" t="s">
        <v>10</v>
      </c>
    </row>
    <row r="985" spans="1:17" x14ac:dyDescent="0.35">
      <c r="A985" s="2" t="s">
        <v>5884</v>
      </c>
      <c r="B985" s="2" t="s">
        <v>4746</v>
      </c>
      <c r="C985" s="2" t="s">
        <v>4747</v>
      </c>
      <c r="D985" s="2">
        <v>2005</v>
      </c>
      <c r="E985" s="2" t="s">
        <v>4748</v>
      </c>
      <c r="G985" s="2" t="s">
        <v>4749</v>
      </c>
      <c r="H985" s="6" t="s">
        <v>5871</v>
      </c>
      <c r="I985" s="2" t="str" cm="1">
        <f t="array" ref="I985">H985&amp;_xlfn.REGEXEXTRACT(G985,"^(.*?)(?=-page1)")&amp;".pdf"</f>
        <v>https://www.ocf.berkeley.edu/~pkmendez/envsci/projects/2005final/Toy.pdf</v>
      </c>
      <c r="J985" s="1" t="str">
        <f t="shared" si="16"/>
        <v>https://www.ocf.berkeley.edu/~pkmendez/envsci/projects/2005final/Toy.pdf</v>
      </c>
      <c r="P985" s="4" t="s">
        <v>9</v>
      </c>
      <c r="Q985" s="4" t="s">
        <v>10</v>
      </c>
    </row>
    <row r="986" spans="1:17" x14ac:dyDescent="0.35">
      <c r="A986" s="2" t="s">
        <v>5884</v>
      </c>
      <c r="B986" s="2" t="s">
        <v>4750</v>
      </c>
      <c r="C986" s="2" t="s">
        <v>4751</v>
      </c>
      <c r="D986" s="2">
        <v>2005</v>
      </c>
      <c r="E986" s="2" t="s">
        <v>4752</v>
      </c>
      <c r="G986" s="2" t="s">
        <v>4753</v>
      </c>
      <c r="H986" s="6" t="s">
        <v>5871</v>
      </c>
      <c r="I986" s="2" t="str" cm="1">
        <f t="array" ref="I986">H986&amp;_xlfn.REGEXEXTRACT(G986,"^(.*?)(?=-page1)")&amp;".pdf"</f>
        <v>https://www.ocf.berkeley.edu/~pkmendez/envsci/projects/2005final/Tran.pdf</v>
      </c>
      <c r="J986" s="1" t="str">
        <f t="shared" si="16"/>
        <v>https://www.ocf.berkeley.edu/~pkmendez/envsci/projects/2005final/Tran.pdf</v>
      </c>
      <c r="P986" s="4" t="s">
        <v>9</v>
      </c>
      <c r="Q986" s="4" t="s">
        <v>10</v>
      </c>
    </row>
    <row r="987" spans="1:17" x14ac:dyDescent="0.35">
      <c r="A987" s="2" t="s">
        <v>5884</v>
      </c>
      <c r="B987" s="2" t="s">
        <v>4754</v>
      </c>
      <c r="C987" s="2" t="s">
        <v>4755</v>
      </c>
      <c r="D987" s="2">
        <v>2005</v>
      </c>
      <c r="E987" s="2" t="s">
        <v>4756</v>
      </c>
      <c r="G987" s="2" t="s">
        <v>4757</v>
      </c>
      <c r="H987" s="6" t="s">
        <v>5871</v>
      </c>
      <c r="I987" s="2" t="str" cm="1">
        <f t="array" ref="I987">H987&amp;_xlfn.REGEXEXTRACT(G987,"^(.*?)(?=-page1)")&amp;".pdf"</f>
        <v>https://www.ocf.berkeley.edu/~pkmendez/envsci/projects/2005final/Vuong.pdf</v>
      </c>
      <c r="J987" s="1" t="str">
        <f t="shared" si="16"/>
        <v>https://www.ocf.berkeley.edu/~pkmendez/envsci/projects/2005final/Vuong.pdf</v>
      </c>
      <c r="P987" s="4" t="s">
        <v>9</v>
      </c>
      <c r="Q987" s="4" t="s">
        <v>10</v>
      </c>
    </row>
    <row r="988" spans="1:17" x14ac:dyDescent="0.35">
      <c r="A988" s="2" t="s">
        <v>5884</v>
      </c>
      <c r="B988" s="2" t="s">
        <v>4758</v>
      </c>
      <c r="C988" s="2" t="s">
        <v>4759</v>
      </c>
      <c r="D988" s="2">
        <v>2005</v>
      </c>
      <c r="E988" s="2" t="s">
        <v>4760</v>
      </c>
      <c r="G988" s="2" t="s">
        <v>4761</v>
      </c>
      <c r="H988" s="6" t="s">
        <v>5871</v>
      </c>
      <c r="I988" s="2" t="str" cm="1">
        <f t="array" ref="I988">H988&amp;_xlfn.REGEXEXTRACT(G988,"^(.*?)(?=-page1)")&amp;".pdf"</f>
        <v>https://www.ocf.berkeley.edu/~pkmendez/envsci/projects/2005final/Wunder.pdf</v>
      </c>
      <c r="J988" s="1" t="str">
        <f t="shared" si="16"/>
        <v>https://www.ocf.berkeley.edu/~pkmendez/envsci/projects/2005final/Wunder.pdf</v>
      </c>
      <c r="P988" s="4" t="s">
        <v>9</v>
      </c>
      <c r="Q988" s="4" t="s">
        <v>10</v>
      </c>
    </row>
    <row r="989" spans="1:17" x14ac:dyDescent="0.35">
      <c r="A989" s="2" t="s">
        <v>5884</v>
      </c>
      <c r="B989" s="2" t="s">
        <v>4762</v>
      </c>
      <c r="C989" s="2" t="s">
        <v>4763</v>
      </c>
      <c r="D989" s="2">
        <v>2005</v>
      </c>
      <c r="E989" s="2" t="s">
        <v>4764</v>
      </c>
      <c r="G989" s="2" t="s">
        <v>4765</v>
      </c>
      <c r="H989" s="6" t="s">
        <v>5871</v>
      </c>
      <c r="I989" s="2" t="str" cm="1">
        <f t="array" ref="I989">H989&amp;_xlfn.REGEXEXTRACT(G989,"^(.*?)(?=-page1)")&amp;".pdf"</f>
        <v>https://www.ocf.berkeley.edu/~pkmendez/envsci/projects/2005final/Yee_C.pdf</v>
      </c>
      <c r="J989" s="1" t="str">
        <f t="shared" si="16"/>
        <v>https://www.ocf.berkeley.edu/~pkmendez/envsci/projects/2005final/Yee_C.pdf</v>
      </c>
      <c r="P989" s="4" t="s">
        <v>9</v>
      </c>
      <c r="Q989" s="4" t="s">
        <v>10</v>
      </c>
    </row>
    <row r="990" spans="1:17" x14ac:dyDescent="0.35">
      <c r="A990" s="2" t="s">
        <v>5884</v>
      </c>
      <c r="B990" s="2" t="s">
        <v>4766</v>
      </c>
      <c r="C990" s="2" t="s">
        <v>4767</v>
      </c>
      <c r="D990" s="2">
        <v>2005</v>
      </c>
      <c r="E990" s="2" t="s">
        <v>4768</v>
      </c>
      <c r="G990" s="2" t="s">
        <v>4769</v>
      </c>
      <c r="H990" s="6" t="s">
        <v>5871</v>
      </c>
      <c r="I990" s="2" t="str" cm="1">
        <f t="array" ref="I990">H990&amp;_xlfn.REGEXEXTRACT(G990,"^(.*?)(?=-page1)")&amp;".pdf"</f>
        <v>https://www.ocf.berkeley.edu/~pkmendez/envsci/projects/2005final/Yee_J.pdf</v>
      </c>
      <c r="J990" s="1" t="str">
        <f t="shared" si="16"/>
        <v>https://www.ocf.berkeley.edu/~pkmendez/envsci/projects/2005final/Yee_J.pdf</v>
      </c>
      <c r="P990" s="4" t="s">
        <v>9</v>
      </c>
      <c r="Q990" s="4" t="s">
        <v>10</v>
      </c>
    </row>
    <row r="991" spans="1:17" x14ac:dyDescent="0.35">
      <c r="A991" s="2" t="s">
        <v>5884</v>
      </c>
      <c r="B991" s="2" t="s">
        <v>4770</v>
      </c>
      <c r="C991" s="2" t="s">
        <v>4771</v>
      </c>
      <c r="D991" s="2">
        <v>2005</v>
      </c>
      <c r="E991" s="2" t="s">
        <v>4772</v>
      </c>
      <c r="G991" s="2" t="s">
        <v>4773</v>
      </c>
      <c r="H991" s="6" t="s">
        <v>5871</v>
      </c>
      <c r="I991" s="2" t="str" cm="1">
        <f t="array" ref="I991">H991&amp;_xlfn.REGEXEXTRACT(G991,"^(.*?)(?=-page1)")&amp;".pdf"</f>
        <v>https://www.ocf.berkeley.edu/~pkmendez/envsci/projects/2005final/Yeung.pdf</v>
      </c>
      <c r="J991" s="1" t="str">
        <f t="shared" si="16"/>
        <v>https://www.ocf.berkeley.edu/~pkmendez/envsci/projects/2005final/Yeung.pdf</v>
      </c>
      <c r="P991" s="4" t="s">
        <v>9</v>
      </c>
      <c r="Q991" s="4" t="s">
        <v>10</v>
      </c>
    </row>
    <row r="992" spans="1:17" x14ac:dyDescent="0.35">
      <c r="A992" s="2" t="s">
        <v>5884</v>
      </c>
      <c r="B992" s="2" t="s">
        <v>4774</v>
      </c>
      <c r="C992" s="2" t="s">
        <v>4775</v>
      </c>
      <c r="D992" s="2">
        <v>2005</v>
      </c>
      <c r="E992" s="2" t="s">
        <v>4776</v>
      </c>
      <c r="G992" s="2" t="s">
        <v>4777</v>
      </c>
      <c r="H992" s="6" t="s">
        <v>5871</v>
      </c>
      <c r="I992" s="2" t="str" cm="1">
        <f t="array" ref="I992">H992&amp;_xlfn.REGEXEXTRACT(G992,"^(.*?)(?=-page1)")&amp;".pdf"</f>
        <v>https://www.ocf.berkeley.edu/~pkmendez/envsci/projects/2005final/Yu.pdf</v>
      </c>
      <c r="J992" s="1" t="str">
        <f t="shared" si="16"/>
        <v>https://www.ocf.berkeley.edu/~pkmendez/envsci/projects/2005final/Yu.pdf</v>
      </c>
      <c r="P992" s="4" t="s">
        <v>9</v>
      </c>
      <c r="Q992" s="4" t="s">
        <v>10</v>
      </c>
    </row>
    <row r="993" spans="1:17" x14ac:dyDescent="0.35">
      <c r="A993" s="2" t="s">
        <v>5884</v>
      </c>
      <c r="B993" s="2" t="s">
        <v>4778</v>
      </c>
      <c r="C993" s="2" t="s">
        <v>4779</v>
      </c>
      <c r="D993" s="2">
        <v>2004</v>
      </c>
      <c r="E993" s="2" t="s">
        <v>4780</v>
      </c>
      <c r="G993" s="2" t="s">
        <v>4781</v>
      </c>
      <c r="H993" s="6" t="s">
        <v>5872</v>
      </c>
      <c r="I993" s="2" t="str" cm="1">
        <f t="array" ref="I993">H993&amp;_xlfn.REGEXEXTRACT(G993,"^(.*?)(?=-page1)")&amp;".pdf"</f>
        <v>https://www.ocf.berkeley.edu/~pkmendez/envsci/projects/2004final/Ausberry.pdf</v>
      </c>
      <c r="J993" s="1" t="str">
        <f t="shared" si="16"/>
        <v>https://www.ocf.berkeley.edu/~pkmendez/envsci/projects/2004final/Ausberry.pdf</v>
      </c>
      <c r="P993" s="4" t="s">
        <v>9</v>
      </c>
      <c r="Q993" s="4" t="s">
        <v>10</v>
      </c>
    </row>
    <row r="994" spans="1:17" x14ac:dyDescent="0.35">
      <c r="A994" s="2" t="s">
        <v>5884</v>
      </c>
      <c r="B994" s="2" t="s">
        <v>4782</v>
      </c>
      <c r="C994" s="2" t="s">
        <v>4783</v>
      </c>
      <c r="D994" s="2">
        <v>2004</v>
      </c>
      <c r="E994" s="2" t="s">
        <v>4784</v>
      </c>
      <c r="G994" s="2" t="s">
        <v>4785</v>
      </c>
      <c r="H994" s="6" t="s">
        <v>5872</v>
      </c>
      <c r="I994" s="2" t="str" cm="1">
        <f t="array" ref="I994">H994&amp;_xlfn.REGEXEXTRACT(G994,"^(.*?)(?=-page1)")&amp;".pdf"</f>
        <v>https://www.ocf.berkeley.edu/~pkmendez/envsci/projects/2004final/Benigno.pdf</v>
      </c>
      <c r="J994" s="1" t="str">
        <f t="shared" si="16"/>
        <v>https://www.ocf.berkeley.edu/~pkmendez/envsci/projects/2004final/Benigno.pdf</v>
      </c>
      <c r="P994" s="4" t="s">
        <v>9</v>
      </c>
      <c r="Q994" s="4" t="s">
        <v>10</v>
      </c>
    </row>
    <row r="995" spans="1:17" x14ac:dyDescent="0.35">
      <c r="A995" s="2" t="s">
        <v>5884</v>
      </c>
      <c r="B995" s="2" t="s">
        <v>4786</v>
      </c>
      <c r="C995" s="2" t="s">
        <v>4787</v>
      </c>
      <c r="D995" s="2">
        <v>2004</v>
      </c>
      <c r="E995" s="2" t="s">
        <v>4788</v>
      </c>
      <c r="G995" s="2" t="s">
        <v>4789</v>
      </c>
      <c r="H995" s="6" t="s">
        <v>5872</v>
      </c>
      <c r="I995" s="2" t="str" cm="1">
        <f t="array" ref="I995">H995&amp;_xlfn.REGEXEXTRACT(G995,"^(.*?)(?=-page1)")&amp;".pdf"</f>
        <v>https://www.ocf.berkeley.edu/~pkmendez/envsci/projects/2004final/Bhatnagar.pdf</v>
      </c>
      <c r="J995" s="1" t="str">
        <f t="shared" si="16"/>
        <v>https://www.ocf.berkeley.edu/~pkmendez/envsci/projects/2004final/Bhatnagar.pdf</v>
      </c>
      <c r="P995" s="4" t="s">
        <v>9</v>
      </c>
      <c r="Q995" s="4" t="s">
        <v>10</v>
      </c>
    </row>
    <row r="996" spans="1:17" x14ac:dyDescent="0.35">
      <c r="A996" s="2" t="s">
        <v>5884</v>
      </c>
      <c r="B996" s="2" t="s">
        <v>4790</v>
      </c>
      <c r="C996" s="2" t="s">
        <v>4791</v>
      </c>
      <c r="D996" s="2">
        <v>2004</v>
      </c>
      <c r="E996" s="2" t="s">
        <v>4792</v>
      </c>
      <c r="G996" s="2" t="s">
        <v>4793</v>
      </c>
      <c r="H996" s="6" t="s">
        <v>5872</v>
      </c>
      <c r="I996" s="2" t="str" cm="1">
        <f t="array" ref="I996">H996&amp;_xlfn.REGEXEXTRACT(G996,"^(.*?)(?=-page1)")&amp;".pdf"</f>
        <v>https://www.ocf.berkeley.edu/~pkmendez/envsci/projects/2004final/Bhutani.pdf</v>
      </c>
      <c r="J996" s="1" t="str">
        <f t="shared" si="16"/>
        <v>https://www.ocf.berkeley.edu/~pkmendez/envsci/projects/2004final/Bhutani.pdf</v>
      </c>
      <c r="P996" s="4" t="s">
        <v>9</v>
      </c>
      <c r="Q996" s="4" t="s">
        <v>10</v>
      </c>
    </row>
    <row r="997" spans="1:17" x14ac:dyDescent="0.35">
      <c r="A997" s="2" t="s">
        <v>5884</v>
      </c>
      <c r="B997" s="2" t="s">
        <v>4794</v>
      </c>
      <c r="C997" s="2" t="s">
        <v>4795</v>
      </c>
      <c r="D997" s="2">
        <v>2004</v>
      </c>
      <c r="E997" s="2" t="s">
        <v>4796</v>
      </c>
      <c r="G997" s="2" t="s">
        <v>4797</v>
      </c>
      <c r="H997" s="6" t="s">
        <v>5872</v>
      </c>
      <c r="I997" s="2" t="str" cm="1">
        <f t="array" ref="I997">H997&amp;_xlfn.REGEXEXTRACT(G997,"^(.*?)(?=-page1)")&amp;".pdf"</f>
        <v>https://www.ocf.berkeley.edu/~pkmendez/envsci/projects/2004final/Bock.pdf</v>
      </c>
      <c r="J997" s="1" t="str">
        <f t="shared" si="16"/>
        <v>https://www.ocf.berkeley.edu/~pkmendez/envsci/projects/2004final/Bock.pdf</v>
      </c>
      <c r="P997" s="4" t="s">
        <v>9</v>
      </c>
      <c r="Q997" s="4" t="s">
        <v>10</v>
      </c>
    </row>
    <row r="998" spans="1:17" x14ac:dyDescent="0.35">
      <c r="A998" s="2" t="s">
        <v>5884</v>
      </c>
      <c r="B998" s="2" t="s">
        <v>4798</v>
      </c>
      <c r="C998" s="2" t="s">
        <v>4799</v>
      </c>
      <c r="D998" s="2">
        <v>2004</v>
      </c>
      <c r="E998" s="2" t="s">
        <v>4800</v>
      </c>
      <c r="G998" s="2" t="s">
        <v>4801</v>
      </c>
      <c r="H998" s="6" t="s">
        <v>5872</v>
      </c>
      <c r="I998" s="2" t="str" cm="1">
        <f t="array" ref="I998">H998&amp;_xlfn.REGEXEXTRACT(G998,"^(.*?)(?=-page1)")&amp;".pdf"</f>
        <v>https://www.ocf.berkeley.edu/~pkmendez/envsci/projects/2004final/Brining.pdf</v>
      </c>
      <c r="J998" s="1" t="str">
        <f t="shared" si="16"/>
        <v>https://www.ocf.berkeley.edu/~pkmendez/envsci/projects/2004final/Brining.pdf</v>
      </c>
      <c r="P998" s="4" t="s">
        <v>9</v>
      </c>
      <c r="Q998" s="4" t="s">
        <v>10</v>
      </c>
    </row>
    <row r="999" spans="1:17" x14ac:dyDescent="0.35">
      <c r="A999" s="2" t="s">
        <v>5884</v>
      </c>
      <c r="B999" s="2" t="s">
        <v>4802</v>
      </c>
      <c r="C999" s="2" t="s">
        <v>4803</v>
      </c>
      <c r="D999" s="2">
        <v>2004</v>
      </c>
      <c r="E999" s="2" t="s">
        <v>4804</v>
      </c>
      <c r="G999" s="2" t="s">
        <v>4805</v>
      </c>
      <c r="H999" s="6" t="s">
        <v>5872</v>
      </c>
      <c r="I999" s="2" t="str" cm="1">
        <f t="array" ref="I999">H999&amp;_xlfn.REGEXEXTRACT(G999,"^(.*?)(?=-page1)")&amp;".pdf"</f>
        <v>https://www.ocf.berkeley.edu/~pkmendez/envsci/projects/2004final/buckley.pdf</v>
      </c>
      <c r="J999" s="1" t="str">
        <f t="shared" si="16"/>
        <v>https://www.ocf.berkeley.edu/~pkmendez/envsci/projects/2004final/buckley.pdf</v>
      </c>
      <c r="P999" s="4" t="s">
        <v>9</v>
      </c>
      <c r="Q999" s="4" t="s">
        <v>10</v>
      </c>
    </row>
    <row r="1000" spans="1:17" x14ac:dyDescent="0.35">
      <c r="A1000" s="2" t="s">
        <v>5884</v>
      </c>
      <c r="B1000" s="2" t="s">
        <v>4806</v>
      </c>
      <c r="C1000" s="2" t="s">
        <v>4807</v>
      </c>
      <c r="D1000" s="2">
        <v>2004</v>
      </c>
      <c r="E1000" s="2" t="s">
        <v>4808</v>
      </c>
      <c r="G1000" s="2" t="s">
        <v>4809</v>
      </c>
      <c r="H1000" s="6" t="s">
        <v>5872</v>
      </c>
      <c r="I1000" s="2" t="str" cm="1">
        <f t="array" ref="I1000">H1000&amp;_xlfn.REGEXEXTRACT(G1000,"^(.*?)(?=-page1)")&amp;".pdf"</f>
        <v>https://www.ocf.berkeley.edu/~pkmendez/envsci/projects/2004final/Cheng.pdf</v>
      </c>
      <c r="J1000" s="1" t="str">
        <f t="shared" si="16"/>
        <v>https://www.ocf.berkeley.edu/~pkmendez/envsci/projects/2004final/Cheng.pdf</v>
      </c>
      <c r="P1000" s="4" t="s">
        <v>9</v>
      </c>
      <c r="Q1000" s="4" t="s">
        <v>10</v>
      </c>
    </row>
    <row r="1001" spans="1:17" x14ac:dyDescent="0.35">
      <c r="A1001" s="2" t="s">
        <v>5884</v>
      </c>
      <c r="B1001" s="2" t="s">
        <v>4810</v>
      </c>
      <c r="C1001" s="2" t="s">
        <v>4811</v>
      </c>
      <c r="D1001" s="2">
        <v>2004</v>
      </c>
      <c r="E1001" s="2" t="s">
        <v>4812</v>
      </c>
      <c r="G1001" s="2" t="s">
        <v>4813</v>
      </c>
      <c r="H1001" s="6" t="s">
        <v>5872</v>
      </c>
      <c r="I1001" s="2" t="str" cm="1">
        <f t="array" ref="I1001">H1001&amp;_xlfn.REGEXEXTRACT(G1001,"^(.*?)(?=-page1)")&amp;".pdf"</f>
        <v>https://www.ocf.berkeley.edu/~pkmendez/envsci/projects/2004final/Chew.pdf</v>
      </c>
      <c r="J1001" s="1" t="str">
        <f t="shared" si="16"/>
        <v>https://www.ocf.berkeley.edu/~pkmendez/envsci/projects/2004final/Chew.pdf</v>
      </c>
      <c r="P1001" s="4" t="s">
        <v>9</v>
      </c>
      <c r="Q1001" s="4" t="s">
        <v>10</v>
      </c>
    </row>
    <row r="1002" spans="1:17" x14ac:dyDescent="0.35">
      <c r="A1002" s="2" t="s">
        <v>5884</v>
      </c>
      <c r="B1002" s="2" t="s">
        <v>4814</v>
      </c>
      <c r="C1002" s="2" t="s">
        <v>4815</v>
      </c>
      <c r="D1002" s="2">
        <v>2004</v>
      </c>
      <c r="E1002" s="2" t="s">
        <v>4816</v>
      </c>
      <c r="G1002" s="2" t="s">
        <v>4817</v>
      </c>
      <c r="H1002" s="6" t="s">
        <v>5872</v>
      </c>
      <c r="I1002" s="2" t="str" cm="1">
        <f t="array" ref="I1002">H1002&amp;_xlfn.REGEXEXTRACT(G1002,"^(.*?)(?=-page1)")&amp;".pdf"</f>
        <v>https://www.ocf.berkeley.edu/~pkmendez/envsci/projects/2004final/Choy.pdf</v>
      </c>
      <c r="J1002" s="1" t="str">
        <f t="shared" si="16"/>
        <v>https://www.ocf.berkeley.edu/~pkmendez/envsci/projects/2004final/Choy.pdf</v>
      </c>
      <c r="P1002" s="4" t="s">
        <v>9</v>
      </c>
      <c r="Q1002" s="4" t="s">
        <v>10</v>
      </c>
    </row>
    <row r="1003" spans="1:17" x14ac:dyDescent="0.35">
      <c r="A1003" s="2" t="s">
        <v>5884</v>
      </c>
      <c r="B1003" s="2" t="s">
        <v>4818</v>
      </c>
      <c r="C1003" s="2" t="s">
        <v>4819</v>
      </c>
      <c r="D1003" s="2">
        <v>2004</v>
      </c>
      <c r="E1003" s="2" t="s">
        <v>4820</v>
      </c>
      <c r="G1003" s="2" t="s">
        <v>4821</v>
      </c>
      <c r="H1003" s="6" t="s">
        <v>5872</v>
      </c>
      <c r="I1003" s="2" t="str" cm="1">
        <f t="array" ref="I1003">H1003&amp;_xlfn.REGEXEXTRACT(G1003,"^(.*?)(?=-page1)")&amp;".pdf"</f>
        <v>https://www.ocf.berkeley.edu/~pkmendez/envsci/projects/2004final/Conolly.pdf</v>
      </c>
      <c r="J1003" s="1" t="str">
        <f t="shared" si="16"/>
        <v>https://www.ocf.berkeley.edu/~pkmendez/envsci/projects/2004final/Conolly.pdf</v>
      </c>
      <c r="P1003" s="4" t="s">
        <v>9</v>
      </c>
      <c r="Q1003" s="4" t="s">
        <v>10</v>
      </c>
    </row>
    <row r="1004" spans="1:17" x14ac:dyDescent="0.35">
      <c r="A1004" s="2" t="s">
        <v>5884</v>
      </c>
      <c r="B1004" s="2" t="s">
        <v>4822</v>
      </c>
      <c r="C1004" s="2" t="s">
        <v>4823</v>
      </c>
      <c r="D1004" s="2">
        <v>2004</v>
      </c>
      <c r="E1004" s="2" t="s">
        <v>4824</v>
      </c>
      <c r="G1004" s="2" t="s">
        <v>4825</v>
      </c>
      <c r="H1004" s="6" t="s">
        <v>5872</v>
      </c>
      <c r="I1004" s="2" t="str" cm="1">
        <f t="array" ref="I1004">H1004&amp;_xlfn.REGEXEXTRACT(G1004,"^(.*?)(?=-page1)")&amp;".pdf"</f>
        <v>https://www.ocf.berkeley.edu/~pkmendez/envsci/projects/2004final/Davis.pdf</v>
      </c>
      <c r="J1004" s="1" t="str">
        <f t="shared" si="16"/>
        <v>https://www.ocf.berkeley.edu/~pkmendez/envsci/projects/2004final/Davis.pdf</v>
      </c>
      <c r="P1004" s="4" t="s">
        <v>9</v>
      </c>
      <c r="Q1004" s="4" t="s">
        <v>10</v>
      </c>
    </row>
    <row r="1005" spans="1:17" x14ac:dyDescent="0.35">
      <c r="A1005" s="2" t="s">
        <v>5884</v>
      </c>
      <c r="B1005" s="2" t="s">
        <v>4826</v>
      </c>
      <c r="C1005" s="2" t="s">
        <v>4827</v>
      </c>
      <c r="D1005" s="2">
        <v>2004</v>
      </c>
      <c r="E1005" s="2" t="s">
        <v>4828</v>
      </c>
      <c r="G1005" s="2" t="s">
        <v>4829</v>
      </c>
      <c r="H1005" s="6" t="s">
        <v>5872</v>
      </c>
      <c r="I1005" s="2" t="str" cm="1">
        <f t="array" ref="I1005">H1005&amp;_xlfn.REGEXEXTRACT(G1005,"^(.*?)(?=-page1)")&amp;".pdf"</f>
        <v>https://www.ocf.berkeley.edu/~pkmendez/envsci/projects/2004final/Dresser.pdf</v>
      </c>
      <c r="J1005" s="1" t="str">
        <f t="shared" si="16"/>
        <v>https://www.ocf.berkeley.edu/~pkmendez/envsci/projects/2004final/Dresser.pdf</v>
      </c>
      <c r="P1005" s="4" t="s">
        <v>9</v>
      </c>
      <c r="Q1005" s="4" t="s">
        <v>10</v>
      </c>
    </row>
    <row r="1006" spans="1:17" x14ac:dyDescent="0.35">
      <c r="A1006" s="2" t="s">
        <v>5884</v>
      </c>
      <c r="B1006" s="2" t="s">
        <v>4830</v>
      </c>
      <c r="C1006" s="2" t="s">
        <v>4831</v>
      </c>
      <c r="D1006" s="2">
        <v>2004</v>
      </c>
      <c r="E1006" s="2" t="s">
        <v>4832</v>
      </c>
      <c r="G1006" s="2" t="s">
        <v>4833</v>
      </c>
      <c r="H1006" s="6" t="s">
        <v>5872</v>
      </c>
      <c r="I1006" s="2" t="str" cm="1">
        <f t="array" ref="I1006">H1006&amp;_xlfn.REGEXEXTRACT(G1006,"^(.*?)(?=-page1)")&amp;".pdf"</f>
        <v>https://www.ocf.berkeley.edu/~pkmendez/envsci/projects/2004final/Driscoll.pdf</v>
      </c>
      <c r="J1006" s="1" t="str">
        <f t="shared" si="16"/>
        <v>https://www.ocf.berkeley.edu/~pkmendez/envsci/projects/2004final/Driscoll.pdf</v>
      </c>
      <c r="P1006" s="4" t="s">
        <v>9</v>
      </c>
      <c r="Q1006" s="4" t="s">
        <v>10</v>
      </c>
    </row>
    <row r="1007" spans="1:17" x14ac:dyDescent="0.35">
      <c r="A1007" s="2" t="s">
        <v>5884</v>
      </c>
      <c r="B1007" s="2" t="s">
        <v>4834</v>
      </c>
      <c r="C1007" s="2" t="s">
        <v>4835</v>
      </c>
      <c r="D1007" s="2">
        <v>2004</v>
      </c>
      <c r="E1007" s="2" t="s">
        <v>4836</v>
      </c>
      <c r="G1007" s="2" t="s">
        <v>4837</v>
      </c>
      <c r="H1007" s="6" t="s">
        <v>5872</v>
      </c>
      <c r="I1007" s="2" t="str" cm="1">
        <f t="array" ref="I1007">H1007&amp;_xlfn.REGEXEXTRACT(G1007,"^(.*?)(?=-page1)")&amp;".pdf"</f>
        <v>https://www.ocf.berkeley.edu/~pkmendez/envsci/projects/2004final/Eklund.pdf</v>
      </c>
      <c r="J1007" s="1" t="str">
        <f t="shared" si="16"/>
        <v>https://www.ocf.berkeley.edu/~pkmendez/envsci/projects/2004final/Eklund.pdf</v>
      </c>
      <c r="P1007" s="4" t="s">
        <v>9</v>
      </c>
      <c r="Q1007" s="4" t="s">
        <v>10</v>
      </c>
    </row>
    <row r="1008" spans="1:17" x14ac:dyDescent="0.35">
      <c r="A1008" s="2" t="s">
        <v>5884</v>
      </c>
      <c r="B1008" s="2" t="s">
        <v>4838</v>
      </c>
      <c r="C1008" s="2" t="s">
        <v>4839</v>
      </c>
      <c r="D1008" s="2">
        <v>2004</v>
      </c>
      <c r="E1008" s="2" t="s">
        <v>4840</v>
      </c>
      <c r="G1008" s="2" t="s">
        <v>4841</v>
      </c>
      <c r="H1008" s="6" t="s">
        <v>5872</v>
      </c>
      <c r="I1008" s="2" t="str" cm="1">
        <f t="array" ref="I1008">H1008&amp;_xlfn.REGEXEXTRACT(G1008,"^(.*?)(?=-page1)")&amp;".pdf"</f>
        <v>https://www.ocf.berkeley.edu/~pkmendez/envsci/projects/2004final/Fischer.pdf</v>
      </c>
      <c r="J1008" s="1" t="str">
        <f t="shared" si="16"/>
        <v>https://www.ocf.berkeley.edu/~pkmendez/envsci/projects/2004final/Fischer.pdf</v>
      </c>
      <c r="P1008" s="4" t="s">
        <v>9</v>
      </c>
      <c r="Q1008" s="4" t="s">
        <v>10</v>
      </c>
    </row>
    <row r="1009" spans="1:17" x14ac:dyDescent="0.35">
      <c r="A1009" s="2" t="s">
        <v>5884</v>
      </c>
      <c r="B1009" s="2" t="s">
        <v>4842</v>
      </c>
      <c r="C1009" s="2" t="s">
        <v>4843</v>
      </c>
      <c r="D1009" s="2">
        <v>2004</v>
      </c>
      <c r="E1009" s="2" t="s">
        <v>4844</v>
      </c>
      <c r="G1009" s="2" t="s">
        <v>4845</v>
      </c>
      <c r="H1009" s="6" t="s">
        <v>5872</v>
      </c>
      <c r="I1009" s="2" t="str" cm="1">
        <f t="array" ref="I1009">H1009&amp;_xlfn.REGEXEXTRACT(G1009,"^(.*?)(?=-page1)")&amp;".pdf"</f>
        <v>https://www.ocf.berkeley.edu/~pkmendez/envsci/projects/2004final/Frankel.pdf</v>
      </c>
      <c r="J1009" s="1" t="str">
        <f t="shared" si="16"/>
        <v>https://www.ocf.berkeley.edu/~pkmendez/envsci/projects/2004final/Frankel.pdf</v>
      </c>
      <c r="P1009" s="4" t="s">
        <v>9</v>
      </c>
      <c r="Q1009" s="4" t="s">
        <v>10</v>
      </c>
    </row>
    <row r="1010" spans="1:17" x14ac:dyDescent="0.35">
      <c r="A1010" s="2" t="s">
        <v>5884</v>
      </c>
      <c r="B1010" s="2" t="s">
        <v>4846</v>
      </c>
      <c r="C1010" s="2" t="s">
        <v>4847</v>
      </c>
      <c r="D1010" s="2">
        <v>2004</v>
      </c>
      <c r="E1010" s="2" t="s">
        <v>4848</v>
      </c>
      <c r="G1010" s="2" t="s">
        <v>4849</v>
      </c>
      <c r="H1010" s="6" t="s">
        <v>5872</v>
      </c>
      <c r="I1010" s="2" t="str" cm="1">
        <f t="array" ref="I1010">H1010&amp;_xlfn.REGEXEXTRACT(G1010,"^(.*?)(?=-page1)")&amp;".pdf"</f>
        <v>https://www.ocf.berkeley.edu/~pkmendez/envsci/projects/2004final/Fuller.pdf</v>
      </c>
      <c r="J1010" s="1" t="str">
        <f t="shared" si="16"/>
        <v>https://www.ocf.berkeley.edu/~pkmendez/envsci/projects/2004final/Fuller.pdf</v>
      </c>
      <c r="P1010" s="4" t="s">
        <v>9</v>
      </c>
      <c r="Q1010" s="4" t="s">
        <v>10</v>
      </c>
    </row>
    <row r="1011" spans="1:17" x14ac:dyDescent="0.35">
      <c r="A1011" s="2" t="s">
        <v>5884</v>
      </c>
      <c r="B1011" s="2" t="s">
        <v>4850</v>
      </c>
      <c r="C1011" s="2" t="s">
        <v>4851</v>
      </c>
      <c r="D1011" s="2">
        <v>2004</v>
      </c>
      <c r="E1011" s="2" t="s">
        <v>4852</v>
      </c>
      <c r="G1011" s="2" t="s">
        <v>4853</v>
      </c>
      <c r="H1011" s="6" t="s">
        <v>5872</v>
      </c>
      <c r="I1011" s="2" t="str" cm="1">
        <f t="array" ref="I1011">H1011&amp;_xlfn.REGEXEXTRACT(G1011,"^(.*?)(?=-page1)")&amp;".pdf"</f>
        <v>https://www.ocf.berkeley.edu/~pkmendez/envsci/projects/2004final/gosh.pdf</v>
      </c>
      <c r="J1011" s="1" t="str">
        <f t="shared" si="16"/>
        <v>https://www.ocf.berkeley.edu/~pkmendez/envsci/projects/2004final/gosh.pdf</v>
      </c>
      <c r="P1011" s="4" t="s">
        <v>9</v>
      </c>
      <c r="Q1011" s="4" t="s">
        <v>10</v>
      </c>
    </row>
    <row r="1012" spans="1:17" x14ac:dyDescent="0.35">
      <c r="A1012" s="2" t="s">
        <v>5884</v>
      </c>
      <c r="B1012" s="2" t="s">
        <v>4854</v>
      </c>
      <c r="C1012" s="2" t="s">
        <v>4855</v>
      </c>
      <c r="D1012" s="2">
        <v>2004</v>
      </c>
      <c r="E1012" s="2" t="s">
        <v>4856</v>
      </c>
      <c r="G1012" s="2" t="s">
        <v>4857</v>
      </c>
      <c r="H1012" s="6" t="s">
        <v>5872</v>
      </c>
      <c r="I1012" s="2" t="str" cm="1">
        <f t="array" ref="I1012">H1012&amp;_xlfn.REGEXEXTRACT(G1012,"^(.*?)(?=-page1)")&amp;".pdf"</f>
        <v>https://www.ocf.berkeley.edu/~pkmendez/envsci/projects/2004final/Grab.pdf</v>
      </c>
      <c r="J1012" s="1" t="str">
        <f t="shared" si="16"/>
        <v>https://www.ocf.berkeley.edu/~pkmendez/envsci/projects/2004final/Grab.pdf</v>
      </c>
      <c r="P1012" s="4" t="s">
        <v>9</v>
      </c>
      <c r="Q1012" s="4" t="s">
        <v>10</v>
      </c>
    </row>
    <row r="1013" spans="1:17" x14ac:dyDescent="0.35">
      <c r="A1013" s="2" t="s">
        <v>5884</v>
      </c>
      <c r="B1013" s="2" t="s">
        <v>4858</v>
      </c>
      <c r="C1013" s="2" t="s">
        <v>4859</v>
      </c>
      <c r="D1013" s="2">
        <v>2004</v>
      </c>
      <c r="E1013" s="2" t="s">
        <v>4860</v>
      </c>
      <c r="G1013" s="2" t="s">
        <v>4861</v>
      </c>
      <c r="H1013" s="6" t="s">
        <v>5872</v>
      </c>
      <c r="I1013" s="2" t="str" cm="1">
        <f t="array" ref="I1013">H1013&amp;_xlfn.REGEXEXTRACT(G1013,"^(.*?)(?=-page1)")&amp;".pdf"</f>
        <v>https://www.ocf.berkeley.edu/~pkmendez/envsci/projects/2004final/Grigsby.pdf</v>
      </c>
      <c r="J1013" s="1" t="str">
        <f t="shared" si="16"/>
        <v>https://www.ocf.berkeley.edu/~pkmendez/envsci/projects/2004final/Grigsby.pdf</v>
      </c>
      <c r="P1013" s="4" t="s">
        <v>9</v>
      </c>
      <c r="Q1013" s="4" t="s">
        <v>10</v>
      </c>
    </row>
    <row r="1014" spans="1:17" x14ac:dyDescent="0.35">
      <c r="A1014" s="2" t="s">
        <v>5884</v>
      </c>
      <c r="B1014" s="2" t="s">
        <v>4862</v>
      </c>
      <c r="C1014" s="2" t="s">
        <v>4863</v>
      </c>
      <c r="D1014" s="2">
        <v>2004</v>
      </c>
      <c r="E1014" s="2" t="s">
        <v>4864</v>
      </c>
      <c r="G1014" s="2" t="s">
        <v>4865</v>
      </c>
      <c r="H1014" s="6" t="s">
        <v>5872</v>
      </c>
      <c r="I1014" s="2" t="str" cm="1">
        <f t="array" ref="I1014">H1014&amp;_xlfn.REGEXEXTRACT(G1014,"^(.*?)(?=-page1)")&amp;".pdf"</f>
        <v>https://www.ocf.berkeley.edu/~pkmendez/envsci/projects/2004final/Hendrick.pdf</v>
      </c>
      <c r="J1014" s="1" t="str">
        <f t="shared" si="16"/>
        <v>https://www.ocf.berkeley.edu/~pkmendez/envsci/projects/2004final/Hendrick.pdf</v>
      </c>
      <c r="P1014" s="4" t="s">
        <v>9</v>
      </c>
      <c r="Q1014" s="4" t="s">
        <v>10</v>
      </c>
    </row>
    <row r="1015" spans="1:17" x14ac:dyDescent="0.35">
      <c r="A1015" s="2" t="s">
        <v>5884</v>
      </c>
      <c r="B1015" s="2" t="s">
        <v>4866</v>
      </c>
      <c r="C1015" s="2" t="s">
        <v>4867</v>
      </c>
      <c r="D1015" s="2">
        <v>2004</v>
      </c>
      <c r="E1015" s="2" t="s">
        <v>4868</v>
      </c>
      <c r="G1015" s="2" t="s">
        <v>4869</v>
      </c>
      <c r="H1015" s="6" t="s">
        <v>5872</v>
      </c>
      <c r="I1015" s="2" t="str" cm="1">
        <f t="array" ref="I1015">H1015&amp;_xlfn.REGEXEXTRACT(G1015,"^(.*?)(?=-page1)")&amp;".pdf"</f>
        <v>https://www.ocf.berkeley.edu/~pkmendez/envsci/projects/2004final/Hogan.pdf</v>
      </c>
      <c r="J1015" s="1" t="str">
        <f t="shared" si="16"/>
        <v>https://www.ocf.berkeley.edu/~pkmendez/envsci/projects/2004final/Hogan.pdf</v>
      </c>
      <c r="P1015" s="4" t="s">
        <v>9</v>
      </c>
      <c r="Q1015" s="4" t="s">
        <v>10</v>
      </c>
    </row>
    <row r="1016" spans="1:17" x14ac:dyDescent="0.35">
      <c r="A1016" s="2" t="s">
        <v>5884</v>
      </c>
      <c r="B1016" s="2" t="s">
        <v>4870</v>
      </c>
      <c r="C1016" s="2" t="s">
        <v>4871</v>
      </c>
      <c r="D1016" s="2">
        <v>2004</v>
      </c>
      <c r="E1016" s="2" t="s">
        <v>4872</v>
      </c>
      <c r="G1016" s="2" t="s">
        <v>4873</v>
      </c>
      <c r="H1016" s="6" t="s">
        <v>5872</v>
      </c>
      <c r="I1016" s="2" t="str" cm="1">
        <f t="array" ref="I1016">H1016&amp;_xlfn.REGEXEXTRACT(G1016,"^(.*?)(?=-page1)")&amp;".pdf"</f>
        <v>https://www.ocf.berkeley.edu/~pkmendez/envsci/projects/2004final/Ip.pdf</v>
      </c>
      <c r="J1016" s="1" t="str">
        <f t="shared" si="16"/>
        <v>https://www.ocf.berkeley.edu/~pkmendez/envsci/projects/2004final/Ip.pdf</v>
      </c>
      <c r="P1016" s="4" t="s">
        <v>9</v>
      </c>
      <c r="Q1016" s="4" t="s">
        <v>10</v>
      </c>
    </row>
    <row r="1017" spans="1:17" x14ac:dyDescent="0.35">
      <c r="A1017" s="2" t="s">
        <v>5884</v>
      </c>
      <c r="B1017" s="2" t="s">
        <v>4874</v>
      </c>
      <c r="C1017" s="2" t="s">
        <v>4875</v>
      </c>
      <c r="D1017" s="2">
        <v>2004</v>
      </c>
      <c r="E1017" s="2" t="s">
        <v>4876</v>
      </c>
      <c r="G1017" s="2" t="s">
        <v>4877</v>
      </c>
      <c r="H1017" s="6" t="s">
        <v>5872</v>
      </c>
      <c r="I1017" s="2" t="str" cm="1">
        <f t="array" ref="I1017">H1017&amp;_xlfn.REGEXEXTRACT(G1017,"^(.*?)(?=-page1)")&amp;".pdf"</f>
        <v>https://www.ocf.berkeley.edu/~pkmendez/envsci/projects/2004final/Iqbal.pdf</v>
      </c>
      <c r="J1017" s="1" t="str">
        <f t="shared" si="16"/>
        <v>https://www.ocf.berkeley.edu/~pkmendez/envsci/projects/2004final/Iqbal.pdf</v>
      </c>
      <c r="P1017" s="4" t="s">
        <v>9</v>
      </c>
      <c r="Q1017" s="4" t="s">
        <v>10</v>
      </c>
    </row>
    <row r="1018" spans="1:17" x14ac:dyDescent="0.35">
      <c r="A1018" s="2" t="s">
        <v>5884</v>
      </c>
      <c r="B1018" s="2" t="s">
        <v>4878</v>
      </c>
      <c r="C1018" s="2" t="s">
        <v>4879</v>
      </c>
      <c r="D1018" s="2">
        <v>2004</v>
      </c>
      <c r="E1018" s="2" t="s">
        <v>4880</v>
      </c>
      <c r="G1018" s="2" t="s">
        <v>4881</v>
      </c>
      <c r="H1018" s="6" t="s">
        <v>5872</v>
      </c>
      <c r="I1018" s="2" t="str" cm="1">
        <f t="array" ref="I1018">H1018&amp;_xlfn.REGEXEXTRACT(G1018,"^(.*?)(?=-page1)")&amp;".pdf"</f>
        <v>https://www.ocf.berkeley.edu/~pkmendez/envsci/projects/2004final/Ishone.pdf</v>
      </c>
      <c r="J1018" s="1" t="str">
        <f t="shared" si="16"/>
        <v>https://www.ocf.berkeley.edu/~pkmendez/envsci/projects/2004final/Ishone.pdf</v>
      </c>
      <c r="P1018" s="4" t="s">
        <v>9</v>
      </c>
      <c r="Q1018" s="4" t="s">
        <v>10</v>
      </c>
    </row>
    <row r="1019" spans="1:17" x14ac:dyDescent="0.35">
      <c r="A1019" s="2" t="s">
        <v>5884</v>
      </c>
      <c r="B1019" s="2" t="s">
        <v>4882</v>
      </c>
      <c r="C1019" s="2" t="s">
        <v>4883</v>
      </c>
      <c r="D1019" s="2">
        <v>2004</v>
      </c>
      <c r="E1019" s="2" t="s">
        <v>4884</v>
      </c>
      <c r="G1019" s="2" t="s">
        <v>4673</v>
      </c>
      <c r="H1019" s="6" t="s">
        <v>5872</v>
      </c>
      <c r="I1019" s="2" t="str" cm="1">
        <f t="array" ref="I1019">H1019&amp;_xlfn.REGEXEXTRACT(G1019,"^(.*?)(?=-page1)")&amp;".pdf"</f>
        <v>https://www.ocf.berkeley.edu/~pkmendez/envsci/projects/2004final/Jones.pdf</v>
      </c>
      <c r="J1019" s="1" t="str">
        <f t="shared" si="16"/>
        <v>https://www.ocf.berkeley.edu/~pkmendez/envsci/projects/2004final/Jones.pdf</v>
      </c>
      <c r="P1019" s="4" t="s">
        <v>9</v>
      </c>
      <c r="Q1019" s="4" t="s">
        <v>10</v>
      </c>
    </row>
    <row r="1020" spans="1:17" x14ac:dyDescent="0.35">
      <c r="A1020" s="2" t="s">
        <v>5884</v>
      </c>
      <c r="B1020" s="2" t="s">
        <v>4885</v>
      </c>
      <c r="C1020" s="2" t="s">
        <v>4886</v>
      </c>
      <c r="D1020" s="2">
        <v>2004</v>
      </c>
      <c r="E1020" s="2" t="s">
        <v>4887</v>
      </c>
      <c r="G1020" s="2" t="s">
        <v>4888</v>
      </c>
      <c r="H1020" s="6" t="s">
        <v>5872</v>
      </c>
      <c r="I1020" s="2" t="str" cm="1">
        <f t="array" ref="I1020">H1020&amp;_xlfn.REGEXEXTRACT(G1020,"^(.*?)(?=-page1)")&amp;".pdf"</f>
        <v>https://www.ocf.berkeley.edu/~pkmendez/envsci/projects/2004final/Kanai.pdf</v>
      </c>
      <c r="J1020" s="1" t="str">
        <f t="shared" si="16"/>
        <v>https://www.ocf.berkeley.edu/~pkmendez/envsci/projects/2004final/Kanai.pdf</v>
      </c>
      <c r="P1020" s="4" t="s">
        <v>9</v>
      </c>
      <c r="Q1020" s="4" t="s">
        <v>10</v>
      </c>
    </row>
    <row r="1021" spans="1:17" x14ac:dyDescent="0.35">
      <c r="A1021" s="2" t="s">
        <v>5884</v>
      </c>
      <c r="B1021" s="2" t="s">
        <v>4889</v>
      </c>
      <c r="C1021" s="2" t="s">
        <v>4890</v>
      </c>
      <c r="D1021" s="2">
        <v>2004</v>
      </c>
      <c r="E1021" s="2" t="s">
        <v>4891</v>
      </c>
      <c r="G1021" s="2" t="s">
        <v>4892</v>
      </c>
      <c r="H1021" s="6" t="s">
        <v>5872</v>
      </c>
      <c r="I1021" s="2" t="str" cm="1">
        <f t="array" ref="I1021">H1021&amp;_xlfn.REGEXEXTRACT(G1021,"^(.*?)(?=-page1)")&amp;".pdf"</f>
        <v>https://www.ocf.berkeley.edu/~pkmendez/envsci/projects/2004final/Keck.pdf</v>
      </c>
      <c r="J1021" s="1" t="str">
        <f t="shared" si="16"/>
        <v>https://www.ocf.berkeley.edu/~pkmendez/envsci/projects/2004final/Keck.pdf</v>
      </c>
      <c r="P1021" s="4" t="s">
        <v>9</v>
      </c>
      <c r="Q1021" s="4" t="s">
        <v>10</v>
      </c>
    </row>
    <row r="1022" spans="1:17" x14ac:dyDescent="0.35">
      <c r="A1022" s="2" t="s">
        <v>5884</v>
      </c>
      <c r="B1022" s="2" t="s">
        <v>4893</v>
      </c>
      <c r="C1022" s="2" t="s">
        <v>4894</v>
      </c>
      <c r="D1022" s="2">
        <v>2004</v>
      </c>
      <c r="E1022" s="2" t="s">
        <v>4895</v>
      </c>
      <c r="G1022" s="2" t="s">
        <v>4896</v>
      </c>
      <c r="H1022" s="6" t="s">
        <v>5872</v>
      </c>
      <c r="I1022" s="2" t="str" cm="1">
        <f t="array" ref="I1022">H1022&amp;_xlfn.REGEXEXTRACT(G1022,"^(.*?)(?=-page1)")&amp;".pdf"</f>
        <v>https://www.ocf.berkeley.edu/~pkmendez/envsci/projects/2004final/Kim frontpage.pdf</v>
      </c>
      <c r="J1022" s="1" t="str">
        <f t="shared" si="16"/>
        <v>https://www.ocf.berkeley.edu/~pkmendez/envsci/projects/2004final/Kim frontpage.pdf</v>
      </c>
      <c r="P1022" s="4" t="s">
        <v>9</v>
      </c>
      <c r="Q1022" s="4" t="s">
        <v>10</v>
      </c>
    </row>
    <row r="1023" spans="1:17" x14ac:dyDescent="0.35">
      <c r="A1023" s="2" t="s">
        <v>5884</v>
      </c>
      <c r="B1023" s="2" t="s">
        <v>4897</v>
      </c>
      <c r="C1023" s="2" t="s">
        <v>4898</v>
      </c>
      <c r="D1023" s="2">
        <v>2004</v>
      </c>
      <c r="E1023" s="2" t="s">
        <v>4899</v>
      </c>
      <c r="G1023" s="2" t="s">
        <v>4900</v>
      </c>
      <c r="H1023" s="6" t="s">
        <v>5872</v>
      </c>
      <c r="I1023" s="2" t="str" cm="1">
        <f t="array" ref="I1023">H1023&amp;_xlfn.REGEXEXTRACT(G1023,"^(.*?)(?=-page1)")&amp;".pdf"</f>
        <v>https://www.ocf.berkeley.edu/~pkmendez/envsci/projects/2004final/Krompholz.pdf</v>
      </c>
      <c r="J1023" s="1" t="str">
        <f t="shared" si="16"/>
        <v>https://www.ocf.berkeley.edu/~pkmendez/envsci/projects/2004final/Krompholz.pdf</v>
      </c>
      <c r="P1023" s="4" t="s">
        <v>9</v>
      </c>
      <c r="Q1023" s="4" t="s">
        <v>10</v>
      </c>
    </row>
    <row r="1024" spans="1:17" x14ac:dyDescent="0.35">
      <c r="A1024" s="2" t="s">
        <v>5884</v>
      </c>
      <c r="B1024" s="2" t="s">
        <v>4901</v>
      </c>
      <c r="C1024" s="2" t="s">
        <v>4902</v>
      </c>
      <c r="D1024" s="2">
        <v>2004</v>
      </c>
      <c r="E1024" s="2" t="s">
        <v>4903</v>
      </c>
      <c r="G1024" s="2" t="s">
        <v>4904</v>
      </c>
      <c r="H1024" s="6" t="s">
        <v>5872</v>
      </c>
      <c r="I1024" s="2" t="str" cm="1">
        <f t="array" ref="I1024">H1024&amp;_xlfn.REGEXEXTRACT(G1024,"^(.*?)(?=-page1)")&amp;".pdf"</f>
        <v>https://www.ocf.berkeley.edu/~pkmendez/envsci/projects/2004final/Lee.pdf</v>
      </c>
      <c r="J1024" s="1" t="str">
        <f t="shared" si="16"/>
        <v>https://www.ocf.berkeley.edu/~pkmendez/envsci/projects/2004final/Lee.pdf</v>
      </c>
      <c r="P1024" s="4" t="s">
        <v>9</v>
      </c>
      <c r="Q1024" s="4" t="s">
        <v>10</v>
      </c>
    </row>
    <row r="1025" spans="1:17" x14ac:dyDescent="0.35">
      <c r="A1025" s="2" t="s">
        <v>5884</v>
      </c>
      <c r="B1025" s="2" t="s">
        <v>4905</v>
      </c>
      <c r="C1025" s="2" t="s">
        <v>4906</v>
      </c>
      <c r="D1025" s="2">
        <v>2004</v>
      </c>
      <c r="E1025" s="2" t="s">
        <v>4907</v>
      </c>
      <c r="G1025" s="2" t="s">
        <v>4908</v>
      </c>
      <c r="H1025" s="6" t="s">
        <v>5872</v>
      </c>
      <c r="I1025" s="2" t="str" cm="1">
        <f t="array" ref="I1025">H1025&amp;_xlfn.REGEXEXTRACT(G1025,"^(.*?)(?=-page1)")&amp;".pdf"</f>
        <v>https://www.ocf.berkeley.edu/~pkmendez/envsci/projects/2004final/Levine.pdf</v>
      </c>
      <c r="J1025" s="1" t="str">
        <f t="shared" si="16"/>
        <v>https://www.ocf.berkeley.edu/~pkmendez/envsci/projects/2004final/Levine.pdf</v>
      </c>
      <c r="P1025" s="4" t="s">
        <v>9</v>
      </c>
      <c r="Q1025" s="4" t="s">
        <v>10</v>
      </c>
    </row>
    <row r="1026" spans="1:17" x14ac:dyDescent="0.35">
      <c r="A1026" s="2" t="s">
        <v>5884</v>
      </c>
      <c r="B1026" s="2" t="s">
        <v>4682</v>
      </c>
      <c r="C1026" s="2" t="s">
        <v>4909</v>
      </c>
      <c r="D1026" s="2">
        <v>2004</v>
      </c>
      <c r="E1026" s="2" t="s">
        <v>4910</v>
      </c>
      <c r="G1026" s="2" t="s">
        <v>4685</v>
      </c>
      <c r="H1026" s="6" t="s">
        <v>5872</v>
      </c>
      <c r="I1026" s="2" t="str" cm="1">
        <f t="array" ref="I1026">H1026&amp;_xlfn.REGEXEXTRACT(G1026,"^(.*?)(?=-page1)")&amp;".pdf"</f>
        <v>https://www.ocf.berkeley.edu/~pkmendez/envsci/projects/2004final/Lim.pdf</v>
      </c>
      <c r="J1026" s="1" t="str">
        <f t="shared" si="16"/>
        <v>https://www.ocf.berkeley.edu/~pkmendez/envsci/projects/2004final/Lim.pdf</v>
      </c>
      <c r="P1026" s="4" t="s">
        <v>9</v>
      </c>
      <c r="Q1026" s="4" t="s">
        <v>10</v>
      </c>
    </row>
    <row r="1027" spans="1:17" x14ac:dyDescent="0.35">
      <c r="A1027" s="2" t="s">
        <v>5884</v>
      </c>
      <c r="B1027" s="2" t="s">
        <v>4911</v>
      </c>
      <c r="C1027" s="2" t="s">
        <v>4912</v>
      </c>
      <c r="D1027" s="2">
        <v>2004</v>
      </c>
      <c r="E1027" s="2" t="s">
        <v>4913</v>
      </c>
      <c r="G1027" s="2" t="s">
        <v>4914</v>
      </c>
      <c r="H1027" s="6" t="s">
        <v>5872</v>
      </c>
      <c r="I1027" s="2" t="str" cm="1">
        <f t="array" ref="I1027">H1027&amp;_xlfn.REGEXEXTRACT(G1027,"^(.*?)(?=-page1)")&amp;".pdf"</f>
        <v>https://www.ocf.berkeley.edu/~pkmendez/envsci/projects/2004final/Mann.pdf</v>
      </c>
      <c r="J1027" s="1" t="str">
        <f t="shared" ref="J1027:J1090" si="17">HYPERLINK(I1027, I1027)</f>
        <v>https://www.ocf.berkeley.edu/~pkmendez/envsci/projects/2004final/Mann.pdf</v>
      </c>
      <c r="P1027" s="4" t="s">
        <v>9</v>
      </c>
      <c r="Q1027" s="4" t="s">
        <v>10</v>
      </c>
    </row>
    <row r="1028" spans="1:17" x14ac:dyDescent="0.35">
      <c r="A1028" s="2" t="s">
        <v>5884</v>
      </c>
      <c r="B1028" s="2" t="s">
        <v>4915</v>
      </c>
      <c r="C1028" s="2" t="s">
        <v>4916</v>
      </c>
      <c r="D1028" s="2">
        <v>2004</v>
      </c>
      <c r="E1028" s="2" t="s">
        <v>4917</v>
      </c>
      <c r="G1028" s="2" t="s">
        <v>4918</v>
      </c>
      <c r="H1028" s="6" t="s">
        <v>5872</v>
      </c>
      <c r="I1028" s="2" t="str" cm="1">
        <f t="array" ref="I1028">H1028&amp;_xlfn.REGEXEXTRACT(G1028,"^(.*?)(?=-page1)")&amp;".pdf"</f>
        <v>https://www.ocf.berkeley.edu/~pkmendez/envsci/projects/2004final/Mendoza.pdf</v>
      </c>
      <c r="J1028" s="1" t="str">
        <f t="shared" si="17"/>
        <v>https://www.ocf.berkeley.edu/~pkmendez/envsci/projects/2004final/Mendoza.pdf</v>
      </c>
      <c r="P1028" s="4" t="s">
        <v>9</v>
      </c>
      <c r="Q1028" s="4" t="s">
        <v>10</v>
      </c>
    </row>
    <row r="1029" spans="1:17" x14ac:dyDescent="0.35">
      <c r="A1029" s="2" t="s">
        <v>5884</v>
      </c>
      <c r="B1029" s="2" t="s">
        <v>4919</v>
      </c>
      <c r="C1029" s="2" t="s">
        <v>4920</v>
      </c>
      <c r="D1029" s="2">
        <v>2004</v>
      </c>
      <c r="E1029" s="2" t="s">
        <v>4921</v>
      </c>
      <c r="G1029" s="2" t="s">
        <v>4922</v>
      </c>
      <c r="H1029" s="6" t="s">
        <v>5872</v>
      </c>
      <c r="I1029" s="2" t="str" cm="1">
        <f t="array" ref="I1029">H1029&amp;_xlfn.REGEXEXTRACT(G1029,"^(.*?)(?=-page1)")&amp;".pdf"</f>
        <v>https://www.ocf.berkeley.edu/~pkmendez/envsci/projects/2004final/Nichols.pdf</v>
      </c>
      <c r="J1029" s="1" t="str">
        <f t="shared" si="17"/>
        <v>https://www.ocf.berkeley.edu/~pkmendez/envsci/projects/2004final/Nichols.pdf</v>
      </c>
      <c r="P1029" s="4" t="s">
        <v>9</v>
      </c>
      <c r="Q1029" s="4" t="s">
        <v>10</v>
      </c>
    </row>
    <row r="1030" spans="1:17" x14ac:dyDescent="0.35">
      <c r="A1030" s="2" t="s">
        <v>5884</v>
      </c>
      <c r="B1030" s="2" t="s">
        <v>4923</v>
      </c>
      <c r="C1030" s="2" t="s">
        <v>4924</v>
      </c>
      <c r="D1030" s="2">
        <v>2004</v>
      </c>
      <c r="E1030" s="2" t="s">
        <v>4925</v>
      </c>
      <c r="G1030" s="2" t="s">
        <v>4926</v>
      </c>
      <c r="H1030" s="6" t="s">
        <v>5872</v>
      </c>
      <c r="I1030" s="2" t="str" cm="1">
        <f t="array" ref="I1030">H1030&amp;_xlfn.REGEXEXTRACT(G1030,"^(.*?)(?=-page1)")&amp;".pdf"</f>
        <v>https://www.ocf.berkeley.edu/~pkmendez/envsci/projects/2004final/Oden.pdf</v>
      </c>
      <c r="J1030" s="1" t="str">
        <f t="shared" si="17"/>
        <v>https://www.ocf.berkeley.edu/~pkmendez/envsci/projects/2004final/Oden.pdf</v>
      </c>
      <c r="P1030" s="4" t="s">
        <v>9</v>
      </c>
      <c r="Q1030" s="4" t="s">
        <v>10</v>
      </c>
    </row>
    <row r="1031" spans="1:17" x14ac:dyDescent="0.35">
      <c r="A1031" s="2" t="s">
        <v>5884</v>
      </c>
      <c r="B1031" s="2" t="s">
        <v>4927</v>
      </c>
      <c r="C1031" s="2" t="s">
        <v>4928</v>
      </c>
      <c r="D1031" s="2">
        <v>2004</v>
      </c>
      <c r="E1031" s="2" t="s">
        <v>4929</v>
      </c>
      <c r="G1031" s="2" t="s">
        <v>4930</v>
      </c>
      <c r="H1031" s="6" t="s">
        <v>5872</v>
      </c>
      <c r="I1031" s="2" t="str" cm="1">
        <f t="array" ref="I1031">H1031&amp;_xlfn.REGEXEXTRACT(G1031,"^(.*?)(?=-page1)")&amp;".pdf"</f>
        <v>https://www.ocf.berkeley.edu/~pkmendez/envsci/projects/2004final/Southwick.pdf</v>
      </c>
      <c r="J1031" s="1" t="str">
        <f t="shared" si="17"/>
        <v>https://www.ocf.berkeley.edu/~pkmendez/envsci/projects/2004final/Southwick.pdf</v>
      </c>
      <c r="P1031" s="4" t="s">
        <v>9</v>
      </c>
      <c r="Q1031" s="4" t="s">
        <v>10</v>
      </c>
    </row>
    <row r="1032" spans="1:17" x14ac:dyDescent="0.35">
      <c r="A1032" s="2" t="s">
        <v>5884</v>
      </c>
      <c r="B1032" s="2" t="s">
        <v>4931</v>
      </c>
      <c r="C1032" s="2" t="s">
        <v>4932</v>
      </c>
      <c r="D1032" s="2">
        <v>2004</v>
      </c>
      <c r="E1032" s="2" t="s">
        <v>4933</v>
      </c>
      <c r="G1032" s="2" t="s">
        <v>4934</v>
      </c>
      <c r="H1032" s="6" t="s">
        <v>5872</v>
      </c>
      <c r="I1032" s="2" t="str" cm="1">
        <f t="array" ref="I1032">H1032&amp;_xlfn.REGEXEXTRACT(G1032,"^(.*?)(?=-page1)")&amp;".pdf"</f>
        <v>https://www.ocf.berkeley.edu/~pkmendez/envsci/projects/2004final/Strailey.pdf</v>
      </c>
      <c r="J1032" s="1" t="str">
        <f t="shared" si="17"/>
        <v>https://www.ocf.berkeley.edu/~pkmendez/envsci/projects/2004final/Strailey.pdf</v>
      </c>
      <c r="P1032" s="4" t="s">
        <v>9</v>
      </c>
      <c r="Q1032" s="4" t="s">
        <v>10</v>
      </c>
    </row>
    <row r="1033" spans="1:17" x14ac:dyDescent="0.35">
      <c r="A1033" s="2" t="s">
        <v>5884</v>
      </c>
      <c r="B1033" s="2" t="s">
        <v>4935</v>
      </c>
      <c r="C1033" s="2" t="s">
        <v>4936</v>
      </c>
      <c r="D1033" s="2">
        <v>2004</v>
      </c>
      <c r="E1033" s="2" t="s">
        <v>4937</v>
      </c>
      <c r="G1033" s="2" t="s">
        <v>4938</v>
      </c>
      <c r="H1033" s="6" t="s">
        <v>5872</v>
      </c>
      <c r="I1033" s="2" t="str" cm="1">
        <f t="array" ref="I1033">H1033&amp;_xlfn.REGEXEXTRACT(G1033,"^(.*?)(?=-page1)")&amp;".pdf"</f>
        <v>https://www.ocf.berkeley.edu/~pkmendez/envsci/projects/2004final/Sun.pdf</v>
      </c>
      <c r="J1033" s="1" t="str">
        <f t="shared" si="17"/>
        <v>https://www.ocf.berkeley.edu/~pkmendez/envsci/projects/2004final/Sun.pdf</v>
      </c>
      <c r="P1033" s="4" t="s">
        <v>9</v>
      </c>
      <c r="Q1033" s="4" t="s">
        <v>10</v>
      </c>
    </row>
    <row r="1034" spans="1:17" x14ac:dyDescent="0.35">
      <c r="A1034" s="2" t="s">
        <v>5884</v>
      </c>
      <c r="B1034" s="2" t="s">
        <v>4939</v>
      </c>
      <c r="C1034" s="2" t="s">
        <v>4940</v>
      </c>
      <c r="D1034" s="2">
        <v>2004</v>
      </c>
      <c r="E1034" s="2" t="s">
        <v>4941</v>
      </c>
      <c r="G1034" s="2" t="s">
        <v>4942</v>
      </c>
      <c r="H1034" s="6" t="s">
        <v>5872</v>
      </c>
      <c r="I1034" s="2" t="str" cm="1">
        <f t="array" ref="I1034">H1034&amp;_xlfn.REGEXEXTRACT(G1034,"^(.*?)(?=-page1)")&amp;".pdf"</f>
        <v>https://www.ocf.berkeley.edu/~pkmendez/envsci/projects/2004final/Taylor_J.pdf</v>
      </c>
      <c r="J1034" s="1" t="str">
        <f t="shared" si="17"/>
        <v>https://www.ocf.berkeley.edu/~pkmendez/envsci/projects/2004final/Taylor_J.pdf</v>
      </c>
      <c r="P1034" s="4" t="s">
        <v>9</v>
      </c>
      <c r="Q1034" s="4" t="s">
        <v>10</v>
      </c>
    </row>
    <row r="1035" spans="1:17" x14ac:dyDescent="0.35">
      <c r="A1035" s="2" t="s">
        <v>5884</v>
      </c>
      <c r="B1035" s="2" t="s">
        <v>4943</v>
      </c>
      <c r="C1035" s="2" t="s">
        <v>4944</v>
      </c>
      <c r="D1035" s="2">
        <v>2004</v>
      </c>
      <c r="E1035" s="2" t="s">
        <v>4945</v>
      </c>
      <c r="G1035" s="2" t="s">
        <v>4946</v>
      </c>
      <c r="H1035" s="6" t="s">
        <v>5872</v>
      </c>
      <c r="I1035" s="2" t="str" cm="1">
        <f t="array" ref="I1035">H1035&amp;_xlfn.REGEXEXTRACT(G1035,"^(.*?)(?=-page1)")&amp;".pdf"</f>
        <v>https://www.ocf.berkeley.edu/~pkmendez/envsci/projects/2004final/Taylor_S.pdf</v>
      </c>
      <c r="J1035" s="1" t="str">
        <f t="shared" si="17"/>
        <v>https://www.ocf.berkeley.edu/~pkmendez/envsci/projects/2004final/Taylor_S.pdf</v>
      </c>
      <c r="P1035" s="4" t="s">
        <v>9</v>
      </c>
      <c r="Q1035" s="4" t="s">
        <v>10</v>
      </c>
    </row>
    <row r="1036" spans="1:17" x14ac:dyDescent="0.35">
      <c r="A1036" s="2" t="s">
        <v>5884</v>
      </c>
      <c r="B1036" s="2" t="s">
        <v>4947</v>
      </c>
      <c r="C1036" s="2" t="s">
        <v>4948</v>
      </c>
      <c r="D1036" s="2">
        <v>2004</v>
      </c>
      <c r="E1036" s="2" t="s">
        <v>4949</v>
      </c>
      <c r="G1036" s="2" t="s">
        <v>4950</v>
      </c>
      <c r="H1036" s="6" t="s">
        <v>5872</v>
      </c>
      <c r="I1036" s="2" t="str" cm="1">
        <f t="array" ref="I1036">H1036&amp;_xlfn.REGEXEXTRACT(G1036,"^(.*?)(?=-page1)")&amp;".pdf"</f>
        <v>https://www.ocf.berkeley.edu/~pkmendez/envsci/projects/2004final/Tung.pdf</v>
      </c>
      <c r="J1036" s="1" t="str">
        <f t="shared" si="17"/>
        <v>https://www.ocf.berkeley.edu/~pkmendez/envsci/projects/2004final/Tung.pdf</v>
      </c>
      <c r="P1036" s="4" t="s">
        <v>9</v>
      </c>
      <c r="Q1036" s="4" t="s">
        <v>10</v>
      </c>
    </row>
    <row r="1037" spans="1:17" x14ac:dyDescent="0.35">
      <c r="A1037" s="2" t="s">
        <v>5884</v>
      </c>
      <c r="B1037" s="2" t="s">
        <v>4951</v>
      </c>
      <c r="C1037" s="2" t="s">
        <v>4952</v>
      </c>
      <c r="D1037" s="2">
        <v>2004</v>
      </c>
      <c r="E1037" s="2" t="s">
        <v>4953</v>
      </c>
      <c r="G1037" s="2" t="s">
        <v>4954</v>
      </c>
      <c r="H1037" s="6" t="s">
        <v>5872</v>
      </c>
      <c r="I1037" s="2" t="str" cm="1">
        <f t="array" ref="I1037">H1037&amp;_xlfn.REGEXEXTRACT(G1037,"^(.*?)(?=-page1)")&amp;".pdf"</f>
        <v>https://www.ocf.berkeley.edu/~pkmendez/envsci/projects/2004final/Ureda.pdf</v>
      </c>
      <c r="J1037" s="1" t="str">
        <f t="shared" si="17"/>
        <v>https://www.ocf.berkeley.edu/~pkmendez/envsci/projects/2004final/Ureda.pdf</v>
      </c>
      <c r="P1037" s="4" t="s">
        <v>9</v>
      </c>
      <c r="Q1037" s="4" t="s">
        <v>10</v>
      </c>
    </row>
    <row r="1038" spans="1:17" x14ac:dyDescent="0.35">
      <c r="A1038" s="2" t="s">
        <v>5884</v>
      </c>
      <c r="B1038" s="2" t="s">
        <v>4955</v>
      </c>
      <c r="C1038" s="2" t="s">
        <v>4956</v>
      </c>
      <c r="D1038" s="2">
        <v>2004</v>
      </c>
      <c r="E1038" s="2" t="s">
        <v>4957</v>
      </c>
      <c r="G1038" s="2" t="s">
        <v>4958</v>
      </c>
      <c r="H1038" s="6" t="s">
        <v>5872</v>
      </c>
      <c r="I1038" s="2" t="str" cm="1">
        <f t="array" ref="I1038">H1038&amp;_xlfn.REGEXEXTRACT(G1038,"^(.*?)(?=-page1)")&amp;".pdf"</f>
        <v>https://www.ocf.berkeley.edu/~pkmendez/envsci/projects/2004final/Walker.pdf</v>
      </c>
      <c r="J1038" s="1" t="str">
        <f t="shared" si="17"/>
        <v>https://www.ocf.berkeley.edu/~pkmendez/envsci/projects/2004final/Walker.pdf</v>
      </c>
      <c r="P1038" s="4" t="s">
        <v>9</v>
      </c>
      <c r="Q1038" s="4" t="s">
        <v>10</v>
      </c>
    </row>
    <row r="1039" spans="1:17" x14ac:dyDescent="0.35">
      <c r="A1039" s="2" t="s">
        <v>5884</v>
      </c>
      <c r="B1039" s="2" t="s">
        <v>4959</v>
      </c>
      <c r="C1039" s="2" t="s">
        <v>4960</v>
      </c>
      <c r="D1039" s="2">
        <v>2004</v>
      </c>
      <c r="E1039" s="2" t="s">
        <v>4961</v>
      </c>
      <c r="G1039" s="2" t="s">
        <v>4962</v>
      </c>
      <c r="H1039" s="6" t="s">
        <v>5872</v>
      </c>
      <c r="I1039" s="2" t="str" cm="1">
        <f t="array" ref="I1039">H1039&amp;_xlfn.REGEXEXTRACT(G1039,"^(.*?)(?=-page1)")&amp;".pdf"</f>
        <v>https://www.ocf.berkeley.edu/~pkmendez/envsci/projects/2004final/Wise.pdf</v>
      </c>
      <c r="J1039" s="1" t="str">
        <f t="shared" si="17"/>
        <v>https://www.ocf.berkeley.edu/~pkmendez/envsci/projects/2004final/Wise.pdf</v>
      </c>
      <c r="P1039" s="4" t="s">
        <v>9</v>
      </c>
      <c r="Q1039" s="4" t="s">
        <v>10</v>
      </c>
    </row>
    <row r="1040" spans="1:17" x14ac:dyDescent="0.35">
      <c r="A1040" s="2" t="s">
        <v>5884</v>
      </c>
      <c r="B1040" s="2" t="s">
        <v>4963</v>
      </c>
      <c r="C1040" s="2" t="s">
        <v>4964</v>
      </c>
      <c r="D1040" s="2">
        <v>2003</v>
      </c>
      <c r="E1040" s="2" t="s">
        <v>4965</v>
      </c>
      <c r="G1040" s="2" t="s">
        <v>4966</v>
      </c>
      <c r="H1040" s="6" t="s">
        <v>5873</v>
      </c>
      <c r="I1040" s="2" t="str" cm="1">
        <f t="array" ref="I1040">H1040&amp;_xlfn.REGEXEXTRACT(G1040,"^(.*?)(?=-page1)")&amp;".pdf"</f>
        <v>https://www.ocf.berkeley.edu/~pkmendez/envsci/projects/2003final/Baker.pdf</v>
      </c>
      <c r="J1040" s="1" t="str">
        <f t="shared" si="17"/>
        <v>https://www.ocf.berkeley.edu/~pkmendez/envsci/projects/2003final/Baker.pdf</v>
      </c>
      <c r="P1040" s="4" t="s">
        <v>9</v>
      </c>
      <c r="Q1040" s="4" t="s">
        <v>10</v>
      </c>
    </row>
    <row r="1041" spans="1:17" x14ac:dyDescent="0.35">
      <c r="A1041" s="2" t="s">
        <v>5884</v>
      </c>
      <c r="B1041" s="2" t="s">
        <v>4967</v>
      </c>
      <c r="C1041" s="2" t="s">
        <v>4968</v>
      </c>
      <c r="D1041" s="2">
        <v>2003</v>
      </c>
      <c r="E1041" s="2" t="s">
        <v>4969</v>
      </c>
      <c r="G1041" s="2" t="s">
        <v>4970</v>
      </c>
      <c r="H1041" s="6" t="s">
        <v>5873</v>
      </c>
      <c r="I1041" s="2" t="str" cm="1">
        <f t="array" ref="I1041">H1041&amp;_xlfn.REGEXEXTRACT(G1041,"^(.*?)(?=-page1)")&amp;".pdf"</f>
        <v>https://www.ocf.berkeley.edu/~pkmendez/envsci/projects/2003final/Canright.pdf</v>
      </c>
      <c r="J1041" s="1" t="str">
        <f t="shared" si="17"/>
        <v>https://www.ocf.berkeley.edu/~pkmendez/envsci/projects/2003final/Canright.pdf</v>
      </c>
      <c r="P1041" s="4" t="s">
        <v>9</v>
      </c>
      <c r="Q1041" s="4" t="s">
        <v>10</v>
      </c>
    </row>
    <row r="1042" spans="1:17" x14ac:dyDescent="0.35">
      <c r="A1042" s="2" t="s">
        <v>5884</v>
      </c>
      <c r="B1042" s="2" t="s">
        <v>4971</v>
      </c>
      <c r="C1042" s="2" t="s">
        <v>4972</v>
      </c>
      <c r="D1042" s="2">
        <v>2003</v>
      </c>
      <c r="E1042" s="2" t="s">
        <v>4973</v>
      </c>
      <c r="G1042" s="2" t="s">
        <v>4974</v>
      </c>
      <c r="H1042" s="6" t="s">
        <v>5873</v>
      </c>
      <c r="I1042" s="2" t="str" cm="1">
        <f t="array" ref="I1042">H1042&amp;_xlfn.REGEXEXTRACT(G1042,"^(.*?)(?=-page1)")&amp;".pdf"</f>
        <v>https://www.ocf.berkeley.edu/~pkmendez/envsci/projects/2003final/Castillo.pdf</v>
      </c>
      <c r="J1042" s="1" t="str">
        <f t="shared" si="17"/>
        <v>https://www.ocf.berkeley.edu/~pkmendez/envsci/projects/2003final/Castillo.pdf</v>
      </c>
      <c r="P1042" s="4" t="s">
        <v>9</v>
      </c>
      <c r="Q1042" s="4" t="s">
        <v>10</v>
      </c>
    </row>
    <row r="1043" spans="1:17" x14ac:dyDescent="0.35">
      <c r="A1043" s="2" t="s">
        <v>5884</v>
      </c>
      <c r="B1043" s="2" t="s">
        <v>4975</v>
      </c>
      <c r="C1043" s="2" t="s">
        <v>4976</v>
      </c>
      <c r="D1043" s="2">
        <v>2003</v>
      </c>
      <c r="E1043" s="2" t="s">
        <v>4977</v>
      </c>
      <c r="G1043" s="2" t="s">
        <v>4978</v>
      </c>
      <c r="H1043" s="6" t="s">
        <v>5873</v>
      </c>
      <c r="I1043" s="2" t="str" cm="1">
        <f t="array" ref="I1043">H1043&amp;_xlfn.REGEXEXTRACT(G1043,"^(.*?)(?=-page1)")&amp;".pdf"</f>
        <v>https://www.ocf.berkeley.edu/~pkmendez/envsci/projects/2003final/Cattani.pdf</v>
      </c>
      <c r="J1043" s="1" t="str">
        <f t="shared" si="17"/>
        <v>https://www.ocf.berkeley.edu/~pkmendez/envsci/projects/2003final/Cattani.pdf</v>
      </c>
      <c r="P1043" s="4" t="s">
        <v>9</v>
      </c>
      <c r="Q1043" s="4" t="s">
        <v>10</v>
      </c>
    </row>
    <row r="1044" spans="1:17" x14ac:dyDescent="0.35">
      <c r="A1044" s="2" t="s">
        <v>5884</v>
      </c>
      <c r="B1044" s="2" t="s">
        <v>4979</v>
      </c>
      <c r="C1044" s="2" t="s">
        <v>4980</v>
      </c>
      <c r="D1044" s="2">
        <v>2003</v>
      </c>
      <c r="E1044" s="2" t="s">
        <v>4981</v>
      </c>
      <c r="G1044" s="2" t="s">
        <v>4982</v>
      </c>
      <c r="H1044" s="6" t="s">
        <v>5873</v>
      </c>
      <c r="I1044" s="2" t="str" cm="1">
        <f t="array" ref="I1044">H1044&amp;_xlfn.REGEXEXTRACT(G1044,"^(.*?)(?=-page1)")&amp;".pdf"</f>
        <v>https://www.ocf.berkeley.edu/~pkmendez/envsci/projects/2003final/Chang.pdf</v>
      </c>
      <c r="J1044" s="1" t="str">
        <f t="shared" si="17"/>
        <v>https://www.ocf.berkeley.edu/~pkmendez/envsci/projects/2003final/Chang.pdf</v>
      </c>
      <c r="P1044" s="4" t="s">
        <v>9</v>
      </c>
      <c r="Q1044" s="4" t="s">
        <v>10</v>
      </c>
    </row>
    <row r="1045" spans="1:17" x14ac:dyDescent="0.35">
      <c r="A1045" s="2" t="s">
        <v>5884</v>
      </c>
      <c r="B1045" s="2" t="s">
        <v>4983</v>
      </c>
      <c r="C1045" s="2" t="s">
        <v>4984</v>
      </c>
      <c r="D1045" s="2">
        <v>2003</v>
      </c>
      <c r="E1045" s="2" t="s">
        <v>4985</v>
      </c>
      <c r="G1045" s="2" t="s">
        <v>4986</v>
      </c>
      <c r="H1045" s="6" t="s">
        <v>5873</v>
      </c>
      <c r="I1045" s="2" t="str" cm="1">
        <f t="array" ref="I1045">H1045&amp;_xlfn.REGEXEXTRACT(G1045,"^(.*?)(?=-page1)")&amp;".pdf"</f>
        <v>https://www.ocf.berkeley.edu/~pkmendez/envsci/projects/2003final/Estudillo.pdf</v>
      </c>
      <c r="J1045" s="1" t="str">
        <f t="shared" si="17"/>
        <v>https://www.ocf.berkeley.edu/~pkmendez/envsci/projects/2003final/Estudillo.pdf</v>
      </c>
      <c r="P1045" s="4" t="s">
        <v>9</v>
      </c>
      <c r="Q1045" s="4" t="s">
        <v>10</v>
      </c>
    </row>
    <row r="1046" spans="1:17" x14ac:dyDescent="0.35">
      <c r="A1046" s="2" t="s">
        <v>5884</v>
      </c>
      <c r="B1046" s="2" t="s">
        <v>4987</v>
      </c>
      <c r="C1046" s="2" t="s">
        <v>4988</v>
      </c>
      <c r="D1046" s="2">
        <v>2003</v>
      </c>
      <c r="E1046" s="2" t="s">
        <v>4989</v>
      </c>
      <c r="G1046" s="2" t="s">
        <v>4990</v>
      </c>
      <c r="H1046" s="6" t="s">
        <v>5873</v>
      </c>
      <c r="I1046" s="2" t="str" cm="1">
        <f t="array" ref="I1046">H1046&amp;_xlfn.REGEXEXTRACT(G1046,"^(.*?)(?=-page1)")&amp;".pdf"</f>
        <v>https://www.ocf.berkeley.edu/~pkmendez/envsci/projects/2003final/Ford.pdf</v>
      </c>
      <c r="J1046" s="1" t="str">
        <f t="shared" si="17"/>
        <v>https://www.ocf.berkeley.edu/~pkmendez/envsci/projects/2003final/Ford.pdf</v>
      </c>
      <c r="P1046" s="4" t="s">
        <v>9</v>
      </c>
      <c r="Q1046" s="4" t="s">
        <v>10</v>
      </c>
    </row>
    <row r="1047" spans="1:17" x14ac:dyDescent="0.35">
      <c r="A1047" s="2" t="s">
        <v>5884</v>
      </c>
      <c r="B1047" s="2" t="s">
        <v>4991</v>
      </c>
      <c r="C1047" s="2" t="s">
        <v>4992</v>
      </c>
      <c r="D1047" s="2">
        <v>2003</v>
      </c>
      <c r="E1047" s="2" t="s">
        <v>4993</v>
      </c>
      <c r="G1047" s="2" t="s">
        <v>4994</v>
      </c>
      <c r="H1047" s="6" t="s">
        <v>5873</v>
      </c>
      <c r="I1047" s="2" t="str" cm="1">
        <f t="array" ref="I1047">H1047&amp;_xlfn.REGEXEXTRACT(G1047,"^(.*?)(?=-page1)")&amp;".pdf"</f>
        <v>https://www.ocf.berkeley.edu/~pkmendez/envsci/projects/2003final/Hanna.pdf</v>
      </c>
      <c r="J1047" s="1" t="str">
        <f t="shared" si="17"/>
        <v>https://www.ocf.berkeley.edu/~pkmendez/envsci/projects/2003final/Hanna.pdf</v>
      </c>
      <c r="P1047" s="4" t="s">
        <v>9</v>
      </c>
      <c r="Q1047" s="4" t="s">
        <v>10</v>
      </c>
    </row>
    <row r="1048" spans="1:17" x14ac:dyDescent="0.35">
      <c r="A1048" s="2" t="s">
        <v>5884</v>
      </c>
      <c r="B1048" s="2" t="s">
        <v>4995</v>
      </c>
      <c r="C1048" s="2" t="s">
        <v>4996</v>
      </c>
      <c r="D1048" s="2">
        <v>2003</v>
      </c>
      <c r="E1048" s="2" t="s">
        <v>4997</v>
      </c>
      <c r="G1048" s="2" t="s">
        <v>4998</v>
      </c>
      <c r="H1048" s="6" t="s">
        <v>5873</v>
      </c>
      <c r="I1048" s="2" t="str" cm="1">
        <f t="array" ref="I1048">H1048&amp;_xlfn.REGEXEXTRACT(G1048,"^(.*?)(?=-page1)")&amp;".pdf"</f>
        <v>https://www.ocf.berkeley.edu/~pkmendez/envsci/projects/2003final/Henkle.pdf</v>
      </c>
      <c r="J1048" s="1" t="str">
        <f t="shared" si="17"/>
        <v>https://www.ocf.berkeley.edu/~pkmendez/envsci/projects/2003final/Henkle.pdf</v>
      </c>
      <c r="P1048" s="4" t="s">
        <v>9</v>
      </c>
      <c r="Q1048" s="4" t="s">
        <v>10</v>
      </c>
    </row>
    <row r="1049" spans="1:17" x14ac:dyDescent="0.35">
      <c r="A1049" s="2" t="s">
        <v>5884</v>
      </c>
      <c r="B1049" s="2" t="s">
        <v>4999</v>
      </c>
      <c r="C1049" s="2" t="s">
        <v>5000</v>
      </c>
      <c r="D1049" s="2">
        <v>2003</v>
      </c>
      <c r="E1049" s="2" t="s">
        <v>5001</v>
      </c>
      <c r="G1049" s="2" t="s">
        <v>5002</v>
      </c>
      <c r="H1049" s="6" t="s">
        <v>5873</v>
      </c>
      <c r="I1049" s="2" t="str" cm="1">
        <f t="array" ref="I1049">H1049&amp;_xlfn.REGEXEXTRACT(G1049,"^(.*?)(?=-page1)")&amp;".pdf"</f>
        <v>https://www.ocf.berkeley.edu/~pkmendez/envsci/projects/2003final/Hirst.pdf</v>
      </c>
      <c r="J1049" s="1" t="str">
        <f t="shared" si="17"/>
        <v>https://www.ocf.berkeley.edu/~pkmendez/envsci/projects/2003final/Hirst.pdf</v>
      </c>
      <c r="P1049" s="4" t="s">
        <v>9</v>
      </c>
      <c r="Q1049" s="4" t="s">
        <v>10</v>
      </c>
    </row>
    <row r="1050" spans="1:17" x14ac:dyDescent="0.35">
      <c r="A1050" s="2" t="s">
        <v>5884</v>
      </c>
      <c r="B1050" s="2" t="s">
        <v>5003</v>
      </c>
      <c r="C1050" s="2" t="s">
        <v>5004</v>
      </c>
      <c r="D1050" s="2">
        <v>2003</v>
      </c>
      <c r="E1050" s="2" t="s">
        <v>5005</v>
      </c>
      <c r="G1050" s="2" t="s">
        <v>5006</v>
      </c>
      <c r="H1050" s="6" t="s">
        <v>5873</v>
      </c>
      <c r="I1050" s="2" t="str" cm="1">
        <f t="array" ref="I1050">H1050&amp;_xlfn.REGEXEXTRACT(G1050,"^(.*?)(?=-page1)")&amp;".pdf"</f>
        <v>https://www.ocf.berkeley.edu/~pkmendez/envsci/projects/2003final/Hoque.pdf</v>
      </c>
      <c r="J1050" s="1" t="str">
        <f t="shared" si="17"/>
        <v>https://www.ocf.berkeley.edu/~pkmendez/envsci/projects/2003final/Hoque.pdf</v>
      </c>
      <c r="P1050" s="4" t="s">
        <v>9</v>
      </c>
      <c r="Q1050" s="4" t="s">
        <v>10</v>
      </c>
    </row>
    <row r="1051" spans="1:17" x14ac:dyDescent="0.35">
      <c r="A1051" s="2" t="s">
        <v>5884</v>
      </c>
      <c r="B1051" s="2" t="s">
        <v>5007</v>
      </c>
      <c r="C1051" s="2" t="s">
        <v>5008</v>
      </c>
      <c r="D1051" s="2">
        <v>2003</v>
      </c>
      <c r="E1051" s="2" t="s">
        <v>5009</v>
      </c>
      <c r="G1051" s="2" t="s">
        <v>4370</v>
      </c>
      <c r="H1051" s="6" t="s">
        <v>5873</v>
      </c>
      <c r="I1051" s="2" t="str" cm="1">
        <f t="array" ref="I1051">H1051&amp;_xlfn.REGEXEXTRACT(G1051,"^(.*?)(?=-page1)")&amp;".pdf"</f>
        <v>https://www.ocf.berkeley.edu/~pkmendez/envsci/projects/2003final/Huang.pdf</v>
      </c>
      <c r="J1051" s="1" t="str">
        <f t="shared" si="17"/>
        <v>https://www.ocf.berkeley.edu/~pkmendez/envsci/projects/2003final/Huang.pdf</v>
      </c>
      <c r="P1051" s="4" t="s">
        <v>9</v>
      </c>
      <c r="Q1051" s="4" t="s">
        <v>10</v>
      </c>
    </row>
    <row r="1052" spans="1:17" x14ac:dyDescent="0.35">
      <c r="A1052" s="2" t="s">
        <v>5884</v>
      </c>
      <c r="B1052" s="2" t="s">
        <v>5010</v>
      </c>
      <c r="C1052" s="2" t="s">
        <v>5011</v>
      </c>
      <c r="D1052" s="2">
        <v>2003</v>
      </c>
      <c r="E1052" s="2" t="s">
        <v>5012</v>
      </c>
      <c r="G1052" s="2" t="s">
        <v>5013</v>
      </c>
      <c r="H1052" s="6" t="s">
        <v>5873</v>
      </c>
      <c r="I1052" s="2" t="str" cm="1">
        <f t="array" ref="I1052">H1052&amp;_xlfn.REGEXEXTRACT(G1052,"^(.*?)(?=-page1)")&amp;".pdf"</f>
        <v>https://www.ocf.berkeley.edu/~pkmendez/envsci/projects/2003final/Jackson.pdf</v>
      </c>
      <c r="J1052" s="1" t="str">
        <f t="shared" si="17"/>
        <v>https://www.ocf.berkeley.edu/~pkmendez/envsci/projects/2003final/Jackson.pdf</v>
      </c>
      <c r="P1052" s="4" t="s">
        <v>9</v>
      </c>
      <c r="Q1052" s="4" t="s">
        <v>10</v>
      </c>
    </row>
    <row r="1053" spans="1:17" x14ac:dyDescent="0.35">
      <c r="A1053" s="2" t="s">
        <v>5884</v>
      </c>
      <c r="B1053" s="2" t="s">
        <v>5014</v>
      </c>
      <c r="C1053" s="2" t="s">
        <v>5015</v>
      </c>
      <c r="D1053" s="2">
        <v>2003</v>
      </c>
      <c r="E1053" s="2" t="s">
        <v>5016</v>
      </c>
      <c r="G1053" s="2" t="s">
        <v>5017</v>
      </c>
      <c r="H1053" s="6" t="s">
        <v>5873</v>
      </c>
      <c r="I1053" s="2" t="str" cm="1">
        <f t="array" ref="I1053">H1053&amp;_xlfn.REGEXEXTRACT(G1053,"^(.*?)(?=-page1)")&amp;".pdf"</f>
        <v>https://www.ocf.berkeley.edu/~pkmendez/envsci/projects/2003final/Keller.pdf</v>
      </c>
      <c r="J1053" s="1" t="str">
        <f t="shared" si="17"/>
        <v>https://www.ocf.berkeley.edu/~pkmendez/envsci/projects/2003final/Keller.pdf</v>
      </c>
      <c r="P1053" s="4" t="s">
        <v>9</v>
      </c>
      <c r="Q1053" s="4" t="s">
        <v>10</v>
      </c>
    </row>
    <row r="1054" spans="1:17" x14ac:dyDescent="0.35">
      <c r="A1054" s="2" t="s">
        <v>5884</v>
      </c>
      <c r="B1054" s="2" t="s">
        <v>5018</v>
      </c>
      <c r="C1054" s="2" t="s">
        <v>5019</v>
      </c>
      <c r="D1054" s="2">
        <v>2003</v>
      </c>
      <c r="E1054" s="2" t="s">
        <v>5020</v>
      </c>
      <c r="G1054" s="2" t="s">
        <v>5021</v>
      </c>
      <c r="H1054" s="6" t="s">
        <v>5873</v>
      </c>
      <c r="I1054" s="2" t="str" cm="1">
        <f t="array" ref="I1054">H1054&amp;_xlfn.REGEXEXTRACT(G1054,"^(.*?)(?=-page1)")&amp;".pdf"</f>
        <v>https://www.ocf.berkeley.edu/~pkmendez/envsci/projects/2003final/Koomas.pdf</v>
      </c>
      <c r="J1054" s="1" t="str">
        <f t="shared" si="17"/>
        <v>https://www.ocf.berkeley.edu/~pkmendez/envsci/projects/2003final/Koomas.pdf</v>
      </c>
      <c r="P1054" s="4" t="s">
        <v>9</v>
      </c>
      <c r="Q1054" s="4" t="s">
        <v>10</v>
      </c>
    </row>
    <row r="1055" spans="1:17" x14ac:dyDescent="0.35">
      <c r="A1055" s="2" t="s">
        <v>5884</v>
      </c>
      <c r="B1055" s="2" t="s">
        <v>5022</v>
      </c>
      <c r="C1055" s="2" t="s">
        <v>5023</v>
      </c>
      <c r="D1055" s="2">
        <v>2003</v>
      </c>
      <c r="E1055" s="2" t="s">
        <v>5024</v>
      </c>
      <c r="G1055" s="2" t="s">
        <v>4904</v>
      </c>
      <c r="H1055" s="6" t="s">
        <v>5873</v>
      </c>
      <c r="I1055" s="2" t="str" cm="1">
        <f t="array" ref="I1055">H1055&amp;_xlfn.REGEXEXTRACT(G1055,"^(.*?)(?=-page1)")&amp;".pdf"</f>
        <v>https://www.ocf.berkeley.edu/~pkmendez/envsci/projects/2003final/Lee.pdf</v>
      </c>
      <c r="J1055" s="1" t="str">
        <f t="shared" si="17"/>
        <v>https://www.ocf.berkeley.edu/~pkmendez/envsci/projects/2003final/Lee.pdf</v>
      </c>
      <c r="P1055" s="4" t="s">
        <v>9</v>
      </c>
      <c r="Q1055" s="4" t="s">
        <v>10</v>
      </c>
    </row>
    <row r="1056" spans="1:17" x14ac:dyDescent="0.35">
      <c r="A1056" s="2" t="s">
        <v>5884</v>
      </c>
      <c r="B1056" s="2" t="s">
        <v>5025</v>
      </c>
      <c r="C1056" s="2" t="s">
        <v>5026</v>
      </c>
      <c r="D1056" s="2">
        <v>2003</v>
      </c>
      <c r="E1056" s="2" t="s">
        <v>5027</v>
      </c>
      <c r="G1056" s="2" t="s">
        <v>5028</v>
      </c>
      <c r="H1056" s="6" t="s">
        <v>5873</v>
      </c>
      <c r="I1056" s="2" t="str" cm="1">
        <f t="array" ref="I1056">H1056&amp;_xlfn.REGEXEXTRACT(G1056,"^(.*?)(?=-page1)")&amp;".pdf"</f>
        <v>https://www.ocf.berkeley.edu/~pkmendez/envsci/projects/2003final/Leong.pdf</v>
      </c>
      <c r="J1056" s="1" t="str">
        <f t="shared" si="17"/>
        <v>https://www.ocf.berkeley.edu/~pkmendez/envsci/projects/2003final/Leong.pdf</v>
      </c>
      <c r="P1056" s="4" t="s">
        <v>9</v>
      </c>
      <c r="Q1056" s="4" t="s">
        <v>10</v>
      </c>
    </row>
    <row r="1057" spans="1:17" x14ac:dyDescent="0.35">
      <c r="A1057" s="2" t="s">
        <v>5884</v>
      </c>
      <c r="B1057" s="2" t="s">
        <v>5029</v>
      </c>
      <c r="C1057" s="2" t="s">
        <v>5030</v>
      </c>
      <c r="D1057" s="2">
        <v>2003</v>
      </c>
      <c r="E1057" s="2" t="s">
        <v>5031</v>
      </c>
      <c r="G1057" s="2" t="s">
        <v>5032</v>
      </c>
      <c r="H1057" s="6" t="s">
        <v>5873</v>
      </c>
      <c r="I1057" s="2" t="str" cm="1">
        <f t="array" ref="I1057">H1057&amp;_xlfn.REGEXEXTRACT(G1057,"^(.*?)(?=-page1)")&amp;".pdf"</f>
        <v>https://www.ocf.berkeley.edu/~pkmendez/envsci/projects/2003final/Levers.pdf</v>
      </c>
      <c r="J1057" s="1" t="str">
        <f t="shared" si="17"/>
        <v>https://www.ocf.berkeley.edu/~pkmendez/envsci/projects/2003final/Levers.pdf</v>
      </c>
      <c r="P1057" s="4" t="s">
        <v>9</v>
      </c>
      <c r="Q1057" s="4" t="s">
        <v>10</v>
      </c>
    </row>
    <row r="1058" spans="1:17" x14ac:dyDescent="0.35">
      <c r="A1058" s="2" t="s">
        <v>5884</v>
      </c>
      <c r="B1058" s="2" t="s">
        <v>5033</v>
      </c>
      <c r="C1058" s="2" t="s">
        <v>5034</v>
      </c>
      <c r="D1058" s="2">
        <v>2003</v>
      </c>
      <c r="E1058" s="2" t="s">
        <v>5035</v>
      </c>
      <c r="G1058" s="2" t="s">
        <v>5036</v>
      </c>
      <c r="H1058" s="6" t="s">
        <v>5873</v>
      </c>
      <c r="I1058" s="2" t="str" cm="1">
        <f t="array" ref="I1058">H1058&amp;_xlfn.REGEXEXTRACT(G1058,"^(.*?)(?=-page1)")&amp;".pdf"</f>
        <v>https://www.ocf.berkeley.edu/~pkmendez/envsci/projects/2003final/Lindsey.pdf</v>
      </c>
      <c r="J1058" s="1" t="str">
        <f t="shared" si="17"/>
        <v>https://www.ocf.berkeley.edu/~pkmendez/envsci/projects/2003final/Lindsey.pdf</v>
      </c>
      <c r="P1058" s="4" t="s">
        <v>9</v>
      </c>
      <c r="Q1058" s="4" t="s">
        <v>10</v>
      </c>
    </row>
    <row r="1059" spans="1:17" x14ac:dyDescent="0.35">
      <c r="A1059" s="2" t="s">
        <v>5884</v>
      </c>
      <c r="B1059" s="2" t="s">
        <v>5037</v>
      </c>
      <c r="C1059" s="2" t="s">
        <v>5038</v>
      </c>
      <c r="D1059" s="2">
        <v>2003</v>
      </c>
      <c r="E1059" s="2" t="s">
        <v>5039</v>
      </c>
      <c r="G1059" s="2" t="s">
        <v>5040</v>
      </c>
      <c r="H1059" s="6" t="s">
        <v>5873</v>
      </c>
      <c r="I1059" s="2" t="str" cm="1">
        <f t="array" ref="I1059">H1059&amp;_xlfn.REGEXEXTRACT(G1059,"^(.*?)(?=-page1)")&amp;".pdf"</f>
        <v>https://www.ocf.berkeley.edu/~pkmendez/envsci/projects/2003final/Martin.pdf</v>
      </c>
      <c r="J1059" s="1" t="str">
        <f t="shared" si="17"/>
        <v>https://www.ocf.berkeley.edu/~pkmendez/envsci/projects/2003final/Martin.pdf</v>
      </c>
      <c r="P1059" s="4" t="s">
        <v>9</v>
      </c>
      <c r="Q1059" s="4" t="s">
        <v>10</v>
      </c>
    </row>
    <row r="1060" spans="1:17" x14ac:dyDescent="0.35">
      <c r="A1060" s="2" t="s">
        <v>5884</v>
      </c>
      <c r="B1060" s="2" t="s">
        <v>5041</v>
      </c>
      <c r="C1060" s="2" t="s">
        <v>5042</v>
      </c>
      <c r="D1060" s="2">
        <v>2003</v>
      </c>
      <c r="E1060" s="2" t="s">
        <v>5043</v>
      </c>
      <c r="G1060" s="2" t="s">
        <v>5044</v>
      </c>
      <c r="H1060" s="6" t="s">
        <v>5873</v>
      </c>
      <c r="I1060" s="2" t="str" cm="1">
        <f t="array" ref="I1060">H1060&amp;_xlfn.REGEXEXTRACT(G1060,"^(.*?)(?=-page1)")&amp;".pdf"</f>
        <v>https://www.ocf.berkeley.edu/~pkmendez/envsci/projects/2003final/Masongsong.pdf</v>
      </c>
      <c r="J1060" s="1" t="str">
        <f t="shared" si="17"/>
        <v>https://www.ocf.berkeley.edu/~pkmendez/envsci/projects/2003final/Masongsong.pdf</v>
      </c>
      <c r="P1060" s="4" t="s">
        <v>9</v>
      </c>
      <c r="Q1060" s="4" t="s">
        <v>10</v>
      </c>
    </row>
    <row r="1061" spans="1:17" x14ac:dyDescent="0.35">
      <c r="A1061" s="2" t="s">
        <v>5884</v>
      </c>
      <c r="B1061" s="2" t="s">
        <v>5045</v>
      </c>
      <c r="C1061" s="2" t="s">
        <v>5046</v>
      </c>
      <c r="D1061" s="2">
        <v>2003</v>
      </c>
      <c r="E1061" s="2" t="s">
        <v>5047</v>
      </c>
      <c r="G1061" s="2" t="s">
        <v>5048</v>
      </c>
      <c r="H1061" s="6" t="s">
        <v>5873</v>
      </c>
      <c r="I1061" s="2" t="str" cm="1">
        <f t="array" ref="I1061">H1061&amp;_xlfn.REGEXEXTRACT(G1061,"^(.*?)(?=-page1)")&amp;".pdf"</f>
        <v>https://www.ocf.berkeley.edu/~pkmendez/envsci/projects/2003final/Massey.pdf</v>
      </c>
      <c r="J1061" s="1" t="str">
        <f t="shared" si="17"/>
        <v>https://www.ocf.berkeley.edu/~pkmendez/envsci/projects/2003final/Massey.pdf</v>
      </c>
      <c r="P1061" s="4" t="s">
        <v>9</v>
      </c>
      <c r="Q1061" s="4" t="s">
        <v>10</v>
      </c>
    </row>
    <row r="1062" spans="1:17" x14ac:dyDescent="0.35">
      <c r="A1062" s="2" t="s">
        <v>5884</v>
      </c>
      <c r="B1062" s="2" t="s">
        <v>5049</v>
      </c>
      <c r="C1062" s="2" t="s">
        <v>5050</v>
      </c>
      <c r="D1062" s="2">
        <v>2003</v>
      </c>
      <c r="E1062" s="2" t="s">
        <v>5051</v>
      </c>
      <c r="G1062" s="2" t="s">
        <v>5052</v>
      </c>
      <c r="H1062" s="6" t="s">
        <v>5873</v>
      </c>
      <c r="I1062" s="2" t="str" cm="1">
        <f t="array" ref="I1062">H1062&amp;_xlfn.REGEXEXTRACT(G1062,"^(.*?)(?=-page1)")&amp;".pdf"</f>
        <v>https://www.ocf.berkeley.edu/~pkmendez/envsci/projects/2003final/Melton.pdf</v>
      </c>
      <c r="J1062" s="1" t="str">
        <f t="shared" si="17"/>
        <v>https://www.ocf.berkeley.edu/~pkmendez/envsci/projects/2003final/Melton.pdf</v>
      </c>
      <c r="P1062" s="4" t="s">
        <v>9</v>
      </c>
      <c r="Q1062" s="4" t="s">
        <v>10</v>
      </c>
    </row>
    <row r="1063" spans="1:17" x14ac:dyDescent="0.35">
      <c r="A1063" s="2" t="s">
        <v>5884</v>
      </c>
      <c r="B1063" s="2" t="s">
        <v>5053</v>
      </c>
      <c r="C1063" s="2" t="s">
        <v>5054</v>
      </c>
      <c r="D1063" s="2">
        <v>2003</v>
      </c>
      <c r="E1063" s="2" t="s">
        <v>5055</v>
      </c>
      <c r="G1063" s="2" t="s">
        <v>5056</v>
      </c>
      <c r="H1063" s="6" t="s">
        <v>5873</v>
      </c>
      <c r="I1063" s="2" t="str" cm="1">
        <f t="array" ref="I1063">H1063&amp;_xlfn.REGEXEXTRACT(G1063,"^(.*?)(?=-page1)")&amp;".pdf"</f>
        <v>https://www.ocf.berkeley.edu/~pkmendez/envsci/projects/2003final/Nelson.pdf</v>
      </c>
      <c r="J1063" s="1" t="str">
        <f t="shared" si="17"/>
        <v>https://www.ocf.berkeley.edu/~pkmendez/envsci/projects/2003final/Nelson.pdf</v>
      </c>
      <c r="P1063" s="4" t="s">
        <v>9</v>
      </c>
      <c r="Q1063" s="4" t="s">
        <v>10</v>
      </c>
    </row>
    <row r="1064" spans="1:17" x14ac:dyDescent="0.35">
      <c r="A1064" s="2" t="s">
        <v>5884</v>
      </c>
      <c r="B1064" s="2" t="s">
        <v>5057</v>
      </c>
      <c r="C1064" s="2" t="s">
        <v>5058</v>
      </c>
      <c r="D1064" s="2">
        <v>2003</v>
      </c>
      <c r="E1064" s="2" t="s">
        <v>5059</v>
      </c>
      <c r="G1064" s="2" t="s">
        <v>5060</v>
      </c>
      <c r="H1064" s="6" t="s">
        <v>5873</v>
      </c>
      <c r="I1064" s="2" t="str" cm="1">
        <f t="array" ref="I1064">H1064&amp;_xlfn.REGEXEXTRACT(G1064,"^(.*?)(?=-page1)")&amp;".pdf"</f>
        <v>https://www.ocf.berkeley.edu/~pkmendez/envsci/projects/2003final/Nys.pdf</v>
      </c>
      <c r="J1064" s="1" t="str">
        <f t="shared" si="17"/>
        <v>https://www.ocf.berkeley.edu/~pkmendez/envsci/projects/2003final/Nys.pdf</v>
      </c>
      <c r="P1064" s="4" t="s">
        <v>9</v>
      </c>
      <c r="Q1064" s="4" t="s">
        <v>10</v>
      </c>
    </row>
    <row r="1065" spans="1:17" x14ac:dyDescent="0.35">
      <c r="A1065" s="2" t="s">
        <v>5884</v>
      </c>
      <c r="B1065" s="2" t="s">
        <v>5061</v>
      </c>
      <c r="C1065" s="2" t="s">
        <v>5062</v>
      </c>
      <c r="D1065" s="2">
        <v>2003</v>
      </c>
      <c r="E1065" s="2" t="s">
        <v>5063</v>
      </c>
      <c r="G1065" s="2" t="s">
        <v>5064</v>
      </c>
      <c r="H1065" s="6" t="s">
        <v>5873</v>
      </c>
      <c r="I1065" s="2" t="str" cm="1">
        <f t="array" ref="I1065">H1065&amp;_xlfn.REGEXEXTRACT(G1065,"^(.*?)(?=-page1)")&amp;".pdf"</f>
        <v>https://www.ocf.berkeley.edu/~pkmendez/envsci/projects/2003final/Rowan.pdf</v>
      </c>
      <c r="J1065" s="1" t="str">
        <f t="shared" si="17"/>
        <v>https://www.ocf.berkeley.edu/~pkmendez/envsci/projects/2003final/Rowan.pdf</v>
      </c>
      <c r="P1065" s="4" t="s">
        <v>9</v>
      </c>
      <c r="Q1065" s="4" t="s">
        <v>10</v>
      </c>
    </row>
    <row r="1066" spans="1:17" x14ac:dyDescent="0.35">
      <c r="A1066" s="2" t="s">
        <v>5884</v>
      </c>
      <c r="B1066" s="2" t="s">
        <v>5065</v>
      </c>
      <c r="C1066" s="2" t="s">
        <v>5066</v>
      </c>
      <c r="D1066" s="2">
        <v>2003</v>
      </c>
      <c r="E1066" s="2" t="s">
        <v>5067</v>
      </c>
      <c r="G1066" s="2" t="s">
        <v>5068</v>
      </c>
      <c r="H1066" s="6" t="s">
        <v>5873</v>
      </c>
      <c r="I1066" s="2" t="str" cm="1">
        <f t="array" ref="I1066">H1066&amp;_xlfn.REGEXEXTRACT(G1066,"^(.*?)(?=-page1)")&amp;".pdf"</f>
        <v>https://www.ocf.berkeley.edu/~pkmendez/envsci/projects/2003final/Sanchez.pdf</v>
      </c>
      <c r="J1066" s="1" t="str">
        <f t="shared" si="17"/>
        <v>https://www.ocf.berkeley.edu/~pkmendez/envsci/projects/2003final/Sanchez.pdf</v>
      </c>
      <c r="P1066" s="4" t="s">
        <v>9</v>
      </c>
      <c r="Q1066" s="4" t="s">
        <v>10</v>
      </c>
    </row>
    <row r="1067" spans="1:17" x14ac:dyDescent="0.35">
      <c r="A1067" s="2" t="s">
        <v>5884</v>
      </c>
      <c r="B1067" s="2" t="s">
        <v>5069</v>
      </c>
      <c r="C1067" s="2" t="s">
        <v>5070</v>
      </c>
      <c r="D1067" s="2">
        <v>2003</v>
      </c>
      <c r="E1067" s="2" t="s">
        <v>5071</v>
      </c>
      <c r="G1067" s="2" t="s">
        <v>5072</v>
      </c>
      <c r="H1067" s="6" t="s">
        <v>5873</v>
      </c>
      <c r="I1067" s="2" t="str" cm="1">
        <f t="array" ref="I1067">H1067&amp;_xlfn.REGEXEXTRACT(G1067,"^(.*?)(?=-page1)")&amp;".pdf"</f>
        <v>https://www.ocf.berkeley.edu/~pkmendez/envsci/projects/2003final/Schwyzer.pdf</v>
      </c>
      <c r="J1067" s="1" t="str">
        <f t="shared" si="17"/>
        <v>https://www.ocf.berkeley.edu/~pkmendez/envsci/projects/2003final/Schwyzer.pdf</v>
      </c>
      <c r="P1067" s="4" t="s">
        <v>9</v>
      </c>
      <c r="Q1067" s="4" t="s">
        <v>10</v>
      </c>
    </row>
    <row r="1068" spans="1:17" x14ac:dyDescent="0.35">
      <c r="A1068" s="2" t="s">
        <v>5884</v>
      </c>
      <c r="B1068" s="2" t="s">
        <v>5073</v>
      </c>
      <c r="C1068" s="2" t="s">
        <v>5074</v>
      </c>
      <c r="D1068" s="2">
        <v>2003</v>
      </c>
      <c r="E1068" s="2" t="s">
        <v>5075</v>
      </c>
      <c r="G1068" s="2" t="s">
        <v>5076</v>
      </c>
      <c r="H1068" s="6" t="s">
        <v>5873</v>
      </c>
      <c r="I1068" s="2" t="str" cm="1">
        <f t="array" ref="I1068">H1068&amp;_xlfn.REGEXEXTRACT(G1068,"^(.*?)(?=-page1)")&amp;".pdf"</f>
        <v>https://www.ocf.berkeley.edu/~pkmendez/envsci/projects/2003final/Skaggs.pdf</v>
      </c>
      <c r="J1068" s="1" t="str">
        <f t="shared" si="17"/>
        <v>https://www.ocf.berkeley.edu/~pkmendez/envsci/projects/2003final/Skaggs.pdf</v>
      </c>
      <c r="P1068" s="4" t="s">
        <v>9</v>
      </c>
      <c r="Q1068" s="4" t="s">
        <v>10</v>
      </c>
    </row>
    <row r="1069" spans="1:17" x14ac:dyDescent="0.35">
      <c r="A1069" s="2" t="s">
        <v>5884</v>
      </c>
      <c r="B1069" s="2" t="s">
        <v>5077</v>
      </c>
      <c r="C1069" s="2" t="s">
        <v>5078</v>
      </c>
      <c r="D1069" s="2">
        <v>2003</v>
      </c>
      <c r="E1069" s="2" t="s">
        <v>5079</v>
      </c>
      <c r="G1069" s="2" t="s">
        <v>5080</v>
      </c>
      <c r="H1069" s="6" t="s">
        <v>5873</v>
      </c>
      <c r="I1069" s="2" t="str" cm="1">
        <f t="array" ref="I1069">H1069&amp;_xlfn.REGEXEXTRACT(G1069,"^(.*?)(?=-page1)")&amp;".pdf"</f>
        <v>https://www.ocf.berkeley.edu/~pkmendez/envsci/projects/2003final/Su.pdf</v>
      </c>
      <c r="J1069" s="1" t="str">
        <f t="shared" si="17"/>
        <v>https://www.ocf.berkeley.edu/~pkmendez/envsci/projects/2003final/Su.pdf</v>
      </c>
      <c r="P1069" s="4" t="s">
        <v>9</v>
      </c>
      <c r="Q1069" s="4" t="s">
        <v>10</v>
      </c>
    </row>
    <row r="1070" spans="1:17" x14ac:dyDescent="0.35">
      <c r="A1070" s="2" t="s">
        <v>5884</v>
      </c>
      <c r="B1070" s="2" t="s">
        <v>5081</v>
      </c>
      <c r="C1070" s="2" t="s">
        <v>5082</v>
      </c>
      <c r="D1070" s="2">
        <v>2003</v>
      </c>
      <c r="E1070" s="2" t="s">
        <v>5083</v>
      </c>
      <c r="G1070" s="2" t="s">
        <v>5084</v>
      </c>
      <c r="H1070" s="6" t="s">
        <v>5873</v>
      </c>
      <c r="I1070" s="2" t="str" cm="1">
        <f t="array" ref="I1070">H1070&amp;_xlfn.REGEXEXTRACT(G1070,"^(.*?)(?=-page1)")&amp;".pdf"</f>
        <v>https://www.ocf.berkeley.edu/~pkmendez/envsci/projects/2003final/Takata.pdf</v>
      </c>
      <c r="J1070" s="1" t="str">
        <f t="shared" si="17"/>
        <v>https://www.ocf.berkeley.edu/~pkmendez/envsci/projects/2003final/Takata.pdf</v>
      </c>
      <c r="P1070" s="4" t="s">
        <v>9</v>
      </c>
      <c r="Q1070" s="4" t="s">
        <v>10</v>
      </c>
    </row>
    <row r="1071" spans="1:17" x14ac:dyDescent="0.35">
      <c r="A1071" s="2" t="s">
        <v>5884</v>
      </c>
      <c r="B1071" s="2" t="s">
        <v>5085</v>
      </c>
      <c r="C1071" s="2" t="s">
        <v>5086</v>
      </c>
      <c r="D1071" s="2">
        <v>2003</v>
      </c>
      <c r="E1071" s="2" t="s">
        <v>5087</v>
      </c>
      <c r="G1071" s="2" t="s">
        <v>5088</v>
      </c>
      <c r="H1071" s="6" t="s">
        <v>5873</v>
      </c>
      <c r="I1071" s="2" t="str" cm="1">
        <f t="array" ref="I1071">H1071&amp;_xlfn.REGEXEXTRACT(G1071,"^(.*?)(?=-page1)")&amp;".pdf"</f>
        <v>https://www.ocf.berkeley.edu/~pkmendez/envsci/projects/2003final/Thomas.pdf</v>
      </c>
      <c r="J1071" s="1" t="str">
        <f t="shared" si="17"/>
        <v>https://www.ocf.berkeley.edu/~pkmendez/envsci/projects/2003final/Thomas.pdf</v>
      </c>
      <c r="P1071" s="4" t="s">
        <v>9</v>
      </c>
      <c r="Q1071" s="4" t="s">
        <v>10</v>
      </c>
    </row>
    <row r="1072" spans="1:17" x14ac:dyDescent="0.35">
      <c r="A1072" s="2" t="s">
        <v>5884</v>
      </c>
      <c r="B1072" s="2" t="s">
        <v>5089</v>
      </c>
      <c r="C1072" s="2" t="s">
        <v>5090</v>
      </c>
      <c r="D1072" s="2">
        <v>2003</v>
      </c>
      <c r="E1072" s="2" t="s">
        <v>5091</v>
      </c>
      <c r="G1072" s="2" t="s">
        <v>5092</v>
      </c>
      <c r="H1072" s="6" t="s">
        <v>5873</v>
      </c>
      <c r="I1072" s="2" t="str" cm="1">
        <f t="array" ref="I1072">H1072&amp;_xlfn.REGEXEXTRACT(G1072,"^(.*?)(?=-page1)")&amp;".pdf"</f>
        <v>https://www.ocf.berkeley.edu/~pkmendez/envsci/projects/2003final/Tse.pdf</v>
      </c>
      <c r="J1072" s="1" t="str">
        <f t="shared" si="17"/>
        <v>https://www.ocf.berkeley.edu/~pkmendez/envsci/projects/2003final/Tse.pdf</v>
      </c>
      <c r="P1072" s="4" t="s">
        <v>9</v>
      </c>
      <c r="Q1072" s="4" t="s">
        <v>10</v>
      </c>
    </row>
    <row r="1073" spans="1:17" x14ac:dyDescent="0.35">
      <c r="A1073" s="2" t="s">
        <v>5884</v>
      </c>
      <c r="B1073" s="2" t="s">
        <v>5093</v>
      </c>
      <c r="C1073" s="2" t="s">
        <v>5094</v>
      </c>
      <c r="D1073" s="2">
        <v>2003</v>
      </c>
      <c r="E1073" s="2" t="s">
        <v>5095</v>
      </c>
      <c r="G1073" s="2" t="s">
        <v>5096</v>
      </c>
      <c r="H1073" s="6" t="s">
        <v>5873</v>
      </c>
      <c r="I1073" s="2" t="str" cm="1">
        <f t="array" ref="I1073">H1073&amp;_xlfn.REGEXEXTRACT(G1073,"^(.*?)(?=-page1)")&amp;".pdf"</f>
        <v>https://www.ocf.berkeley.edu/~pkmendez/envsci/projects/2003final/Wellbrock.pdf</v>
      </c>
      <c r="J1073" s="1" t="str">
        <f t="shared" si="17"/>
        <v>https://www.ocf.berkeley.edu/~pkmendez/envsci/projects/2003final/Wellbrock.pdf</v>
      </c>
      <c r="P1073" s="4" t="s">
        <v>9</v>
      </c>
      <c r="Q1073" s="4" t="s">
        <v>10</v>
      </c>
    </row>
    <row r="1074" spans="1:17" x14ac:dyDescent="0.35">
      <c r="A1074" s="2" t="s">
        <v>5884</v>
      </c>
      <c r="B1074" s="2" t="s">
        <v>5097</v>
      </c>
      <c r="C1074" s="2" t="s">
        <v>5098</v>
      </c>
      <c r="D1074" s="2">
        <v>2003</v>
      </c>
      <c r="E1074" s="2" t="s">
        <v>5099</v>
      </c>
      <c r="G1074" s="2" t="s">
        <v>5100</v>
      </c>
      <c r="H1074" s="6" t="s">
        <v>5873</v>
      </c>
      <c r="I1074" s="2" t="str" cm="1">
        <f t="array" ref="I1074">H1074&amp;_xlfn.REGEXEXTRACT(G1074,"^(.*?)(?=-page1)")&amp;".pdf"</f>
        <v>https://www.ocf.berkeley.edu/~pkmendez/envsci/projects/2003final/Ziehn.pdf</v>
      </c>
      <c r="J1074" s="1" t="str">
        <f t="shared" si="17"/>
        <v>https://www.ocf.berkeley.edu/~pkmendez/envsci/projects/2003final/Ziehn.pdf</v>
      </c>
      <c r="P1074" s="4" t="s">
        <v>9</v>
      </c>
      <c r="Q1074" s="4" t="s">
        <v>10</v>
      </c>
    </row>
    <row r="1075" spans="1:17" x14ac:dyDescent="0.35">
      <c r="A1075" s="2" t="s">
        <v>5884</v>
      </c>
      <c r="B1075" s="2" t="s">
        <v>5101</v>
      </c>
      <c r="C1075" s="2" t="s">
        <v>5102</v>
      </c>
      <c r="D1075" s="2">
        <v>2002</v>
      </c>
      <c r="E1075" s="2" t="s">
        <v>5103</v>
      </c>
      <c r="G1075" s="2" t="s">
        <v>5104</v>
      </c>
      <c r="H1075" s="6" t="s">
        <v>5874</v>
      </c>
      <c r="I1075" s="2" t="str">
        <f>H1075&amp;G1075</f>
        <v>https://www.ocf.berkeley.edu/~pkmendez/envsci/projects/2002final/Burch-page1.pdf</v>
      </c>
      <c r="J1075" s="1" t="str">
        <f t="shared" si="17"/>
        <v>https://www.ocf.berkeley.edu/~pkmendez/envsci/projects/2002final/Burch-page1.pdf</v>
      </c>
      <c r="P1075" s="4" t="s">
        <v>9</v>
      </c>
      <c r="Q1075" s="4" t="s">
        <v>10</v>
      </c>
    </row>
    <row r="1076" spans="1:17" x14ac:dyDescent="0.35">
      <c r="A1076" s="2" t="s">
        <v>5884</v>
      </c>
      <c r="B1076" s="2" t="s">
        <v>5105</v>
      </c>
      <c r="C1076" s="2" t="s">
        <v>5106</v>
      </c>
      <c r="D1076" s="2">
        <v>2002</v>
      </c>
      <c r="E1076" s="2" t="s">
        <v>5107</v>
      </c>
      <c r="G1076" s="2" t="s">
        <v>5108</v>
      </c>
      <c r="H1076" s="6" t="s">
        <v>5874</v>
      </c>
      <c r="I1076" s="2" t="str">
        <f t="shared" ref="I1076:I1107" si="18">H1076&amp;G1076</f>
        <v>https://www.ocf.berkeley.edu/~pkmendez/envsci/projects/2002final/Butler-page1.pdf</v>
      </c>
      <c r="J1076" s="1" t="str">
        <f t="shared" si="17"/>
        <v>https://www.ocf.berkeley.edu/~pkmendez/envsci/projects/2002final/Butler-page1.pdf</v>
      </c>
      <c r="P1076" s="4" t="s">
        <v>9</v>
      </c>
      <c r="Q1076" s="4" t="s">
        <v>10</v>
      </c>
    </row>
    <row r="1077" spans="1:17" x14ac:dyDescent="0.35">
      <c r="A1077" s="2" t="s">
        <v>5884</v>
      </c>
      <c r="B1077" s="2" t="s">
        <v>5109</v>
      </c>
      <c r="C1077" s="2" t="s">
        <v>5110</v>
      </c>
      <c r="D1077" s="2">
        <v>2002</v>
      </c>
      <c r="E1077" s="2" t="s">
        <v>5111</v>
      </c>
      <c r="G1077" s="2" t="s">
        <v>5112</v>
      </c>
      <c r="H1077" s="6" t="s">
        <v>5874</v>
      </c>
      <c r="I1077" s="2" t="str">
        <f t="shared" si="18"/>
        <v>https://www.ocf.berkeley.edu/~pkmendez/envsci/projects/2002final/Chan-page1.pdf</v>
      </c>
      <c r="J1077" s="1" t="str">
        <f t="shared" si="17"/>
        <v>https://www.ocf.berkeley.edu/~pkmendez/envsci/projects/2002final/Chan-page1.pdf</v>
      </c>
      <c r="P1077" s="4" t="s">
        <v>9</v>
      </c>
      <c r="Q1077" s="4" t="s">
        <v>10</v>
      </c>
    </row>
    <row r="1078" spans="1:17" x14ac:dyDescent="0.35">
      <c r="A1078" s="2" t="s">
        <v>5884</v>
      </c>
      <c r="B1078" s="2" t="s">
        <v>5113</v>
      </c>
      <c r="C1078" s="2" t="s">
        <v>5114</v>
      </c>
      <c r="D1078" s="2">
        <v>2002</v>
      </c>
      <c r="E1078" s="2" t="s">
        <v>5115</v>
      </c>
      <c r="G1078" s="2" t="s">
        <v>5116</v>
      </c>
      <c r="H1078" s="6" t="s">
        <v>5874</v>
      </c>
      <c r="I1078" s="2" t="str">
        <f t="shared" si="18"/>
        <v>https://www.ocf.berkeley.edu/~pkmendez/envsci/projects/2002final/Chi-page1.pdf</v>
      </c>
      <c r="J1078" s="1" t="str">
        <f t="shared" si="17"/>
        <v>https://www.ocf.berkeley.edu/~pkmendez/envsci/projects/2002final/Chi-page1.pdf</v>
      </c>
      <c r="P1078" s="4" t="s">
        <v>9</v>
      </c>
      <c r="Q1078" s="4" t="s">
        <v>10</v>
      </c>
    </row>
    <row r="1079" spans="1:17" x14ac:dyDescent="0.35">
      <c r="A1079" s="2" t="s">
        <v>5884</v>
      </c>
      <c r="B1079" s="2" t="s">
        <v>5117</v>
      </c>
      <c r="C1079" s="2" t="s">
        <v>5118</v>
      </c>
      <c r="D1079" s="2">
        <v>2002</v>
      </c>
      <c r="E1079" s="2" t="s">
        <v>5119</v>
      </c>
      <c r="G1079" s="2" t="s">
        <v>5120</v>
      </c>
      <c r="H1079" s="6" t="s">
        <v>5874</v>
      </c>
      <c r="I1079" s="2" t="str">
        <f t="shared" si="18"/>
        <v>https://www.ocf.berkeley.edu/~pkmendez/envsci/projects/2002final/Clauson-page1.pdf</v>
      </c>
      <c r="J1079" s="1" t="str">
        <f t="shared" si="17"/>
        <v>https://www.ocf.berkeley.edu/~pkmendez/envsci/projects/2002final/Clauson-page1.pdf</v>
      </c>
      <c r="P1079" s="4" t="s">
        <v>9</v>
      </c>
      <c r="Q1079" s="4" t="s">
        <v>10</v>
      </c>
    </row>
    <row r="1080" spans="1:17" x14ac:dyDescent="0.35">
      <c r="A1080" s="2" t="s">
        <v>5884</v>
      </c>
      <c r="B1080" s="2" t="s">
        <v>5121</v>
      </c>
      <c r="C1080" s="2" t="s">
        <v>5122</v>
      </c>
      <c r="D1080" s="2">
        <v>2002</v>
      </c>
      <c r="E1080" s="2" t="s">
        <v>5123</v>
      </c>
      <c r="G1080" s="2" t="s">
        <v>5124</v>
      </c>
      <c r="H1080" s="6" t="s">
        <v>5874</v>
      </c>
      <c r="I1080" s="2" t="str">
        <f t="shared" si="18"/>
        <v>https://www.ocf.berkeley.edu/~pkmendez/envsci/projects/2002final/Doughty-page1.pdf</v>
      </c>
      <c r="J1080" s="1" t="str">
        <f t="shared" si="17"/>
        <v>https://www.ocf.berkeley.edu/~pkmendez/envsci/projects/2002final/Doughty-page1.pdf</v>
      </c>
      <c r="P1080" s="4" t="s">
        <v>9</v>
      </c>
      <c r="Q1080" s="4" t="s">
        <v>10</v>
      </c>
    </row>
    <row r="1081" spans="1:17" x14ac:dyDescent="0.35">
      <c r="A1081" s="2" t="s">
        <v>5884</v>
      </c>
      <c r="B1081" s="2" t="s">
        <v>5125</v>
      </c>
      <c r="C1081" s="2" t="s">
        <v>5126</v>
      </c>
      <c r="D1081" s="2">
        <v>2002</v>
      </c>
      <c r="E1081" s="2" t="s">
        <v>5127</v>
      </c>
      <c r="G1081" s="2" t="s">
        <v>5128</v>
      </c>
      <c r="H1081" s="6" t="s">
        <v>5874</v>
      </c>
      <c r="I1081" s="2" t="str">
        <f t="shared" si="18"/>
        <v>https://www.ocf.berkeley.edu/~pkmendez/envsci/projects/2002final/Fishman-page1.pdf</v>
      </c>
      <c r="J1081" s="1" t="str">
        <f t="shared" si="17"/>
        <v>https://www.ocf.berkeley.edu/~pkmendez/envsci/projects/2002final/Fishman-page1.pdf</v>
      </c>
      <c r="P1081" s="4" t="s">
        <v>9</v>
      </c>
      <c r="Q1081" s="4" t="s">
        <v>10</v>
      </c>
    </row>
    <row r="1082" spans="1:17" x14ac:dyDescent="0.35">
      <c r="A1082" s="2" t="s">
        <v>5884</v>
      </c>
      <c r="B1082" s="2" t="s">
        <v>5129</v>
      </c>
      <c r="C1082" s="2" t="s">
        <v>5130</v>
      </c>
      <c r="D1082" s="2">
        <v>2002</v>
      </c>
      <c r="E1082" s="2" t="s">
        <v>5131</v>
      </c>
      <c r="G1082" s="2" t="s">
        <v>5132</v>
      </c>
      <c r="H1082" s="6" t="s">
        <v>5874</v>
      </c>
      <c r="I1082" s="2" t="str">
        <f t="shared" si="18"/>
        <v>https://www.ocf.berkeley.edu/~pkmendez/envsci/projects/2002final/Fortuna-page1.pdf</v>
      </c>
      <c r="J1082" s="1" t="str">
        <f t="shared" si="17"/>
        <v>https://www.ocf.berkeley.edu/~pkmendez/envsci/projects/2002final/Fortuna-page1.pdf</v>
      </c>
      <c r="P1082" s="4" t="s">
        <v>9</v>
      </c>
      <c r="Q1082" s="4" t="s">
        <v>10</v>
      </c>
    </row>
    <row r="1083" spans="1:17" x14ac:dyDescent="0.35">
      <c r="A1083" s="2" t="s">
        <v>5884</v>
      </c>
      <c r="B1083" s="2" t="s">
        <v>5133</v>
      </c>
      <c r="C1083" s="2" t="s">
        <v>5134</v>
      </c>
      <c r="D1083" s="2">
        <v>2002</v>
      </c>
      <c r="E1083" s="2" t="s">
        <v>5135</v>
      </c>
      <c r="G1083" s="2" t="s">
        <v>4849</v>
      </c>
      <c r="H1083" s="6" t="s">
        <v>5874</v>
      </c>
      <c r="I1083" s="2" t="str">
        <f t="shared" si="18"/>
        <v>https://www.ocf.berkeley.edu/~pkmendez/envsci/projects/2002final/Fuller-page1.pdf</v>
      </c>
      <c r="J1083" s="1" t="str">
        <f t="shared" si="17"/>
        <v>https://www.ocf.berkeley.edu/~pkmendez/envsci/projects/2002final/Fuller-page1.pdf</v>
      </c>
      <c r="P1083" s="4" t="s">
        <v>9</v>
      </c>
      <c r="Q1083" s="4" t="s">
        <v>10</v>
      </c>
    </row>
    <row r="1084" spans="1:17" x14ac:dyDescent="0.35">
      <c r="A1084" s="2" t="s">
        <v>5884</v>
      </c>
      <c r="B1084" s="2" t="s">
        <v>5136</v>
      </c>
      <c r="C1084" s="2" t="s">
        <v>5137</v>
      </c>
      <c r="D1084" s="2">
        <v>2002</v>
      </c>
      <c r="E1084" s="2" t="s">
        <v>5138</v>
      </c>
      <c r="G1084" s="2" t="s">
        <v>5139</v>
      </c>
      <c r="H1084" s="6" t="s">
        <v>5874</v>
      </c>
      <c r="I1084" s="2" t="str">
        <f t="shared" si="18"/>
        <v>https://www.ocf.berkeley.edu/~pkmendez/envsci/projects/2002final/Hang-page1.pdf</v>
      </c>
      <c r="J1084" s="1" t="str">
        <f t="shared" si="17"/>
        <v>https://www.ocf.berkeley.edu/~pkmendez/envsci/projects/2002final/Hang-page1.pdf</v>
      </c>
      <c r="P1084" s="4" t="s">
        <v>9</v>
      </c>
      <c r="Q1084" s="4" t="s">
        <v>10</v>
      </c>
    </row>
    <row r="1085" spans="1:17" x14ac:dyDescent="0.35">
      <c r="A1085" s="2" t="s">
        <v>5884</v>
      </c>
      <c r="B1085" s="2" t="s">
        <v>5140</v>
      </c>
      <c r="C1085" s="2" t="s">
        <v>5141</v>
      </c>
      <c r="D1085" s="2">
        <v>2002</v>
      </c>
      <c r="E1085" s="2" t="s">
        <v>5142</v>
      </c>
      <c r="G1085" s="2" t="s">
        <v>5143</v>
      </c>
      <c r="H1085" s="6" t="s">
        <v>5874</v>
      </c>
      <c r="I1085" s="2" t="str">
        <f t="shared" si="18"/>
        <v>https://www.ocf.berkeley.edu/~pkmendez/envsci/projects/2002final/Hassler-page1.pdf</v>
      </c>
      <c r="J1085" s="1" t="str">
        <f t="shared" si="17"/>
        <v>https://www.ocf.berkeley.edu/~pkmendez/envsci/projects/2002final/Hassler-page1.pdf</v>
      </c>
      <c r="P1085" s="4" t="s">
        <v>9</v>
      </c>
      <c r="Q1085" s="4" t="s">
        <v>10</v>
      </c>
    </row>
    <row r="1086" spans="1:17" x14ac:dyDescent="0.35">
      <c r="A1086" s="2" t="s">
        <v>5884</v>
      </c>
      <c r="B1086" s="2" t="s">
        <v>5144</v>
      </c>
      <c r="C1086" s="2" t="s">
        <v>5145</v>
      </c>
      <c r="D1086" s="2">
        <v>2002</v>
      </c>
      <c r="E1086" s="2" t="s">
        <v>5146</v>
      </c>
      <c r="G1086" s="2" t="s">
        <v>5147</v>
      </c>
      <c r="H1086" s="6" t="s">
        <v>5874</v>
      </c>
      <c r="I1086" s="2" t="str">
        <f t="shared" si="18"/>
        <v>https://www.ocf.berkeley.edu/~pkmendez/envsci/projects/2002final/Ino-page1.pdf</v>
      </c>
      <c r="J1086" s="1" t="str">
        <f t="shared" si="17"/>
        <v>https://www.ocf.berkeley.edu/~pkmendez/envsci/projects/2002final/Ino-page1.pdf</v>
      </c>
      <c r="P1086" s="4" t="s">
        <v>9</v>
      </c>
      <c r="Q1086" s="4" t="s">
        <v>10</v>
      </c>
    </row>
    <row r="1087" spans="1:17" x14ac:dyDescent="0.35">
      <c r="A1087" s="2" t="s">
        <v>5884</v>
      </c>
      <c r="B1087" s="2" t="s">
        <v>5148</v>
      </c>
      <c r="C1087" s="2" t="s">
        <v>5149</v>
      </c>
      <c r="D1087" s="2">
        <v>2002</v>
      </c>
      <c r="E1087" s="2" t="s">
        <v>5150</v>
      </c>
      <c r="G1087" s="2" t="s">
        <v>5151</v>
      </c>
      <c r="H1087" s="6" t="s">
        <v>5874</v>
      </c>
      <c r="I1087" s="2" t="str">
        <f t="shared" si="18"/>
        <v>https://www.ocf.berkeley.edu/~pkmendez/envsci/projects/2002final/Jalalpour-page1.pdf</v>
      </c>
      <c r="J1087" s="1" t="str">
        <f t="shared" si="17"/>
        <v>https://www.ocf.berkeley.edu/~pkmendez/envsci/projects/2002final/Jalalpour-page1.pdf</v>
      </c>
      <c r="P1087" s="4" t="s">
        <v>9</v>
      </c>
      <c r="Q1087" s="4" t="s">
        <v>10</v>
      </c>
    </row>
    <row r="1088" spans="1:17" x14ac:dyDescent="0.35">
      <c r="A1088" s="2" t="s">
        <v>5884</v>
      </c>
      <c r="B1088" s="2" t="s">
        <v>5152</v>
      </c>
      <c r="C1088" s="2" t="s">
        <v>5153</v>
      </c>
      <c r="D1088" s="2">
        <v>2002</v>
      </c>
      <c r="E1088" s="2" t="s">
        <v>5154</v>
      </c>
      <c r="G1088" s="2" t="s">
        <v>4677</v>
      </c>
      <c r="H1088" s="6" t="s">
        <v>5874</v>
      </c>
      <c r="I1088" s="2" t="str">
        <f t="shared" si="18"/>
        <v>https://www.ocf.berkeley.edu/~pkmendez/envsci/projects/2002final/Kim-page1.pdf</v>
      </c>
      <c r="J1088" s="1" t="str">
        <f t="shared" si="17"/>
        <v>https://www.ocf.berkeley.edu/~pkmendez/envsci/projects/2002final/Kim-page1.pdf</v>
      </c>
      <c r="P1088" s="4" t="s">
        <v>9</v>
      </c>
      <c r="Q1088" s="4" t="s">
        <v>10</v>
      </c>
    </row>
    <row r="1089" spans="1:17" x14ac:dyDescent="0.35">
      <c r="A1089" s="2" t="s">
        <v>5884</v>
      </c>
      <c r="B1089" s="2" t="s">
        <v>5155</v>
      </c>
      <c r="C1089" s="2" t="s">
        <v>5156</v>
      </c>
      <c r="D1089" s="2">
        <v>2002</v>
      </c>
      <c r="E1089" s="2" t="s">
        <v>5157</v>
      </c>
      <c r="G1089" s="2" t="s">
        <v>5158</v>
      </c>
      <c r="H1089" s="6" t="s">
        <v>5874</v>
      </c>
      <c r="I1089" s="2" t="str">
        <f t="shared" si="18"/>
        <v>https://www.ocf.berkeley.edu/~pkmendez/envsci/projects/2002final/Kordesch-page1.pdf</v>
      </c>
      <c r="J1089" s="1" t="str">
        <f t="shared" si="17"/>
        <v>https://www.ocf.berkeley.edu/~pkmendez/envsci/projects/2002final/Kordesch-page1.pdf</v>
      </c>
      <c r="P1089" s="4" t="s">
        <v>9</v>
      </c>
      <c r="Q1089" s="4" t="s">
        <v>10</v>
      </c>
    </row>
    <row r="1090" spans="1:17" x14ac:dyDescent="0.35">
      <c r="A1090" s="2" t="s">
        <v>5884</v>
      </c>
      <c r="B1090" s="2" t="s">
        <v>5159</v>
      </c>
      <c r="C1090" s="2" t="s">
        <v>5160</v>
      </c>
      <c r="D1090" s="2">
        <v>2002</v>
      </c>
      <c r="E1090" s="2" t="s">
        <v>5161</v>
      </c>
      <c r="G1090" s="2" t="s">
        <v>5162</v>
      </c>
      <c r="H1090" s="6" t="s">
        <v>5874</v>
      </c>
      <c r="I1090" s="2" t="str">
        <f t="shared" si="18"/>
        <v>https://www.ocf.berkeley.edu/~pkmendez/envsci/projects/2002final/Kray-page1.pdf</v>
      </c>
      <c r="J1090" s="1" t="str">
        <f t="shared" si="17"/>
        <v>https://www.ocf.berkeley.edu/~pkmendez/envsci/projects/2002final/Kray-page1.pdf</v>
      </c>
      <c r="P1090" s="4" t="s">
        <v>9</v>
      </c>
      <c r="Q1090" s="4" t="s">
        <v>10</v>
      </c>
    </row>
    <row r="1091" spans="1:17" x14ac:dyDescent="0.35">
      <c r="A1091" s="2" t="s">
        <v>5884</v>
      </c>
      <c r="B1091" s="2" t="s">
        <v>5163</v>
      </c>
      <c r="C1091" s="2" t="s">
        <v>5164</v>
      </c>
      <c r="D1091" s="2">
        <v>2002</v>
      </c>
      <c r="E1091" s="2" t="s">
        <v>5165</v>
      </c>
      <c r="G1091" s="2" t="s">
        <v>5166</v>
      </c>
      <c r="H1091" s="6" t="s">
        <v>5874</v>
      </c>
      <c r="I1091" s="2" t="str">
        <f t="shared" si="18"/>
        <v>https://www.ocf.berkeley.edu/~pkmendez/envsci/projects/2002final/Kuo-page1.pdf</v>
      </c>
      <c r="J1091" s="1" t="str">
        <f t="shared" ref="J1091:J1154" si="19">HYPERLINK(I1091, I1091)</f>
        <v>https://www.ocf.berkeley.edu/~pkmendez/envsci/projects/2002final/Kuo-page1.pdf</v>
      </c>
      <c r="P1091" s="4" t="s">
        <v>9</v>
      </c>
      <c r="Q1091" s="4" t="s">
        <v>10</v>
      </c>
    </row>
    <row r="1092" spans="1:17" x14ac:dyDescent="0.35">
      <c r="A1092" s="2" t="s">
        <v>5884</v>
      </c>
      <c r="B1092" s="2" t="s">
        <v>5167</v>
      </c>
      <c r="C1092" s="2" t="s">
        <v>5168</v>
      </c>
      <c r="D1092" s="2">
        <v>2002</v>
      </c>
      <c r="E1092" s="2" t="s">
        <v>5169</v>
      </c>
      <c r="G1092" s="2" t="s">
        <v>5170</v>
      </c>
      <c r="H1092" s="6" t="s">
        <v>5874</v>
      </c>
      <c r="I1092" s="2" t="str">
        <f t="shared" si="18"/>
        <v>https://www.ocf.berkeley.edu/~pkmendez/envsci/projects/2002final/Kusano-page1.pdf</v>
      </c>
      <c r="J1092" s="1" t="str">
        <f t="shared" si="19"/>
        <v>https://www.ocf.berkeley.edu/~pkmendez/envsci/projects/2002final/Kusano-page1.pdf</v>
      </c>
      <c r="P1092" s="4" t="s">
        <v>9</v>
      </c>
      <c r="Q1092" s="4" t="s">
        <v>10</v>
      </c>
    </row>
    <row r="1093" spans="1:17" x14ac:dyDescent="0.35">
      <c r="A1093" s="2" t="s">
        <v>5884</v>
      </c>
      <c r="B1093" s="2" t="s">
        <v>5171</v>
      </c>
      <c r="C1093" s="2" t="s">
        <v>5172</v>
      </c>
      <c r="D1093" s="2">
        <v>2002</v>
      </c>
      <c r="E1093" s="2" t="s">
        <v>5173</v>
      </c>
      <c r="G1093" s="2" t="s">
        <v>5174</v>
      </c>
      <c r="H1093" s="6" t="s">
        <v>5874</v>
      </c>
      <c r="I1093" s="2" t="str">
        <f t="shared" si="18"/>
        <v>https://www.ocf.berkeley.edu/~pkmendez/envsci/projects/2002final/Lee.J-page1.pdf</v>
      </c>
      <c r="J1093" s="1" t="str">
        <f t="shared" si="19"/>
        <v>https://www.ocf.berkeley.edu/~pkmendez/envsci/projects/2002final/Lee.J-page1.pdf</v>
      </c>
      <c r="P1093" s="4" t="s">
        <v>9</v>
      </c>
      <c r="Q1093" s="4" t="s">
        <v>10</v>
      </c>
    </row>
    <row r="1094" spans="1:17" x14ac:dyDescent="0.35">
      <c r="A1094" s="2" t="s">
        <v>5884</v>
      </c>
      <c r="B1094" s="2" t="s">
        <v>5175</v>
      </c>
      <c r="C1094" s="2" t="s">
        <v>5176</v>
      </c>
      <c r="D1094" s="2">
        <v>2002</v>
      </c>
      <c r="E1094" s="2" t="s">
        <v>5177</v>
      </c>
      <c r="G1094" s="2" t="s">
        <v>5178</v>
      </c>
      <c r="H1094" s="6" t="s">
        <v>5874</v>
      </c>
      <c r="I1094" s="2" t="str">
        <f t="shared" si="18"/>
        <v>https://www.ocf.berkeley.edu/~pkmendez/envsci/projects/2002final/Lee.S-page1.pdf</v>
      </c>
      <c r="J1094" s="1" t="str">
        <f t="shared" si="19"/>
        <v>https://www.ocf.berkeley.edu/~pkmendez/envsci/projects/2002final/Lee.S-page1.pdf</v>
      </c>
      <c r="P1094" s="4" t="s">
        <v>9</v>
      </c>
      <c r="Q1094" s="4" t="s">
        <v>10</v>
      </c>
    </row>
    <row r="1095" spans="1:17" x14ac:dyDescent="0.35">
      <c r="A1095" s="2" t="s">
        <v>5884</v>
      </c>
      <c r="B1095" s="2" t="s">
        <v>5179</v>
      </c>
      <c r="C1095" s="2" t="s">
        <v>5180</v>
      </c>
      <c r="D1095" s="2">
        <v>2002</v>
      </c>
      <c r="E1095" s="2" t="s">
        <v>5181</v>
      </c>
      <c r="G1095" s="2" t="s">
        <v>5182</v>
      </c>
      <c r="H1095" s="6" t="s">
        <v>5874</v>
      </c>
      <c r="I1095" s="2" t="str">
        <f t="shared" si="18"/>
        <v>https://www.ocf.berkeley.edu/~pkmendez/envsci/projects/2002final/Lepper-page1.pdf</v>
      </c>
      <c r="J1095" s="1" t="str">
        <f t="shared" si="19"/>
        <v>https://www.ocf.berkeley.edu/~pkmendez/envsci/projects/2002final/Lepper-page1.pdf</v>
      </c>
      <c r="P1095" s="4" t="s">
        <v>9</v>
      </c>
      <c r="Q1095" s="4" t="s">
        <v>10</v>
      </c>
    </row>
    <row r="1096" spans="1:17" x14ac:dyDescent="0.35">
      <c r="A1096" s="2" t="s">
        <v>5884</v>
      </c>
      <c r="B1096" s="2" t="s">
        <v>5183</v>
      </c>
      <c r="C1096" s="2" t="s">
        <v>5184</v>
      </c>
      <c r="D1096" s="2">
        <v>2002</v>
      </c>
      <c r="E1096" s="2" t="s">
        <v>5185</v>
      </c>
      <c r="G1096" s="2" t="s">
        <v>4689</v>
      </c>
      <c r="H1096" s="6" t="s">
        <v>5874</v>
      </c>
      <c r="I1096" s="2" t="str">
        <f t="shared" si="18"/>
        <v>https://www.ocf.berkeley.edu/~pkmendez/envsci/projects/2002final/Liu-page1.pdf</v>
      </c>
      <c r="J1096" s="1" t="str">
        <f t="shared" si="19"/>
        <v>https://www.ocf.berkeley.edu/~pkmendez/envsci/projects/2002final/Liu-page1.pdf</v>
      </c>
      <c r="P1096" s="4" t="s">
        <v>9</v>
      </c>
      <c r="Q1096" s="4" t="s">
        <v>10</v>
      </c>
    </row>
    <row r="1097" spans="1:17" x14ac:dyDescent="0.35">
      <c r="A1097" s="2" t="s">
        <v>5884</v>
      </c>
      <c r="B1097" s="2" t="s">
        <v>5186</v>
      </c>
      <c r="C1097" s="2" t="s">
        <v>5187</v>
      </c>
      <c r="D1097" s="2">
        <v>2002</v>
      </c>
      <c r="E1097" s="2" t="s">
        <v>5188</v>
      </c>
      <c r="G1097" s="2" t="s">
        <v>5040</v>
      </c>
      <c r="H1097" s="6" t="s">
        <v>5874</v>
      </c>
      <c r="I1097" s="2" t="str">
        <f t="shared" si="18"/>
        <v>https://www.ocf.berkeley.edu/~pkmendez/envsci/projects/2002final/Martin-page1.pdf</v>
      </c>
      <c r="J1097" s="1" t="str">
        <f t="shared" si="19"/>
        <v>https://www.ocf.berkeley.edu/~pkmendez/envsci/projects/2002final/Martin-page1.pdf</v>
      </c>
      <c r="P1097" s="4" t="s">
        <v>9</v>
      </c>
      <c r="Q1097" s="4" t="s">
        <v>10</v>
      </c>
    </row>
    <row r="1098" spans="1:17" x14ac:dyDescent="0.35">
      <c r="A1098" s="2" t="s">
        <v>5884</v>
      </c>
      <c r="B1098" s="2" t="s">
        <v>5189</v>
      </c>
      <c r="C1098" s="2" t="s">
        <v>5190</v>
      </c>
      <c r="D1098" s="2">
        <v>2002</v>
      </c>
      <c r="E1098" s="2" t="s">
        <v>5191</v>
      </c>
      <c r="G1098" s="2" t="s">
        <v>5192</v>
      </c>
      <c r="H1098" s="6" t="s">
        <v>5874</v>
      </c>
      <c r="I1098" s="2" t="str">
        <f t="shared" si="18"/>
        <v>https://www.ocf.berkeley.edu/~pkmendez/envsci/projects/2002final/Mason-page1.pdf</v>
      </c>
      <c r="J1098" s="1" t="str">
        <f t="shared" si="19"/>
        <v>https://www.ocf.berkeley.edu/~pkmendez/envsci/projects/2002final/Mason-page1.pdf</v>
      </c>
      <c r="P1098" s="4" t="s">
        <v>9</v>
      </c>
      <c r="Q1098" s="4" t="s">
        <v>10</v>
      </c>
    </row>
    <row r="1099" spans="1:17" x14ac:dyDescent="0.35">
      <c r="A1099" s="2" t="s">
        <v>5884</v>
      </c>
      <c r="B1099" s="2" t="s">
        <v>5193</v>
      </c>
      <c r="C1099" s="2" t="s">
        <v>5194</v>
      </c>
      <c r="D1099" s="2">
        <v>2002</v>
      </c>
      <c r="E1099" s="2" t="s">
        <v>5195</v>
      </c>
      <c r="G1099" s="2" t="s">
        <v>5196</v>
      </c>
      <c r="H1099" s="6" t="s">
        <v>5874</v>
      </c>
      <c r="I1099" s="2" t="str">
        <f t="shared" si="18"/>
        <v>https://www.ocf.berkeley.edu/~pkmendez/envsci/projects/2002final/Mershman-page1.pdf</v>
      </c>
      <c r="J1099" s="1" t="str">
        <f t="shared" si="19"/>
        <v>https://www.ocf.berkeley.edu/~pkmendez/envsci/projects/2002final/Mershman-page1.pdf</v>
      </c>
      <c r="P1099" s="4" t="s">
        <v>9</v>
      </c>
      <c r="Q1099" s="4" t="s">
        <v>10</v>
      </c>
    </row>
    <row r="1100" spans="1:17" x14ac:dyDescent="0.35">
      <c r="A1100" s="2" t="s">
        <v>5884</v>
      </c>
      <c r="B1100" s="2" t="s">
        <v>5197</v>
      </c>
      <c r="C1100" s="2" t="s">
        <v>5198</v>
      </c>
      <c r="D1100" s="2">
        <v>2002</v>
      </c>
      <c r="E1100" s="2" t="s">
        <v>5199</v>
      </c>
      <c r="G1100" s="2" t="s">
        <v>5200</v>
      </c>
      <c r="H1100" s="6" t="s">
        <v>5874</v>
      </c>
      <c r="I1100" s="2" t="str">
        <f t="shared" si="18"/>
        <v>https://www.ocf.berkeley.edu/~pkmendez/envsci/projects/2002final/Mikkelsen-page1.pdf</v>
      </c>
      <c r="J1100" s="1" t="str">
        <f t="shared" si="19"/>
        <v>https://www.ocf.berkeley.edu/~pkmendez/envsci/projects/2002final/Mikkelsen-page1.pdf</v>
      </c>
      <c r="P1100" s="4" t="s">
        <v>9</v>
      </c>
      <c r="Q1100" s="4" t="s">
        <v>10</v>
      </c>
    </row>
    <row r="1101" spans="1:17" x14ac:dyDescent="0.35">
      <c r="A1101" s="2" t="s">
        <v>5884</v>
      </c>
      <c r="B1101" s="2" t="s">
        <v>5201</v>
      </c>
      <c r="C1101" s="2" t="s">
        <v>5202</v>
      </c>
      <c r="D1101" s="2">
        <v>2002</v>
      </c>
      <c r="E1101" s="2" t="s">
        <v>5203</v>
      </c>
      <c r="G1101" s="2" t="s">
        <v>5204</v>
      </c>
      <c r="H1101" s="6" t="s">
        <v>5874</v>
      </c>
      <c r="I1101" s="2" t="str">
        <f t="shared" si="18"/>
        <v>https://www.ocf.berkeley.edu/~pkmendez/envsci/projects/2002final/Padda-page1.pdf</v>
      </c>
      <c r="J1101" s="1" t="str">
        <f t="shared" si="19"/>
        <v>https://www.ocf.berkeley.edu/~pkmendez/envsci/projects/2002final/Padda-page1.pdf</v>
      </c>
      <c r="P1101" s="4" t="s">
        <v>9</v>
      </c>
      <c r="Q1101" s="4" t="s">
        <v>10</v>
      </c>
    </row>
    <row r="1102" spans="1:17" x14ac:dyDescent="0.35">
      <c r="A1102" s="2" t="s">
        <v>5884</v>
      </c>
      <c r="B1102" s="2" t="s">
        <v>5205</v>
      </c>
      <c r="C1102" s="2" t="s">
        <v>5206</v>
      </c>
      <c r="D1102" s="2">
        <v>2002</v>
      </c>
      <c r="E1102" s="2" t="s">
        <v>5207</v>
      </c>
      <c r="G1102" s="2" t="s">
        <v>5208</v>
      </c>
      <c r="H1102" s="6" t="s">
        <v>5874</v>
      </c>
      <c r="I1102" s="2" t="str">
        <f t="shared" si="18"/>
        <v>https://www.ocf.berkeley.edu/~pkmendez/envsci/projects/2002final/Parr-page1.pdf</v>
      </c>
      <c r="J1102" s="1" t="str">
        <f t="shared" si="19"/>
        <v>https://www.ocf.berkeley.edu/~pkmendez/envsci/projects/2002final/Parr-page1.pdf</v>
      </c>
      <c r="P1102" s="4" t="s">
        <v>9</v>
      </c>
      <c r="Q1102" s="4" t="s">
        <v>10</v>
      </c>
    </row>
    <row r="1103" spans="1:17" x14ac:dyDescent="0.35">
      <c r="A1103" s="2" t="s">
        <v>5884</v>
      </c>
      <c r="B1103" s="2" t="s">
        <v>5209</v>
      </c>
      <c r="C1103" s="2" t="s">
        <v>5210</v>
      </c>
      <c r="D1103" s="2">
        <v>2002</v>
      </c>
      <c r="E1103" s="2" t="s">
        <v>5211</v>
      </c>
      <c r="G1103" s="2" t="s">
        <v>5212</v>
      </c>
      <c r="H1103" s="6" t="s">
        <v>5874</v>
      </c>
      <c r="I1103" s="2" t="str">
        <f t="shared" si="18"/>
        <v>https://www.ocf.berkeley.edu/~pkmendez/envsci/projects/2002final/Pedlow-page1.pdf</v>
      </c>
      <c r="J1103" s="1" t="str">
        <f t="shared" si="19"/>
        <v>https://www.ocf.berkeley.edu/~pkmendez/envsci/projects/2002final/Pedlow-page1.pdf</v>
      </c>
      <c r="P1103" s="4" t="s">
        <v>9</v>
      </c>
      <c r="Q1103" s="4" t="s">
        <v>10</v>
      </c>
    </row>
    <row r="1104" spans="1:17" x14ac:dyDescent="0.35">
      <c r="A1104" s="2" t="s">
        <v>5884</v>
      </c>
      <c r="B1104" s="2" t="s">
        <v>5213</v>
      </c>
      <c r="C1104" s="2" t="s">
        <v>5214</v>
      </c>
      <c r="D1104" s="2">
        <v>2002</v>
      </c>
      <c r="E1104" s="2" t="s">
        <v>5215</v>
      </c>
      <c r="G1104" s="2" t="s">
        <v>5216</v>
      </c>
      <c r="H1104" s="6" t="s">
        <v>5874</v>
      </c>
      <c r="I1104" s="2" t="str">
        <f t="shared" si="18"/>
        <v>https://www.ocf.berkeley.edu/~pkmendez/envsci/projects/2002final/Raban-page1.pdf</v>
      </c>
      <c r="J1104" s="1" t="str">
        <f t="shared" si="19"/>
        <v>https://www.ocf.berkeley.edu/~pkmendez/envsci/projects/2002final/Raban-page1.pdf</v>
      </c>
      <c r="P1104" s="4" t="s">
        <v>9</v>
      </c>
      <c r="Q1104" s="4" t="s">
        <v>10</v>
      </c>
    </row>
    <row r="1105" spans="1:17" x14ac:dyDescent="0.35">
      <c r="A1105" s="2" t="s">
        <v>5884</v>
      </c>
      <c r="B1105" s="2" t="s">
        <v>5217</v>
      </c>
      <c r="C1105" s="2" t="s">
        <v>5218</v>
      </c>
      <c r="D1105" s="2">
        <v>2002</v>
      </c>
      <c r="E1105" s="2" t="s">
        <v>5219</v>
      </c>
      <c r="G1105" s="2" t="s">
        <v>5220</v>
      </c>
      <c r="H1105" s="6" t="s">
        <v>5874</v>
      </c>
      <c r="I1105" s="2" t="str">
        <f t="shared" si="18"/>
        <v>https://www.ocf.berkeley.edu/~pkmendez/envsci/projects/2002final/Schultz-page1.pdf</v>
      </c>
      <c r="J1105" s="1" t="str">
        <f t="shared" si="19"/>
        <v>https://www.ocf.berkeley.edu/~pkmendez/envsci/projects/2002final/Schultz-page1.pdf</v>
      </c>
      <c r="P1105" s="4" t="s">
        <v>9</v>
      </c>
      <c r="Q1105" s="4" t="s">
        <v>10</v>
      </c>
    </row>
    <row r="1106" spans="1:17" x14ac:dyDescent="0.35">
      <c r="A1106" s="2" t="s">
        <v>5884</v>
      </c>
      <c r="B1106" s="2" t="s">
        <v>5221</v>
      </c>
      <c r="C1106" s="2" t="s">
        <v>5222</v>
      </c>
      <c r="D1106" s="2">
        <v>2002</v>
      </c>
      <c r="E1106" s="2" t="s">
        <v>5223</v>
      </c>
      <c r="G1106" s="2" t="s">
        <v>5224</v>
      </c>
      <c r="H1106" s="6" t="s">
        <v>5874</v>
      </c>
      <c r="I1106" s="2" t="str">
        <f t="shared" si="18"/>
        <v>https://www.ocf.berkeley.edu/~pkmendez/envsci/projects/2002final/Syed-page1.pdf</v>
      </c>
      <c r="J1106" s="1" t="str">
        <f t="shared" si="19"/>
        <v>https://www.ocf.berkeley.edu/~pkmendez/envsci/projects/2002final/Syed-page1.pdf</v>
      </c>
      <c r="P1106" s="4" t="s">
        <v>9</v>
      </c>
      <c r="Q1106" s="4" t="s">
        <v>10</v>
      </c>
    </row>
    <row r="1107" spans="1:17" x14ac:dyDescent="0.35">
      <c r="A1107" s="2" t="s">
        <v>5884</v>
      </c>
      <c r="B1107" s="2" t="s">
        <v>5225</v>
      </c>
      <c r="C1107" s="2" t="s">
        <v>5226</v>
      </c>
      <c r="D1107" s="2">
        <v>2002</v>
      </c>
      <c r="E1107" s="2" t="s">
        <v>5227</v>
      </c>
      <c r="G1107" s="2" t="s">
        <v>5228</v>
      </c>
      <c r="H1107" s="6" t="s">
        <v>5874</v>
      </c>
      <c r="I1107" s="2" t="str">
        <f t="shared" si="18"/>
        <v>https://www.ocf.berkeley.edu/~pkmendez/envsci/projects/2002final/Tippets-page1.pdf</v>
      </c>
      <c r="J1107" s="1" t="str">
        <f t="shared" si="19"/>
        <v>https://www.ocf.berkeley.edu/~pkmendez/envsci/projects/2002final/Tippets-page1.pdf</v>
      </c>
      <c r="P1107" s="4" t="s">
        <v>9</v>
      </c>
      <c r="Q1107" s="4" t="s">
        <v>10</v>
      </c>
    </row>
    <row r="1108" spans="1:17" x14ac:dyDescent="0.35">
      <c r="A1108" s="2" t="s">
        <v>5884</v>
      </c>
      <c r="B1108" s="2" t="s">
        <v>5229</v>
      </c>
      <c r="C1108" s="2" t="s">
        <v>5230</v>
      </c>
      <c r="D1108" s="2">
        <v>2001</v>
      </c>
      <c r="E1108" s="2" t="s">
        <v>5231</v>
      </c>
      <c r="G1108" s="2" t="s">
        <v>5232</v>
      </c>
      <c r="H1108" s="6" t="s">
        <v>5875</v>
      </c>
      <c r="I1108" s="2" t="str" cm="1">
        <f t="array" ref="I1108">H1108&amp;_xlfn.REGEXEXTRACT(G1108,"^(.*?)(?=-page1)")&amp;".pdf"</f>
        <v>https://www.ocf.berkeley.edu/~pkmendez/envsci/projects/2001final/Abraham.pdf</v>
      </c>
      <c r="J1108" s="1" t="str">
        <f t="shared" si="19"/>
        <v>https://www.ocf.berkeley.edu/~pkmendez/envsci/projects/2001final/Abraham.pdf</v>
      </c>
      <c r="P1108" s="4" t="s">
        <v>9</v>
      </c>
      <c r="Q1108" s="4" t="s">
        <v>10</v>
      </c>
    </row>
    <row r="1109" spans="1:17" x14ac:dyDescent="0.35">
      <c r="A1109" s="2" t="s">
        <v>5884</v>
      </c>
      <c r="B1109" s="2" t="s">
        <v>5233</v>
      </c>
      <c r="C1109" s="2" t="s">
        <v>5234</v>
      </c>
      <c r="D1109" s="2">
        <v>2001</v>
      </c>
      <c r="E1109" s="2" t="s">
        <v>5235</v>
      </c>
      <c r="G1109" s="2" t="s">
        <v>5236</v>
      </c>
      <c r="H1109" s="6" t="s">
        <v>5875</v>
      </c>
      <c r="I1109" s="2" t="str" cm="1">
        <f t="array" ref="I1109">H1109&amp;_xlfn.REGEXEXTRACT(G1109,"^(.*?)(?=-page1)")&amp;".pdf"</f>
        <v>https://www.ocf.berkeley.edu/~pkmendez/envsci/projects/2001final/Allen.pdf</v>
      </c>
      <c r="J1109" s="1" t="str">
        <f t="shared" si="19"/>
        <v>https://www.ocf.berkeley.edu/~pkmendez/envsci/projects/2001final/Allen.pdf</v>
      </c>
      <c r="P1109" s="4" t="s">
        <v>9</v>
      </c>
      <c r="Q1109" s="4" t="s">
        <v>10</v>
      </c>
    </row>
    <row r="1110" spans="1:17" x14ac:dyDescent="0.35">
      <c r="A1110" s="2" t="s">
        <v>5884</v>
      </c>
      <c r="B1110" s="2" t="s">
        <v>5237</v>
      </c>
      <c r="C1110" s="2" t="s">
        <v>5238</v>
      </c>
      <c r="D1110" s="2">
        <v>2001</v>
      </c>
      <c r="E1110" s="2" t="s">
        <v>5239</v>
      </c>
      <c r="G1110" s="2" t="s">
        <v>5240</v>
      </c>
      <c r="H1110" s="6" t="s">
        <v>5875</v>
      </c>
      <c r="I1110" s="2" t="str" cm="1">
        <f t="array" ref="I1110">H1110&amp;_xlfn.REGEXEXTRACT(G1110,"^(.*?)(?=-page1)")&amp;".pdf"</f>
        <v>https://www.ocf.berkeley.edu/~pkmendez/envsci/projects/2001final/Arguijo.pdf</v>
      </c>
      <c r="J1110" s="1" t="str">
        <f t="shared" si="19"/>
        <v>https://www.ocf.berkeley.edu/~pkmendez/envsci/projects/2001final/Arguijo.pdf</v>
      </c>
      <c r="P1110" s="4" t="s">
        <v>9</v>
      </c>
      <c r="Q1110" s="4" t="s">
        <v>10</v>
      </c>
    </row>
    <row r="1111" spans="1:17" x14ac:dyDescent="0.35">
      <c r="A1111" s="2" t="s">
        <v>5884</v>
      </c>
      <c r="B1111" s="2" t="s">
        <v>5241</v>
      </c>
      <c r="C1111" s="2" t="s">
        <v>5242</v>
      </c>
      <c r="D1111" s="2">
        <v>2001</v>
      </c>
      <c r="E1111" s="2" t="s">
        <v>5243</v>
      </c>
      <c r="G1111" s="2" t="s">
        <v>4646</v>
      </c>
      <c r="H1111" s="6" t="s">
        <v>5875</v>
      </c>
      <c r="I1111" s="2" t="str" cm="1">
        <f t="array" ref="I1111">H1111&amp;_xlfn.REGEXEXTRACT(G1111,"^(.*?)(?=-page1)")&amp;".pdf"</f>
        <v>https://www.ocf.berkeley.edu/~pkmendez/envsci/projects/2001final/Chen.pdf</v>
      </c>
      <c r="J1111" s="1" t="str">
        <f t="shared" si="19"/>
        <v>https://www.ocf.berkeley.edu/~pkmendez/envsci/projects/2001final/Chen.pdf</v>
      </c>
      <c r="P1111" s="4" t="s">
        <v>9</v>
      </c>
      <c r="Q1111" s="4" t="s">
        <v>10</v>
      </c>
    </row>
    <row r="1112" spans="1:17" x14ac:dyDescent="0.35">
      <c r="A1112" s="2" t="s">
        <v>5884</v>
      </c>
      <c r="B1112" s="2" t="s">
        <v>5244</v>
      </c>
      <c r="C1112" s="2" t="s">
        <v>5245</v>
      </c>
      <c r="D1112" s="2">
        <v>2001</v>
      </c>
      <c r="E1112" s="2" t="s">
        <v>5246</v>
      </c>
      <c r="G1112" s="2" t="s">
        <v>5247</v>
      </c>
      <c r="H1112" s="6" t="s">
        <v>5875</v>
      </c>
      <c r="I1112" s="2" t="str" cm="1">
        <f t="array" ref="I1112">H1112&amp;_xlfn.REGEXEXTRACT(G1112,"^(.*?)(?=-page1)")&amp;".pdf"</f>
        <v>https://www.ocf.berkeley.edu/~pkmendez/envsci/projects/2001final/Choi.pdf</v>
      </c>
      <c r="J1112" s="1" t="str">
        <f t="shared" si="19"/>
        <v>https://www.ocf.berkeley.edu/~pkmendez/envsci/projects/2001final/Choi.pdf</v>
      </c>
      <c r="P1112" s="4" t="s">
        <v>9</v>
      </c>
      <c r="Q1112" s="4" t="s">
        <v>10</v>
      </c>
    </row>
    <row r="1113" spans="1:17" x14ac:dyDescent="0.35">
      <c r="A1113" s="2" t="s">
        <v>5884</v>
      </c>
      <c r="B1113" s="2" t="s">
        <v>5248</v>
      </c>
      <c r="C1113" s="2" t="s">
        <v>5249</v>
      </c>
      <c r="D1113" s="2">
        <v>2001</v>
      </c>
      <c r="E1113" s="2" t="s">
        <v>5250</v>
      </c>
      <c r="G1113" s="2" t="s">
        <v>5251</v>
      </c>
      <c r="H1113" s="6" t="s">
        <v>5875</v>
      </c>
      <c r="I1113" s="2" t="str" cm="1">
        <f t="array" ref="I1113">H1113&amp;_xlfn.REGEXEXTRACT(G1113,"^(.*?)(?=-page1)")&amp;".pdf"</f>
        <v>https://www.ocf.berkeley.edu/~pkmendez/envsci/projects/2001final/Cosio.pdf</v>
      </c>
      <c r="J1113" s="1" t="str">
        <f t="shared" si="19"/>
        <v>https://www.ocf.berkeley.edu/~pkmendez/envsci/projects/2001final/Cosio.pdf</v>
      </c>
      <c r="P1113" s="4" t="s">
        <v>9</v>
      </c>
      <c r="Q1113" s="4" t="s">
        <v>10</v>
      </c>
    </row>
    <row r="1114" spans="1:17" x14ac:dyDescent="0.35">
      <c r="A1114" s="2" t="s">
        <v>5884</v>
      </c>
      <c r="B1114" s="2" t="s">
        <v>5252</v>
      </c>
      <c r="C1114" s="2" t="s">
        <v>5253</v>
      </c>
      <c r="D1114" s="2">
        <v>2001</v>
      </c>
      <c r="E1114" s="2" t="s">
        <v>5254</v>
      </c>
      <c r="G1114" s="2" t="s">
        <v>5255</v>
      </c>
      <c r="H1114" s="6" t="s">
        <v>5875</v>
      </c>
      <c r="I1114" s="2" t="str" cm="1">
        <f t="array" ref="I1114">H1114&amp;_xlfn.REGEXEXTRACT(G1114,"^(.*?)(?=-page1)")&amp;".pdf"</f>
        <v>https://www.ocf.berkeley.edu/~pkmendez/envsci/projects/2001final/Fisher.pdf</v>
      </c>
      <c r="J1114" s="1" t="str">
        <f t="shared" si="19"/>
        <v>https://www.ocf.berkeley.edu/~pkmendez/envsci/projects/2001final/Fisher.pdf</v>
      </c>
      <c r="P1114" s="4" t="s">
        <v>9</v>
      </c>
      <c r="Q1114" s="4" t="s">
        <v>10</v>
      </c>
    </row>
    <row r="1115" spans="1:17" x14ac:dyDescent="0.35">
      <c r="A1115" s="2" t="s">
        <v>5884</v>
      </c>
      <c r="B1115" s="2" t="s">
        <v>5256</v>
      </c>
      <c r="C1115" s="2" t="s">
        <v>5257</v>
      </c>
      <c r="D1115" s="2">
        <v>2001</v>
      </c>
      <c r="E1115" s="2" t="s">
        <v>5258</v>
      </c>
      <c r="G1115" s="2" t="s">
        <v>5259</v>
      </c>
      <c r="H1115" s="6" t="s">
        <v>5875</v>
      </c>
      <c r="I1115" s="2" t="str" cm="1">
        <f t="array" ref="I1115">H1115&amp;_xlfn.REGEXEXTRACT(G1115,"^(.*?)(?=-page1)")&amp;".pdf"</f>
        <v>https://www.ocf.berkeley.edu/~pkmendez/envsci/projects/2001final/Francisco.pdf</v>
      </c>
      <c r="J1115" s="1" t="str">
        <f t="shared" si="19"/>
        <v>https://www.ocf.berkeley.edu/~pkmendez/envsci/projects/2001final/Francisco.pdf</v>
      </c>
      <c r="P1115" s="4" t="s">
        <v>9</v>
      </c>
      <c r="Q1115" s="4" t="s">
        <v>10</v>
      </c>
    </row>
    <row r="1116" spans="1:17" x14ac:dyDescent="0.35">
      <c r="A1116" s="2" t="s">
        <v>5884</v>
      </c>
      <c r="B1116" s="2" t="s">
        <v>5260</v>
      </c>
      <c r="C1116" s="2" t="s">
        <v>5261</v>
      </c>
      <c r="D1116" s="2">
        <v>2001</v>
      </c>
      <c r="E1116" s="2" t="s">
        <v>5262</v>
      </c>
      <c r="G1116" s="2" t="s">
        <v>5263</v>
      </c>
      <c r="H1116" s="6" t="s">
        <v>5875</v>
      </c>
      <c r="I1116" s="2" t="str" cm="1">
        <f t="array" ref="I1116">H1116&amp;_xlfn.REGEXEXTRACT(G1116,"^(.*?)(?=-page1)")&amp;".pdf"</f>
        <v>https://www.ocf.berkeley.edu/~pkmendez/envsci/projects/2001final/Gawronski.pdf</v>
      </c>
      <c r="J1116" s="1" t="str">
        <f t="shared" si="19"/>
        <v>https://www.ocf.berkeley.edu/~pkmendez/envsci/projects/2001final/Gawronski.pdf</v>
      </c>
      <c r="P1116" s="4" t="s">
        <v>9</v>
      </c>
      <c r="Q1116" s="4" t="s">
        <v>10</v>
      </c>
    </row>
    <row r="1117" spans="1:17" x14ac:dyDescent="0.35">
      <c r="A1117" s="2" t="s">
        <v>5884</v>
      </c>
      <c r="B1117" s="2" t="s">
        <v>5264</v>
      </c>
      <c r="C1117" s="2" t="s">
        <v>5265</v>
      </c>
      <c r="D1117" s="2">
        <v>2001</v>
      </c>
      <c r="E1117" s="2" t="s">
        <v>5266</v>
      </c>
      <c r="G1117" s="2" t="s">
        <v>5267</v>
      </c>
      <c r="H1117" s="6" t="s">
        <v>5875</v>
      </c>
      <c r="I1117" s="2" t="str" cm="1">
        <f t="array" ref="I1117">H1117&amp;_xlfn.REGEXEXTRACT(G1117,"^(.*?)(?=-page1)")&amp;".pdf"</f>
        <v>https://www.ocf.berkeley.edu/~pkmendez/envsci/projects/2001final/Hatano.pdf</v>
      </c>
      <c r="J1117" s="1" t="str">
        <f t="shared" si="19"/>
        <v>https://www.ocf.berkeley.edu/~pkmendez/envsci/projects/2001final/Hatano.pdf</v>
      </c>
      <c r="P1117" s="4" t="s">
        <v>9</v>
      </c>
      <c r="Q1117" s="4" t="s">
        <v>10</v>
      </c>
    </row>
    <row r="1118" spans="1:17" x14ac:dyDescent="0.35">
      <c r="A1118" s="2" t="s">
        <v>5884</v>
      </c>
      <c r="B1118" s="2" t="s">
        <v>5268</v>
      </c>
      <c r="C1118" s="2" t="s">
        <v>5269</v>
      </c>
      <c r="D1118" s="2">
        <v>2001</v>
      </c>
      <c r="E1118" s="2" t="s">
        <v>5270</v>
      </c>
      <c r="G1118" s="2" t="s">
        <v>5271</v>
      </c>
      <c r="H1118" s="6" t="s">
        <v>5875</v>
      </c>
      <c r="I1118" s="2" t="str" cm="1">
        <f t="array" ref="I1118">H1118&amp;_xlfn.REGEXEXTRACT(G1118,"^(.*?)(?=-page1)")&amp;".pdf"</f>
        <v>https://www.ocf.berkeley.edu/~pkmendez/envsci/projects/2001final/Ho.pdf</v>
      </c>
      <c r="J1118" s="1" t="str">
        <f t="shared" si="19"/>
        <v>https://www.ocf.berkeley.edu/~pkmendez/envsci/projects/2001final/Ho.pdf</v>
      </c>
      <c r="P1118" s="4" t="s">
        <v>9</v>
      </c>
      <c r="Q1118" s="4" t="s">
        <v>10</v>
      </c>
    </row>
    <row r="1119" spans="1:17" x14ac:dyDescent="0.35">
      <c r="A1119" s="2" t="s">
        <v>5884</v>
      </c>
      <c r="B1119" s="2" t="s">
        <v>5272</v>
      </c>
      <c r="C1119" s="2" t="s">
        <v>5273</v>
      </c>
      <c r="D1119" s="2">
        <v>2001</v>
      </c>
      <c r="G1119" s="2" t="s">
        <v>5274</v>
      </c>
      <c r="H1119" s="6" t="s">
        <v>5875</v>
      </c>
      <c r="I1119" s="2" t="str" cm="1">
        <f t="array" ref="I1119">H1119&amp;_xlfn.REGEXEXTRACT(G1119,"^(.*?)(?=-page1)")&amp;".pdf"</f>
        <v>https://www.ocf.berkeley.edu/~pkmendez/envsci/projects/2001final/Hoehn.pdf</v>
      </c>
      <c r="J1119" s="1" t="str">
        <f t="shared" si="19"/>
        <v>https://www.ocf.berkeley.edu/~pkmendez/envsci/projects/2001final/Hoehn.pdf</v>
      </c>
      <c r="P1119" s="4" t="s">
        <v>9</v>
      </c>
      <c r="Q1119" s="4" t="s">
        <v>10</v>
      </c>
    </row>
    <row r="1120" spans="1:17" x14ac:dyDescent="0.35">
      <c r="A1120" s="2" t="s">
        <v>5884</v>
      </c>
      <c r="B1120" s="2" t="s">
        <v>5275</v>
      </c>
      <c r="C1120" s="2" t="s">
        <v>5276</v>
      </c>
      <c r="D1120" s="2">
        <v>2001</v>
      </c>
      <c r="E1120" s="2" t="s">
        <v>5277</v>
      </c>
      <c r="G1120" s="2" t="s">
        <v>5278</v>
      </c>
      <c r="H1120" s="6" t="s">
        <v>5875</v>
      </c>
      <c r="I1120" s="2" t="str" cm="1">
        <f t="array" ref="I1120">H1120&amp;_xlfn.REGEXEXTRACT(G1120,"^(.*?)(?=-page1)")&amp;".pdf"</f>
        <v>https://www.ocf.berkeley.edu/~pkmendez/envsci/projects/2001final/Hsieh.pdf</v>
      </c>
      <c r="J1120" s="1" t="str">
        <f t="shared" si="19"/>
        <v>https://www.ocf.berkeley.edu/~pkmendez/envsci/projects/2001final/Hsieh.pdf</v>
      </c>
      <c r="P1120" s="4" t="s">
        <v>9</v>
      </c>
      <c r="Q1120" s="4" t="s">
        <v>10</v>
      </c>
    </row>
    <row r="1121" spans="1:17" x14ac:dyDescent="0.35">
      <c r="A1121" s="2" t="s">
        <v>5884</v>
      </c>
      <c r="B1121" s="2" t="s">
        <v>5279</v>
      </c>
      <c r="C1121" s="2" t="s">
        <v>5280</v>
      </c>
      <c r="D1121" s="2">
        <v>2001</v>
      </c>
      <c r="E1121" s="2" t="s">
        <v>5281</v>
      </c>
      <c r="G1121" s="2" t="s">
        <v>5282</v>
      </c>
      <c r="H1121" s="6" t="s">
        <v>5875</v>
      </c>
      <c r="I1121" s="2" t="str" cm="1">
        <f t="array" ref="I1121">H1121&amp;_xlfn.REGEXEXTRACT(G1121,"^(.*?)(?=-page1)")&amp;".pdf"</f>
        <v>https://www.ocf.berkeley.edu/~pkmendez/envsci/projects/2001final/Johnson.pdf</v>
      </c>
      <c r="J1121" s="1" t="str">
        <f t="shared" si="19"/>
        <v>https://www.ocf.berkeley.edu/~pkmendez/envsci/projects/2001final/Johnson.pdf</v>
      </c>
      <c r="P1121" s="4" t="s">
        <v>9</v>
      </c>
      <c r="Q1121" s="4" t="s">
        <v>10</v>
      </c>
    </row>
    <row r="1122" spans="1:17" x14ac:dyDescent="0.35">
      <c r="A1122" s="2" t="s">
        <v>5884</v>
      </c>
      <c r="B1122" s="2" t="s">
        <v>5283</v>
      </c>
      <c r="C1122" s="2" t="s">
        <v>5284</v>
      </c>
      <c r="D1122" s="2">
        <v>2001</v>
      </c>
      <c r="E1122" s="2" t="s">
        <v>5285</v>
      </c>
      <c r="G1122" s="2" t="s">
        <v>4673</v>
      </c>
      <c r="H1122" s="6" t="s">
        <v>5875</v>
      </c>
      <c r="I1122" s="2" t="str" cm="1">
        <f t="array" ref="I1122">H1122&amp;_xlfn.REGEXEXTRACT(G1122,"^(.*?)(?=-page1)")&amp;".pdf"</f>
        <v>https://www.ocf.berkeley.edu/~pkmendez/envsci/projects/2001final/Jones.pdf</v>
      </c>
      <c r="J1122" s="1" t="str">
        <f t="shared" si="19"/>
        <v>https://www.ocf.berkeley.edu/~pkmendez/envsci/projects/2001final/Jones.pdf</v>
      </c>
      <c r="P1122" s="4" t="s">
        <v>9</v>
      </c>
      <c r="Q1122" s="4" t="s">
        <v>10</v>
      </c>
    </row>
    <row r="1123" spans="1:17" x14ac:dyDescent="0.35">
      <c r="A1123" s="2" t="s">
        <v>5884</v>
      </c>
      <c r="B1123" s="2" t="s">
        <v>5286</v>
      </c>
      <c r="C1123" s="2" t="s">
        <v>5287</v>
      </c>
      <c r="D1123" s="2">
        <v>2001</v>
      </c>
      <c r="E1123" s="2" t="s">
        <v>5288</v>
      </c>
      <c r="G1123" s="2" t="s">
        <v>5289</v>
      </c>
      <c r="H1123" s="6" t="s">
        <v>5875</v>
      </c>
      <c r="I1123" s="2" t="str" cm="1">
        <f t="array" ref="I1123">H1123&amp;_xlfn.REGEXEXTRACT(G1123,"^(.*?)(?=-page1)")&amp;".pdf"</f>
        <v>https://www.ocf.berkeley.edu/~pkmendez/envsci/projects/2001final/Ju.pdf</v>
      </c>
      <c r="J1123" s="1" t="str">
        <f t="shared" si="19"/>
        <v>https://www.ocf.berkeley.edu/~pkmendez/envsci/projects/2001final/Ju.pdf</v>
      </c>
      <c r="P1123" s="4" t="s">
        <v>9</v>
      </c>
      <c r="Q1123" s="4" t="s">
        <v>10</v>
      </c>
    </row>
    <row r="1124" spans="1:17" x14ac:dyDescent="0.35">
      <c r="A1124" s="2" t="s">
        <v>5884</v>
      </c>
      <c r="B1124" s="2" t="s">
        <v>5290</v>
      </c>
      <c r="C1124" s="2" t="s">
        <v>5291</v>
      </c>
      <c r="D1124" s="2">
        <v>2001</v>
      </c>
      <c r="E1124" s="2" t="s">
        <v>5292</v>
      </c>
      <c r="G1124" s="2" t="s">
        <v>5293</v>
      </c>
      <c r="H1124" s="6" t="s">
        <v>5875</v>
      </c>
      <c r="I1124" s="2" t="str" cm="1">
        <f t="array" ref="I1124">H1124&amp;_xlfn.REGEXEXTRACT(G1124,"^(.*?)(?=-page1)")&amp;".pdf"</f>
        <v>https://www.ocf.berkeley.edu/~pkmendez/envsci/projects/2001final/Kurosu.pdf</v>
      </c>
      <c r="J1124" s="1" t="str">
        <f t="shared" si="19"/>
        <v>https://www.ocf.berkeley.edu/~pkmendez/envsci/projects/2001final/Kurosu.pdf</v>
      </c>
      <c r="P1124" s="4" t="s">
        <v>9</v>
      </c>
      <c r="Q1124" s="4" t="s">
        <v>10</v>
      </c>
    </row>
    <row r="1125" spans="1:17" x14ac:dyDescent="0.35">
      <c r="A1125" s="2" t="s">
        <v>5884</v>
      </c>
      <c r="B1125" s="2" t="s">
        <v>5294</v>
      </c>
      <c r="C1125" s="2" t="s">
        <v>5295</v>
      </c>
      <c r="D1125" s="2">
        <v>2001</v>
      </c>
      <c r="E1125" s="2" t="s">
        <v>5296</v>
      </c>
      <c r="G1125" s="2" t="s">
        <v>4904</v>
      </c>
      <c r="H1125" s="6" t="s">
        <v>5875</v>
      </c>
      <c r="I1125" s="2" t="str" cm="1">
        <f t="array" ref="I1125">H1125&amp;_xlfn.REGEXEXTRACT(G1125,"^(.*?)(?=-page1)")&amp;".pdf"</f>
        <v>https://www.ocf.berkeley.edu/~pkmendez/envsci/projects/2001final/Lee.pdf</v>
      </c>
      <c r="J1125" s="1" t="str">
        <f t="shared" si="19"/>
        <v>https://www.ocf.berkeley.edu/~pkmendez/envsci/projects/2001final/Lee.pdf</v>
      </c>
      <c r="P1125" s="4" t="s">
        <v>9</v>
      </c>
      <c r="Q1125" s="4" t="s">
        <v>10</v>
      </c>
    </row>
    <row r="1126" spans="1:17" x14ac:dyDescent="0.35">
      <c r="A1126" s="2" t="s">
        <v>5884</v>
      </c>
      <c r="B1126" s="2" t="s">
        <v>5297</v>
      </c>
      <c r="C1126" s="2" t="s">
        <v>5298</v>
      </c>
      <c r="D1126" s="2">
        <v>2001</v>
      </c>
      <c r="E1126" s="2" t="s">
        <v>5299</v>
      </c>
      <c r="G1126" s="2" t="s">
        <v>5300</v>
      </c>
      <c r="H1126" s="6" t="s">
        <v>5875</v>
      </c>
      <c r="I1126" s="2" t="str" cm="1">
        <f t="array" ref="I1126">H1126&amp;_xlfn.REGEXEXTRACT(G1126,"^(.*?)(?=-page1)")&amp;".pdf"</f>
        <v>https://www.ocf.berkeley.edu/~pkmendez/envsci/projects/2001final/Lehigh.pdf</v>
      </c>
      <c r="J1126" s="1" t="str">
        <f t="shared" si="19"/>
        <v>https://www.ocf.berkeley.edu/~pkmendez/envsci/projects/2001final/Lehigh.pdf</v>
      </c>
      <c r="P1126" s="4" t="s">
        <v>9</v>
      </c>
      <c r="Q1126" s="4" t="s">
        <v>10</v>
      </c>
    </row>
    <row r="1127" spans="1:17" x14ac:dyDescent="0.35">
      <c r="A1127" s="2" t="s">
        <v>5884</v>
      </c>
      <c r="B1127" s="2" t="s">
        <v>5301</v>
      </c>
      <c r="C1127" s="2" t="s">
        <v>5302</v>
      </c>
      <c r="D1127" s="2">
        <v>2001</v>
      </c>
      <c r="E1127" s="2" t="s">
        <v>5303</v>
      </c>
      <c r="G1127" s="2" t="s">
        <v>4689</v>
      </c>
      <c r="H1127" s="6" t="s">
        <v>5875</v>
      </c>
      <c r="I1127" s="2" t="str" cm="1">
        <f t="array" ref="I1127">H1127&amp;_xlfn.REGEXEXTRACT(G1127,"^(.*?)(?=-page1)")&amp;".pdf"</f>
        <v>https://www.ocf.berkeley.edu/~pkmendez/envsci/projects/2001final/Liu.pdf</v>
      </c>
      <c r="J1127" s="1" t="str">
        <f t="shared" si="19"/>
        <v>https://www.ocf.berkeley.edu/~pkmendez/envsci/projects/2001final/Liu.pdf</v>
      </c>
      <c r="P1127" s="4" t="s">
        <v>9</v>
      </c>
      <c r="Q1127" s="4" t="s">
        <v>10</v>
      </c>
    </row>
    <row r="1128" spans="1:17" x14ac:dyDescent="0.35">
      <c r="A1128" s="2" t="s">
        <v>5884</v>
      </c>
      <c r="B1128" s="2" t="s">
        <v>5304</v>
      </c>
      <c r="C1128" s="2" t="s">
        <v>5305</v>
      </c>
      <c r="D1128" s="2">
        <v>2001</v>
      </c>
      <c r="E1128" s="2" t="s">
        <v>5306</v>
      </c>
      <c r="G1128" s="2" t="s">
        <v>5307</v>
      </c>
      <c r="H1128" s="6" t="s">
        <v>5875</v>
      </c>
      <c r="I1128" s="2" t="str" cm="1">
        <f t="array" ref="I1128">H1128&amp;_xlfn.REGEXEXTRACT(G1128,"^(.*?)(?=-page1)")&amp;".pdf"</f>
        <v>https://www.ocf.berkeley.edu/~pkmendez/envsci/projects/2001final/Malhi.pdf</v>
      </c>
      <c r="J1128" s="1" t="str">
        <f t="shared" si="19"/>
        <v>https://www.ocf.berkeley.edu/~pkmendez/envsci/projects/2001final/Malhi.pdf</v>
      </c>
      <c r="P1128" s="4" t="s">
        <v>9</v>
      </c>
      <c r="Q1128" s="4" t="s">
        <v>10</v>
      </c>
    </row>
    <row r="1129" spans="1:17" x14ac:dyDescent="0.35">
      <c r="A1129" s="2" t="s">
        <v>5884</v>
      </c>
      <c r="B1129" s="2" t="s">
        <v>5308</v>
      </c>
      <c r="C1129" s="2" t="s">
        <v>5309</v>
      </c>
      <c r="D1129" s="2">
        <v>2001</v>
      </c>
      <c r="E1129" s="2" t="s">
        <v>5310</v>
      </c>
      <c r="G1129" s="2" t="s">
        <v>5311</v>
      </c>
      <c r="H1129" s="6" t="s">
        <v>5875</v>
      </c>
      <c r="I1129" s="2" t="str" cm="1">
        <f t="array" ref="I1129">H1129&amp;_xlfn.REGEXEXTRACT(G1129,"^(.*?)(?=-page1)")&amp;".pdf"</f>
        <v>https://www.ocf.berkeley.edu/~pkmendez/envsci/projects/2001final/Marinov.pdf</v>
      </c>
      <c r="J1129" s="1" t="str">
        <f t="shared" si="19"/>
        <v>https://www.ocf.berkeley.edu/~pkmendez/envsci/projects/2001final/Marinov.pdf</v>
      </c>
      <c r="P1129" s="4" t="s">
        <v>9</v>
      </c>
      <c r="Q1129" s="4" t="s">
        <v>10</v>
      </c>
    </row>
    <row r="1130" spans="1:17" x14ac:dyDescent="0.35">
      <c r="A1130" s="2" t="s">
        <v>5884</v>
      </c>
      <c r="B1130" s="2" t="s">
        <v>5312</v>
      </c>
      <c r="C1130" s="2" t="s">
        <v>5313</v>
      </c>
      <c r="D1130" s="2">
        <v>2001</v>
      </c>
      <c r="E1130" s="2" t="s">
        <v>5314</v>
      </c>
      <c r="G1130" s="2" t="s">
        <v>5315</v>
      </c>
      <c r="H1130" s="6" t="s">
        <v>5875</v>
      </c>
      <c r="I1130" s="2" t="str" cm="1">
        <f t="array" ref="I1130">H1130&amp;_xlfn.REGEXEXTRACT(G1130,"^(.*?)(?=-page1)")&amp;".pdf"</f>
        <v>https://www.ocf.berkeley.edu/~pkmendez/envsci/projects/2001final/Miller.pdf</v>
      </c>
      <c r="J1130" s="1" t="str">
        <f t="shared" si="19"/>
        <v>https://www.ocf.berkeley.edu/~pkmendez/envsci/projects/2001final/Miller.pdf</v>
      </c>
      <c r="P1130" s="4" t="s">
        <v>9</v>
      </c>
      <c r="Q1130" s="4" t="s">
        <v>10</v>
      </c>
    </row>
    <row r="1131" spans="1:17" x14ac:dyDescent="0.35">
      <c r="A1131" s="2" t="s">
        <v>5884</v>
      </c>
      <c r="B1131" s="2" t="s">
        <v>5316</v>
      </c>
      <c r="C1131" s="2" t="s">
        <v>5317</v>
      </c>
      <c r="D1131" s="2">
        <v>2001</v>
      </c>
      <c r="E1131" s="2" t="s">
        <v>5318</v>
      </c>
      <c r="G1131" s="2" t="s">
        <v>5319</v>
      </c>
      <c r="H1131" s="6" t="s">
        <v>5875</v>
      </c>
      <c r="I1131" s="2" t="str" cm="1">
        <f t="array" ref="I1131">H1131&amp;_xlfn.REGEXEXTRACT(G1131,"^(.*?)(?=-page1)")&amp;".pdf"</f>
        <v>https://www.ocf.berkeley.edu/~pkmendez/envsci/projects/2001final/Mitchell.pdf</v>
      </c>
      <c r="J1131" s="1" t="str">
        <f t="shared" si="19"/>
        <v>https://www.ocf.berkeley.edu/~pkmendez/envsci/projects/2001final/Mitchell.pdf</v>
      </c>
      <c r="P1131" s="4" t="s">
        <v>9</v>
      </c>
      <c r="Q1131" s="4" t="s">
        <v>10</v>
      </c>
    </row>
    <row r="1132" spans="1:17" x14ac:dyDescent="0.35">
      <c r="A1132" s="2" t="s">
        <v>5884</v>
      </c>
      <c r="B1132" s="2" t="s">
        <v>5320</v>
      </c>
      <c r="C1132" s="2" t="s">
        <v>5321</v>
      </c>
      <c r="D1132" s="2">
        <v>2001</v>
      </c>
      <c r="E1132" s="2" t="s">
        <v>5322</v>
      </c>
      <c r="G1132" s="2" t="s">
        <v>5323</v>
      </c>
      <c r="H1132" s="6" t="s">
        <v>5875</v>
      </c>
      <c r="I1132" s="2" t="str" cm="1">
        <f t="array" ref="I1132">H1132&amp;_xlfn.REGEXEXTRACT(G1132,"^(.*?)(?=-page1)")&amp;".pdf"</f>
        <v>https://www.ocf.berkeley.edu/~pkmendez/envsci/projects/2001final/Miyauchi.pdf</v>
      </c>
      <c r="J1132" s="1" t="str">
        <f t="shared" si="19"/>
        <v>https://www.ocf.berkeley.edu/~pkmendez/envsci/projects/2001final/Miyauchi.pdf</v>
      </c>
      <c r="P1132" s="4" t="s">
        <v>9</v>
      </c>
      <c r="Q1132" s="4" t="s">
        <v>10</v>
      </c>
    </row>
    <row r="1133" spans="1:17" x14ac:dyDescent="0.35">
      <c r="A1133" s="2" t="s">
        <v>5884</v>
      </c>
      <c r="B1133" s="2" t="s">
        <v>5324</v>
      </c>
      <c r="C1133" s="2" t="s">
        <v>5325</v>
      </c>
      <c r="D1133" s="2">
        <v>2001</v>
      </c>
      <c r="E1133" s="2" t="s">
        <v>5326</v>
      </c>
      <c r="G1133" s="2" t="s">
        <v>5327</v>
      </c>
      <c r="H1133" s="6" t="s">
        <v>5875</v>
      </c>
      <c r="I1133" s="2" t="str" cm="1">
        <f t="array" ref="I1133">H1133&amp;_xlfn.REGEXEXTRACT(G1133,"^(.*?)(?=-page1)")&amp;".pdf"</f>
        <v>https://www.ocf.berkeley.edu/~pkmendez/envsci/projects/2001final/Owens.pdf</v>
      </c>
      <c r="J1133" s="1" t="str">
        <f t="shared" si="19"/>
        <v>https://www.ocf.berkeley.edu/~pkmendez/envsci/projects/2001final/Owens.pdf</v>
      </c>
      <c r="P1133" s="4" t="s">
        <v>9</v>
      </c>
      <c r="Q1133" s="4" t="s">
        <v>10</v>
      </c>
    </row>
    <row r="1134" spans="1:17" x14ac:dyDescent="0.35">
      <c r="A1134" s="2" t="s">
        <v>5884</v>
      </c>
      <c r="B1134" s="2" t="s">
        <v>5328</v>
      </c>
      <c r="C1134" s="2" t="s">
        <v>5329</v>
      </c>
      <c r="D1134" s="2">
        <v>2001</v>
      </c>
      <c r="E1134" s="2" t="s">
        <v>5330</v>
      </c>
      <c r="G1134" s="2" t="s">
        <v>5331</v>
      </c>
      <c r="H1134" s="6" t="s">
        <v>5875</v>
      </c>
      <c r="I1134" s="2" t="str" cm="1">
        <f t="array" ref="I1134">H1134&amp;_xlfn.REGEXEXTRACT(G1134,"^(.*?)(?=-page1)")&amp;".pdf"</f>
        <v>https://www.ocf.berkeley.edu/~pkmendez/envsci/projects/2001final/Pham.pdf</v>
      </c>
      <c r="J1134" s="1" t="str">
        <f t="shared" si="19"/>
        <v>https://www.ocf.berkeley.edu/~pkmendez/envsci/projects/2001final/Pham.pdf</v>
      </c>
      <c r="P1134" s="4" t="s">
        <v>9</v>
      </c>
      <c r="Q1134" s="4" t="s">
        <v>10</v>
      </c>
    </row>
    <row r="1135" spans="1:17" x14ac:dyDescent="0.35">
      <c r="A1135" s="2" t="s">
        <v>5884</v>
      </c>
      <c r="B1135" s="2" t="s">
        <v>5332</v>
      </c>
      <c r="C1135" s="2" t="s">
        <v>5333</v>
      </c>
      <c r="D1135" s="2">
        <v>2001</v>
      </c>
      <c r="E1135" s="2" t="s">
        <v>5334</v>
      </c>
      <c r="G1135" s="2" t="s">
        <v>5335</v>
      </c>
      <c r="H1135" s="6" t="s">
        <v>5875</v>
      </c>
      <c r="I1135" s="2" t="str" cm="1">
        <f t="array" ref="I1135">H1135&amp;_xlfn.REGEXEXTRACT(G1135,"^(.*?)(?=-page1)")&amp;".pdf"</f>
        <v>https://www.ocf.berkeley.edu/~pkmendez/envsci/projects/2001final/Pheatt.pdf</v>
      </c>
      <c r="J1135" s="1" t="str">
        <f t="shared" si="19"/>
        <v>https://www.ocf.berkeley.edu/~pkmendez/envsci/projects/2001final/Pheatt.pdf</v>
      </c>
      <c r="P1135" s="4" t="s">
        <v>9</v>
      </c>
      <c r="Q1135" s="4" t="s">
        <v>10</v>
      </c>
    </row>
    <row r="1136" spans="1:17" x14ac:dyDescent="0.35">
      <c r="A1136" s="2" t="s">
        <v>5884</v>
      </c>
      <c r="B1136" s="2" t="s">
        <v>5336</v>
      </c>
      <c r="C1136" s="2" t="s">
        <v>5337</v>
      </c>
      <c r="D1136" s="2">
        <v>2001</v>
      </c>
      <c r="E1136" s="2" t="s">
        <v>5338</v>
      </c>
      <c r="G1136" s="2" t="s">
        <v>5339</v>
      </c>
      <c r="H1136" s="6" t="s">
        <v>5875</v>
      </c>
      <c r="I1136" s="2" t="str" cm="1">
        <f t="array" ref="I1136">H1136&amp;_xlfn.REGEXEXTRACT(G1136,"^(.*?)(?=-page1)")&amp;".pdf"</f>
        <v>https://www.ocf.berkeley.edu/~pkmendez/envsci/projects/2001final/Price.pdf</v>
      </c>
      <c r="J1136" s="1" t="str">
        <f t="shared" si="19"/>
        <v>https://www.ocf.berkeley.edu/~pkmendez/envsci/projects/2001final/Price.pdf</v>
      </c>
      <c r="P1136" s="4" t="s">
        <v>9</v>
      </c>
      <c r="Q1136" s="4" t="s">
        <v>10</v>
      </c>
    </row>
    <row r="1137" spans="1:17" x14ac:dyDescent="0.35">
      <c r="A1137" s="2" t="s">
        <v>5884</v>
      </c>
      <c r="B1137" s="2" t="s">
        <v>5340</v>
      </c>
      <c r="C1137" s="2" t="s">
        <v>5341</v>
      </c>
      <c r="D1137" s="2">
        <v>2001</v>
      </c>
      <c r="E1137" s="2" t="s">
        <v>5342</v>
      </c>
      <c r="G1137" s="2" t="s">
        <v>5343</v>
      </c>
      <c r="H1137" s="6" t="s">
        <v>5875</v>
      </c>
      <c r="I1137" s="2" t="str" cm="1">
        <f t="array" ref="I1137">H1137&amp;_xlfn.REGEXEXTRACT(G1137,"^(.*?)(?=-page1)")&amp;".pdf"</f>
        <v>https://www.ocf.berkeley.edu/~pkmendez/envsci/projects/2001final/Rich.pdf</v>
      </c>
      <c r="J1137" s="1" t="str">
        <f t="shared" si="19"/>
        <v>https://www.ocf.berkeley.edu/~pkmendez/envsci/projects/2001final/Rich.pdf</v>
      </c>
      <c r="P1137" s="4" t="s">
        <v>9</v>
      </c>
      <c r="Q1137" s="4" t="s">
        <v>10</v>
      </c>
    </row>
    <row r="1138" spans="1:17" x14ac:dyDescent="0.35">
      <c r="A1138" s="2" t="s">
        <v>5884</v>
      </c>
      <c r="B1138" s="2" t="s">
        <v>5344</v>
      </c>
      <c r="C1138" s="2" t="s">
        <v>5345</v>
      </c>
      <c r="D1138" s="2">
        <v>2001</v>
      </c>
      <c r="E1138" s="2" t="s">
        <v>5346</v>
      </c>
      <c r="G1138" s="2" t="s">
        <v>5347</v>
      </c>
      <c r="H1138" s="6" t="s">
        <v>5875</v>
      </c>
      <c r="I1138" s="2" t="str" cm="1">
        <f t="array" ref="I1138">H1138&amp;_xlfn.REGEXEXTRACT(G1138,"^(.*?)(?=-page1)")&amp;".pdf"</f>
        <v>https://www.ocf.berkeley.edu/~pkmendez/envsci/projects/2001final/Riley.pdf</v>
      </c>
      <c r="J1138" s="1" t="str">
        <f t="shared" si="19"/>
        <v>https://www.ocf.berkeley.edu/~pkmendez/envsci/projects/2001final/Riley.pdf</v>
      </c>
      <c r="P1138" s="4" t="s">
        <v>9</v>
      </c>
      <c r="Q1138" s="4" t="s">
        <v>10</v>
      </c>
    </row>
    <row r="1139" spans="1:17" x14ac:dyDescent="0.35">
      <c r="A1139" s="2" t="s">
        <v>5884</v>
      </c>
      <c r="B1139" s="2" t="s">
        <v>5348</v>
      </c>
      <c r="C1139" s="2" t="s">
        <v>5349</v>
      </c>
      <c r="D1139" s="2">
        <v>2001</v>
      </c>
      <c r="E1139" s="2" t="s">
        <v>5350</v>
      </c>
      <c r="G1139" s="2" t="s">
        <v>5351</v>
      </c>
      <c r="H1139" s="6" t="s">
        <v>5875</v>
      </c>
      <c r="I1139" s="2" t="str" cm="1">
        <f t="array" ref="I1139">H1139&amp;_xlfn.REGEXEXTRACT(G1139,"^(.*?)(?=-page1)")&amp;".pdf"</f>
        <v>https://www.ocf.berkeley.edu/~pkmendez/envsci/projects/2001final/Stuart.pdf</v>
      </c>
      <c r="J1139" s="1" t="str">
        <f t="shared" si="19"/>
        <v>https://www.ocf.berkeley.edu/~pkmendez/envsci/projects/2001final/Stuart.pdf</v>
      </c>
      <c r="P1139" s="4" t="s">
        <v>9</v>
      </c>
      <c r="Q1139" s="4" t="s">
        <v>10</v>
      </c>
    </row>
    <row r="1140" spans="1:17" x14ac:dyDescent="0.35">
      <c r="A1140" s="2" t="s">
        <v>5884</v>
      </c>
      <c r="B1140" s="2" t="s">
        <v>5352</v>
      </c>
      <c r="C1140" s="2" t="s">
        <v>5353</v>
      </c>
      <c r="D1140" s="2">
        <v>2001</v>
      </c>
      <c r="E1140" s="2" t="s">
        <v>5354</v>
      </c>
      <c r="G1140" s="2" t="s">
        <v>5355</v>
      </c>
      <c r="H1140" s="6" t="s">
        <v>5875</v>
      </c>
      <c r="I1140" s="2" t="str" cm="1">
        <f t="array" ref="I1140">H1140&amp;_xlfn.REGEXEXTRACT(G1140,"^(.*?)(?=-page1)")&amp;".pdf"</f>
        <v>https://www.ocf.berkeley.edu/~pkmendez/envsci/projects/2001final/Tudd.pdf</v>
      </c>
      <c r="J1140" s="1" t="str">
        <f t="shared" si="19"/>
        <v>https://www.ocf.berkeley.edu/~pkmendez/envsci/projects/2001final/Tudd.pdf</v>
      </c>
      <c r="P1140" s="4" t="s">
        <v>9</v>
      </c>
      <c r="Q1140" s="4" t="s">
        <v>10</v>
      </c>
    </row>
    <row r="1141" spans="1:17" x14ac:dyDescent="0.35">
      <c r="A1141" s="2" t="s">
        <v>5884</v>
      </c>
      <c r="B1141" s="2" t="s">
        <v>5356</v>
      </c>
      <c r="C1141" s="2" t="s">
        <v>5357</v>
      </c>
      <c r="D1141" s="2">
        <v>2001</v>
      </c>
      <c r="E1141" s="2" t="s">
        <v>5358</v>
      </c>
      <c r="G1141" s="2" t="s">
        <v>5359</v>
      </c>
      <c r="H1141" s="6" t="s">
        <v>5875</v>
      </c>
      <c r="I1141" s="2" t="str" cm="1">
        <f t="array" ref="I1141">H1141&amp;_xlfn.REGEXEXTRACT(G1141,"^(.*?)(?=-page1)")&amp;".pdf"</f>
        <v>https://www.ocf.berkeley.edu/~pkmendez/envsci/projects/2001final/Webber.pdf</v>
      </c>
      <c r="J1141" s="1" t="str">
        <f t="shared" si="19"/>
        <v>https://www.ocf.berkeley.edu/~pkmendez/envsci/projects/2001final/Webber.pdf</v>
      </c>
      <c r="P1141" s="4" t="s">
        <v>9</v>
      </c>
      <c r="Q1141" s="4" t="s">
        <v>10</v>
      </c>
    </row>
    <row r="1142" spans="1:17" x14ac:dyDescent="0.35">
      <c r="A1142" s="2" t="s">
        <v>5884</v>
      </c>
      <c r="B1142" s="2" t="s">
        <v>5360</v>
      </c>
      <c r="C1142" s="2" t="s">
        <v>5361</v>
      </c>
      <c r="D1142" s="2">
        <v>2001</v>
      </c>
      <c r="E1142" s="2" t="s">
        <v>5362</v>
      </c>
      <c r="G1142" s="2" t="s">
        <v>4462</v>
      </c>
      <c r="H1142" s="6" t="s">
        <v>5875</v>
      </c>
      <c r="I1142" s="2" t="str" cm="1">
        <f t="array" ref="I1142">H1142&amp;_xlfn.REGEXEXTRACT(G1142,"^(.*?)(?=-page1)")&amp;".pdf"</f>
        <v>https://www.ocf.berkeley.edu/~pkmendez/envsci/projects/2001final/Wong.pdf</v>
      </c>
      <c r="J1142" s="1" t="str">
        <f t="shared" si="19"/>
        <v>https://www.ocf.berkeley.edu/~pkmendez/envsci/projects/2001final/Wong.pdf</v>
      </c>
      <c r="P1142" s="4" t="s">
        <v>9</v>
      </c>
      <c r="Q1142" s="4" t="s">
        <v>10</v>
      </c>
    </row>
    <row r="1143" spans="1:17" x14ac:dyDescent="0.35">
      <c r="A1143" s="2" t="s">
        <v>5884</v>
      </c>
      <c r="B1143" s="2" t="s">
        <v>5363</v>
      </c>
      <c r="C1143" s="2" t="s">
        <v>5364</v>
      </c>
      <c r="D1143" s="2">
        <v>2001</v>
      </c>
      <c r="E1143" s="2" t="s">
        <v>5365</v>
      </c>
      <c r="G1143" s="2" t="s">
        <v>5366</v>
      </c>
      <c r="H1143" s="6" t="s">
        <v>5875</v>
      </c>
      <c r="I1143" s="2" t="str" cm="1">
        <f t="array" ref="I1143">H1143&amp;_xlfn.REGEXEXTRACT(G1143,"^(.*?)(?=-page1)")&amp;".pdf"</f>
        <v>https://www.ocf.berkeley.edu/~pkmendez/envsci/projects/2001final/Yoon.pdf</v>
      </c>
      <c r="J1143" s="1" t="str">
        <f t="shared" si="19"/>
        <v>https://www.ocf.berkeley.edu/~pkmendez/envsci/projects/2001final/Yoon.pdf</v>
      </c>
      <c r="P1143" s="4" t="s">
        <v>9</v>
      </c>
      <c r="Q1143" s="4" t="s">
        <v>10</v>
      </c>
    </row>
    <row r="1144" spans="1:17" x14ac:dyDescent="0.35">
      <c r="A1144" s="2" t="s">
        <v>5884</v>
      </c>
      <c r="B1144" s="2" t="s">
        <v>5367</v>
      </c>
      <c r="C1144" s="2" t="s">
        <v>5368</v>
      </c>
      <c r="D1144" s="2">
        <v>2000</v>
      </c>
      <c r="E1144" s="2" t="s">
        <v>5369</v>
      </c>
      <c r="G1144" s="2" t="s">
        <v>5370</v>
      </c>
      <c r="H1144" s="6" t="s">
        <v>5876</v>
      </c>
      <c r="I1144" s="2" t="str" cm="1">
        <f t="array" ref="I1144">H1144&amp;_xlfn.REGEXEXTRACT(G1144,"^(.*?)(?=-page1)")&amp;".pdf"</f>
        <v>https://www.ocf.berkeley.edu/~pkmendez/envsci/projects/2000final/alee.pdf</v>
      </c>
      <c r="J1144" s="1" t="str">
        <f t="shared" si="19"/>
        <v>https://www.ocf.berkeley.edu/~pkmendez/envsci/projects/2000final/alee.pdf</v>
      </c>
      <c r="P1144" s="4" t="s">
        <v>9</v>
      </c>
      <c r="Q1144" s="4" t="s">
        <v>10</v>
      </c>
    </row>
    <row r="1145" spans="1:17" x14ac:dyDescent="0.35">
      <c r="A1145" s="2" t="s">
        <v>5884</v>
      </c>
      <c r="B1145" s="2" t="s">
        <v>5371</v>
      </c>
      <c r="C1145" s="2" t="s">
        <v>5372</v>
      </c>
      <c r="D1145" s="2">
        <v>2000</v>
      </c>
      <c r="E1145" s="2" t="s">
        <v>5373</v>
      </c>
      <c r="G1145" s="2" t="s">
        <v>5374</v>
      </c>
      <c r="H1145" s="6" t="s">
        <v>5876</v>
      </c>
      <c r="I1145" s="2" t="str" cm="1">
        <f t="array" ref="I1145">H1145&amp;_xlfn.REGEXEXTRACT(G1145,"^(.*?)(?=-page1)")&amp;".pdf"</f>
        <v>https://www.ocf.berkeley.edu/~pkmendez/envsci/projects/2000final/anderson.pdf</v>
      </c>
      <c r="J1145" s="1" t="str">
        <f t="shared" si="19"/>
        <v>https://www.ocf.berkeley.edu/~pkmendez/envsci/projects/2000final/anderson.pdf</v>
      </c>
      <c r="P1145" s="4" t="s">
        <v>9</v>
      </c>
      <c r="Q1145" s="4" t="s">
        <v>10</v>
      </c>
    </row>
    <row r="1146" spans="1:17" x14ac:dyDescent="0.35">
      <c r="A1146" s="2" t="s">
        <v>5884</v>
      </c>
      <c r="B1146" s="2" t="s">
        <v>5844</v>
      </c>
      <c r="C1146" s="2" t="s">
        <v>5375</v>
      </c>
      <c r="D1146" s="2">
        <v>2000</v>
      </c>
      <c r="E1146" s="2" t="s">
        <v>5376</v>
      </c>
      <c r="G1146" s="2" t="s">
        <v>5377</v>
      </c>
      <c r="H1146" s="6" t="s">
        <v>5876</v>
      </c>
      <c r="I1146" s="2" t="str" cm="1">
        <f t="array" ref="I1146">H1146&amp;_xlfn.REGEXEXTRACT(G1146,"^(.*?)(?=-page1)")&amp;".pdf"</f>
        <v>https://www.ocf.berkeley.edu/~pkmendez/envsci/projects/2000final/aschoff.pdf</v>
      </c>
      <c r="J1146" s="1" t="str">
        <f t="shared" si="19"/>
        <v>https://www.ocf.berkeley.edu/~pkmendez/envsci/projects/2000final/aschoff.pdf</v>
      </c>
      <c r="P1146" s="4" t="s">
        <v>9</v>
      </c>
      <c r="Q1146" s="4" t="s">
        <v>10</v>
      </c>
    </row>
    <row r="1147" spans="1:17" x14ac:dyDescent="0.35">
      <c r="A1147" s="2" t="s">
        <v>5884</v>
      </c>
      <c r="B1147" s="2" t="s">
        <v>5845</v>
      </c>
      <c r="C1147" s="2" t="s">
        <v>5378</v>
      </c>
      <c r="D1147" s="2">
        <v>2000</v>
      </c>
      <c r="E1147" s="2" t="s">
        <v>5379</v>
      </c>
      <c r="G1147" s="2" t="s">
        <v>5380</v>
      </c>
      <c r="H1147" s="6" t="s">
        <v>5876</v>
      </c>
      <c r="I1147" s="2" t="str" cm="1">
        <f t="array" ref="I1147">H1147&amp;_xlfn.REGEXEXTRACT(G1147,"^(.*?)(?=-page1)")&amp;".pdf"</f>
        <v>https://www.ocf.berkeley.edu/~pkmendez/envsci/projects/2000final/ash.pdf</v>
      </c>
      <c r="J1147" s="1" t="str">
        <f t="shared" si="19"/>
        <v>https://www.ocf.berkeley.edu/~pkmendez/envsci/projects/2000final/ash.pdf</v>
      </c>
      <c r="P1147" s="4" t="s">
        <v>9</v>
      </c>
      <c r="Q1147" s="4" t="s">
        <v>10</v>
      </c>
    </row>
    <row r="1148" spans="1:17" x14ac:dyDescent="0.35">
      <c r="A1148" s="2" t="s">
        <v>5884</v>
      </c>
      <c r="B1148" s="2" t="s">
        <v>5846</v>
      </c>
      <c r="C1148" s="2" t="s">
        <v>5381</v>
      </c>
      <c r="D1148" s="2">
        <v>2000</v>
      </c>
      <c r="E1148" s="2" t="s">
        <v>5382</v>
      </c>
      <c r="G1148" s="2" t="s">
        <v>5383</v>
      </c>
      <c r="H1148" s="6" t="s">
        <v>5876</v>
      </c>
      <c r="I1148" s="2" t="str" cm="1">
        <f t="array" ref="I1148">H1148&amp;_xlfn.REGEXEXTRACT(G1148,"^(.*?)(?=-page1)")&amp;".pdf"</f>
        <v>https://www.ocf.berkeley.edu/~pkmendez/envsci/projects/2000final/blee.pdf</v>
      </c>
      <c r="J1148" s="1" t="str">
        <f t="shared" si="19"/>
        <v>https://www.ocf.berkeley.edu/~pkmendez/envsci/projects/2000final/blee.pdf</v>
      </c>
      <c r="P1148" s="4" t="s">
        <v>9</v>
      </c>
      <c r="Q1148" s="4" t="s">
        <v>10</v>
      </c>
    </row>
    <row r="1149" spans="1:17" x14ac:dyDescent="0.35">
      <c r="A1149" s="2" t="s">
        <v>5884</v>
      </c>
      <c r="B1149" s="2" t="s">
        <v>5847</v>
      </c>
      <c r="C1149" s="2" t="s">
        <v>5384</v>
      </c>
      <c r="D1149" s="2">
        <v>2000</v>
      </c>
      <c r="E1149" s="2" t="s">
        <v>5385</v>
      </c>
      <c r="G1149" s="2" t="s">
        <v>5386</v>
      </c>
      <c r="H1149" s="6" t="s">
        <v>5876</v>
      </c>
      <c r="I1149" s="2" t="str" cm="1">
        <f t="array" ref="I1149">H1149&amp;_xlfn.REGEXEXTRACT(G1149,"^(.*?)(?=-page1)")&amp;".pdf"</f>
        <v>https://www.ocf.berkeley.edu/~pkmendez/envsci/projects/2000final/brandt.pdf</v>
      </c>
      <c r="J1149" s="1" t="str">
        <f t="shared" si="19"/>
        <v>https://www.ocf.berkeley.edu/~pkmendez/envsci/projects/2000final/brandt.pdf</v>
      </c>
      <c r="P1149" s="4" t="s">
        <v>9</v>
      </c>
      <c r="Q1149" s="4" t="s">
        <v>10</v>
      </c>
    </row>
    <row r="1150" spans="1:17" x14ac:dyDescent="0.35">
      <c r="A1150" s="2" t="s">
        <v>5884</v>
      </c>
      <c r="B1150" s="2" t="s">
        <v>5387</v>
      </c>
      <c r="C1150" s="2" t="s">
        <v>5388</v>
      </c>
      <c r="D1150" s="2">
        <v>2000</v>
      </c>
      <c r="E1150" s="2" t="s">
        <v>5389</v>
      </c>
      <c r="G1150" s="2" t="s">
        <v>5390</v>
      </c>
      <c r="H1150" s="6" t="s">
        <v>5876</v>
      </c>
      <c r="I1150" s="2" t="str" cm="1">
        <f t="array" ref="I1150">H1150&amp;_xlfn.REGEXEXTRACT(G1150,"^(.*?)(?=-page1)")&amp;".pdf"</f>
        <v>https://www.ocf.berkeley.edu/~pkmendez/envsci/projects/2000final/chang.pdf</v>
      </c>
      <c r="J1150" s="1" t="str">
        <f t="shared" si="19"/>
        <v>https://www.ocf.berkeley.edu/~pkmendez/envsci/projects/2000final/chang.pdf</v>
      </c>
      <c r="P1150" s="4" t="s">
        <v>9</v>
      </c>
      <c r="Q1150" s="4" t="s">
        <v>10</v>
      </c>
    </row>
    <row r="1151" spans="1:17" x14ac:dyDescent="0.35">
      <c r="A1151" s="2" t="s">
        <v>5884</v>
      </c>
      <c r="B1151" s="2" t="s">
        <v>5391</v>
      </c>
      <c r="C1151" s="2" t="s">
        <v>5392</v>
      </c>
      <c r="D1151" s="2">
        <v>2000</v>
      </c>
      <c r="E1151" s="2" t="s">
        <v>5393</v>
      </c>
      <c r="G1151" s="2" t="s">
        <v>5394</v>
      </c>
      <c r="H1151" s="6" t="s">
        <v>5876</v>
      </c>
      <c r="I1151" s="2" t="str" cm="1">
        <f t="array" ref="I1151">H1151&amp;_xlfn.REGEXEXTRACT(G1151,"^(.*?)(?=-page1)")&amp;".pdf"</f>
        <v>https://www.ocf.berkeley.edu/~pkmendez/envsci/projects/2000final/frank.pdf</v>
      </c>
      <c r="J1151" s="1" t="str">
        <f t="shared" si="19"/>
        <v>https://www.ocf.berkeley.edu/~pkmendez/envsci/projects/2000final/frank.pdf</v>
      </c>
      <c r="P1151" s="4" t="s">
        <v>9</v>
      </c>
      <c r="Q1151" s="4" t="s">
        <v>10</v>
      </c>
    </row>
    <row r="1152" spans="1:17" x14ac:dyDescent="0.35">
      <c r="A1152" s="2" t="s">
        <v>5884</v>
      </c>
      <c r="B1152" s="2" t="s">
        <v>5395</v>
      </c>
      <c r="C1152" s="2" t="s">
        <v>5396</v>
      </c>
      <c r="D1152" s="2">
        <v>2000</v>
      </c>
      <c r="E1152" s="2" t="s">
        <v>5397</v>
      </c>
      <c r="G1152" s="2" t="s">
        <v>5398</v>
      </c>
      <c r="H1152" s="6" t="s">
        <v>5876</v>
      </c>
      <c r="I1152" s="2" t="str" cm="1">
        <f t="array" ref="I1152">H1152&amp;_xlfn.REGEXEXTRACT(G1152,"^(.*?)(?=-page1)")&amp;".pdf"</f>
        <v>https://www.ocf.berkeley.edu/~pkmendez/envsci/projects/2000final/garrett.pdf</v>
      </c>
      <c r="J1152" s="1" t="str">
        <f t="shared" si="19"/>
        <v>https://www.ocf.berkeley.edu/~pkmendez/envsci/projects/2000final/garrett.pdf</v>
      </c>
      <c r="P1152" s="4" t="s">
        <v>9</v>
      </c>
      <c r="Q1152" s="4" t="s">
        <v>10</v>
      </c>
    </row>
    <row r="1153" spans="1:17" x14ac:dyDescent="0.35">
      <c r="A1153" s="2" t="s">
        <v>5884</v>
      </c>
      <c r="B1153" s="2" t="s">
        <v>5399</v>
      </c>
      <c r="C1153" s="2" t="s">
        <v>5400</v>
      </c>
      <c r="D1153" s="2">
        <v>2000</v>
      </c>
      <c r="E1153" s="2" t="s">
        <v>5401</v>
      </c>
      <c r="G1153" s="2" t="s">
        <v>5402</v>
      </c>
      <c r="H1153" s="6" t="s">
        <v>5876</v>
      </c>
      <c r="I1153" s="2" t="str" cm="1">
        <f t="array" ref="I1153">H1153&amp;_xlfn.REGEXEXTRACT(G1153,"^(.*?)(?=-page1)")&amp;".pdf"</f>
        <v>https://www.ocf.berkeley.edu/~pkmendez/envsci/projects/2000final/godshall.pdf</v>
      </c>
      <c r="J1153" s="1" t="str">
        <f t="shared" si="19"/>
        <v>https://www.ocf.berkeley.edu/~pkmendez/envsci/projects/2000final/godshall.pdf</v>
      </c>
      <c r="P1153" s="4" t="s">
        <v>9</v>
      </c>
      <c r="Q1153" s="4" t="s">
        <v>10</v>
      </c>
    </row>
    <row r="1154" spans="1:17" x14ac:dyDescent="0.35">
      <c r="A1154" s="2" t="s">
        <v>5884</v>
      </c>
      <c r="B1154" s="2" t="s">
        <v>5403</v>
      </c>
      <c r="C1154" s="2" t="s">
        <v>5404</v>
      </c>
      <c r="D1154" s="2">
        <v>2000</v>
      </c>
      <c r="E1154" s="2" t="s">
        <v>5405</v>
      </c>
      <c r="G1154" s="2" t="s">
        <v>5406</v>
      </c>
      <c r="H1154" s="6" t="s">
        <v>5876</v>
      </c>
      <c r="I1154" s="2" t="str" cm="1">
        <f t="array" ref="I1154">H1154&amp;_xlfn.REGEXEXTRACT(G1154,"^(.*?)(?=-page1)")&amp;".pdf"</f>
        <v>https://www.ocf.berkeley.edu/~pkmendez/envsci/projects/2000final/hong.pdf</v>
      </c>
      <c r="J1154" s="1" t="str">
        <f t="shared" si="19"/>
        <v>https://www.ocf.berkeley.edu/~pkmendez/envsci/projects/2000final/hong.pdf</v>
      </c>
      <c r="P1154" s="4" t="s">
        <v>9</v>
      </c>
      <c r="Q1154" s="4" t="s">
        <v>10</v>
      </c>
    </row>
    <row r="1155" spans="1:17" x14ac:dyDescent="0.35">
      <c r="A1155" s="2" t="s">
        <v>5884</v>
      </c>
      <c r="B1155" s="2" t="s">
        <v>5848</v>
      </c>
      <c r="C1155" s="2" t="s">
        <v>5407</v>
      </c>
      <c r="D1155" s="2">
        <v>2000</v>
      </c>
      <c r="E1155" s="2" t="s">
        <v>5408</v>
      </c>
      <c r="G1155" s="2" t="s">
        <v>5409</v>
      </c>
      <c r="H1155" s="6" t="s">
        <v>5876</v>
      </c>
      <c r="I1155" s="2" t="str" cm="1">
        <f t="array" ref="I1155">H1155&amp;_xlfn.REGEXEXTRACT(G1155,"^(.*?)(?=-page1)")&amp;".pdf"</f>
        <v>https://www.ocf.berkeley.edu/~pkmendez/envsci/projects/2000final/hsieh.pdf</v>
      </c>
      <c r="J1155" s="1" t="str">
        <f t="shared" ref="J1155:J1218" si="20">HYPERLINK(I1155, I1155)</f>
        <v>https://www.ocf.berkeley.edu/~pkmendez/envsci/projects/2000final/hsieh.pdf</v>
      </c>
      <c r="P1155" s="4" t="s">
        <v>9</v>
      </c>
      <c r="Q1155" s="4" t="s">
        <v>10</v>
      </c>
    </row>
    <row r="1156" spans="1:17" x14ac:dyDescent="0.35">
      <c r="A1156" s="2" t="s">
        <v>5884</v>
      </c>
      <c r="B1156" s="2" t="s">
        <v>5410</v>
      </c>
      <c r="C1156" s="2" t="s">
        <v>5411</v>
      </c>
      <c r="D1156" s="2">
        <v>2000</v>
      </c>
      <c r="E1156" s="2" t="s">
        <v>5412</v>
      </c>
      <c r="G1156" s="2" t="s">
        <v>5413</v>
      </c>
      <c r="H1156" s="6" t="s">
        <v>5876</v>
      </c>
      <c r="I1156" s="2" t="str" cm="1">
        <f t="array" ref="I1156">H1156&amp;_xlfn.REGEXEXTRACT(G1156,"^(.*?)(?=-page1)")&amp;".pdf"</f>
        <v>https://www.ocf.berkeley.edu/~pkmendez/envsci/projects/2000final/imamura.pdf</v>
      </c>
      <c r="J1156" s="1" t="str">
        <f t="shared" si="20"/>
        <v>https://www.ocf.berkeley.edu/~pkmendez/envsci/projects/2000final/imamura.pdf</v>
      </c>
      <c r="P1156" s="4" t="s">
        <v>9</v>
      </c>
      <c r="Q1156" s="4" t="s">
        <v>10</v>
      </c>
    </row>
    <row r="1157" spans="1:17" x14ac:dyDescent="0.35">
      <c r="A1157" s="2" t="s">
        <v>5884</v>
      </c>
      <c r="B1157" s="2" t="s">
        <v>5414</v>
      </c>
      <c r="C1157" s="2" t="s">
        <v>5415</v>
      </c>
      <c r="D1157" s="2">
        <v>2000</v>
      </c>
      <c r="E1157" s="2" t="s">
        <v>5416</v>
      </c>
      <c r="G1157" s="2" t="s">
        <v>5417</v>
      </c>
      <c r="H1157" s="6" t="s">
        <v>5876</v>
      </c>
      <c r="I1157" s="2" t="str" cm="1">
        <f t="array" ref="I1157">H1157&amp;_xlfn.REGEXEXTRACT(G1157,"^(.*?)(?=-page1)")&amp;".pdf"</f>
        <v>https://www.ocf.berkeley.edu/~pkmendez/envsci/projects/2000final/Le-Sonu.pdf</v>
      </c>
      <c r="J1157" s="1" t="str">
        <f t="shared" si="20"/>
        <v>https://www.ocf.berkeley.edu/~pkmendez/envsci/projects/2000final/Le-Sonu.pdf</v>
      </c>
      <c r="P1157" s="4" t="s">
        <v>9</v>
      </c>
      <c r="Q1157" s="4" t="s">
        <v>10</v>
      </c>
    </row>
    <row r="1158" spans="1:17" x14ac:dyDescent="0.35">
      <c r="A1158" s="2" t="s">
        <v>5884</v>
      </c>
      <c r="B1158" s="2" t="s">
        <v>5418</v>
      </c>
      <c r="C1158" s="2" t="s">
        <v>5419</v>
      </c>
      <c r="D1158" s="2">
        <v>2000</v>
      </c>
      <c r="E1158" s="2" t="s">
        <v>5420</v>
      </c>
      <c r="G1158" s="2" t="s">
        <v>5421</v>
      </c>
      <c r="H1158" s="6" t="s">
        <v>5876</v>
      </c>
      <c r="I1158" s="2" t="str" cm="1">
        <f t="array" ref="I1158">H1158&amp;_xlfn.REGEXEXTRACT(G1158,"^(.*?)(?=-page1)")&amp;".pdf"</f>
        <v>https://www.ocf.berkeley.edu/~pkmendez/envsci/projects/2000final/malhi.pdf</v>
      </c>
      <c r="J1158" s="1" t="str">
        <f t="shared" si="20"/>
        <v>https://www.ocf.berkeley.edu/~pkmendez/envsci/projects/2000final/malhi.pdf</v>
      </c>
      <c r="P1158" s="4" t="s">
        <v>9</v>
      </c>
      <c r="Q1158" s="4" t="s">
        <v>10</v>
      </c>
    </row>
    <row r="1159" spans="1:17" x14ac:dyDescent="0.35">
      <c r="A1159" s="2" t="s">
        <v>5884</v>
      </c>
      <c r="B1159" s="2" t="s">
        <v>5422</v>
      </c>
      <c r="C1159" s="2" t="s">
        <v>5423</v>
      </c>
      <c r="D1159" s="2">
        <v>2000</v>
      </c>
      <c r="E1159" s="2" t="s">
        <v>5424</v>
      </c>
      <c r="G1159" s="2" t="s">
        <v>5425</v>
      </c>
      <c r="H1159" s="6" t="s">
        <v>5876</v>
      </c>
      <c r="I1159" s="2" t="str" cm="1">
        <f t="array" ref="I1159">H1159&amp;_xlfn.REGEXEXTRACT(G1159,"^(.*?)(?=-page1)")&amp;".pdf"</f>
        <v>https://www.ocf.berkeley.edu/~pkmendez/envsci/projects/2000final/mcCutchan.pdf</v>
      </c>
      <c r="J1159" s="1" t="str">
        <f t="shared" si="20"/>
        <v>https://www.ocf.berkeley.edu/~pkmendez/envsci/projects/2000final/mcCutchan.pdf</v>
      </c>
      <c r="P1159" s="4" t="s">
        <v>9</v>
      </c>
      <c r="Q1159" s="4" t="s">
        <v>10</v>
      </c>
    </row>
    <row r="1160" spans="1:17" x14ac:dyDescent="0.35">
      <c r="A1160" s="2" t="s">
        <v>5884</v>
      </c>
      <c r="B1160" s="2" t="s">
        <v>5426</v>
      </c>
      <c r="C1160" s="2" t="s">
        <v>5427</v>
      </c>
      <c r="D1160" s="2">
        <v>2000</v>
      </c>
      <c r="E1160" s="2" t="s">
        <v>5428</v>
      </c>
      <c r="G1160" s="2" t="s">
        <v>5429</v>
      </c>
      <c r="H1160" s="6" t="s">
        <v>5876</v>
      </c>
      <c r="I1160" s="2" t="str" cm="1">
        <f t="array" ref="I1160">H1160&amp;_xlfn.REGEXEXTRACT(G1160,"^(.*?)(?=-page1)")&amp;".pdf"</f>
        <v>https://www.ocf.berkeley.edu/~pkmendez/envsci/projects/2000final/mussa.pdf</v>
      </c>
      <c r="J1160" s="1" t="str">
        <f t="shared" si="20"/>
        <v>https://www.ocf.berkeley.edu/~pkmendez/envsci/projects/2000final/mussa.pdf</v>
      </c>
      <c r="P1160" s="4" t="s">
        <v>9</v>
      </c>
      <c r="Q1160" s="4" t="s">
        <v>10</v>
      </c>
    </row>
    <row r="1161" spans="1:17" x14ac:dyDescent="0.35">
      <c r="A1161" s="2" t="s">
        <v>5884</v>
      </c>
      <c r="B1161" s="2" t="s">
        <v>5849</v>
      </c>
      <c r="C1161" s="2" t="s">
        <v>5430</v>
      </c>
      <c r="D1161" s="2">
        <v>2000</v>
      </c>
      <c r="E1161" s="2" t="s">
        <v>5431</v>
      </c>
      <c r="G1161" s="2" t="s">
        <v>4575</v>
      </c>
      <c r="H1161" s="6" t="s">
        <v>5876</v>
      </c>
      <c r="I1161" s="2" t="str" cm="1">
        <f t="array" ref="I1161">H1161&amp;_xlfn.REGEXEXTRACT(G1161,"^(.*?)(?=-page1)")&amp;".pdf"</f>
        <v>https://www.ocf.berkeley.edu/~pkmendez/envsci/projects/2000final/parks.pdf</v>
      </c>
      <c r="J1161" s="1" t="str">
        <f t="shared" si="20"/>
        <v>https://www.ocf.berkeley.edu/~pkmendez/envsci/projects/2000final/parks.pdf</v>
      </c>
      <c r="P1161" s="4" t="s">
        <v>9</v>
      </c>
      <c r="Q1161" s="4" t="s">
        <v>10</v>
      </c>
    </row>
    <row r="1162" spans="1:17" x14ac:dyDescent="0.35">
      <c r="A1162" s="2" t="s">
        <v>5884</v>
      </c>
      <c r="B1162" s="2" t="s">
        <v>5432</v>
      </c>
      <c r="C1162" s="2" t="s">
        <v>5433</v>
      </c>
      <c r="D1162" s="2">
        <v>2000</v>
      </c>
      <c r="E1162" s="2" t="s">
        <v>5434</v>
      </c>
      <c r="G1162" s="2" t="s">
        <v>5435</v>
      </c>
      <c r="H1162" s="6" t="s">
        <v>5876</v>
      </c>
      <c r="I1162" s="2" t="str" cm="1">
        <f t="array" ref="I1162">H1162&amp;_xlfn.REGEXEXTRACT(G1162,"^(.*?)(?=-page1)")&amp;".pdf"</f>
        <v>https://www.ocf.berkeley.edu/~pkmendez/envsci/projects/2000final/patel.pdf</v>
      </c>
      <c r="J1162" s="1" t="str">
        <f t="shared" si="20"/>
        <v>https://www.ocf.berkeley.edu/~pkmendez/envsci/projects/2000final/patel.pdf</v>
      </c>
      <c r="P1162" s="4" t="s">
        <v>9</v>
      </c>
      <c r="Q1162" s="4" t="s">
        <v>10</v>
      </c>
    </row>
    <row r="1163" spans="1:17" x14ac:dyDescent="0.35">
      <c r="A1163" s="2" t="s">
        <v>5884</v>
      </c>
      <c r="B1163" s="2" t="s">
        <v>5436</v>
      </c>
      <c r="C1163" s="2" t="s">
        <v>5437</v>
      </c>
      <c r="D1163" s="2">
        <v>2000</v>
      </c>
      <c r="E1163" s="2" t="s">
        <v>5438</v>
      </c>
      <c r="G1163" s="2" t="s">
        <v>5439</v>
      </c>
      <c r="H1163" s="6" t="s">
        <v>5876</v>
      </c>
      <c r="I1163" s="2" t="str" cm="1">
        <f t="array" ref="I1163">H1163&amp;_xlfn.REGEXEXTRACT(G1163,"^(.*?)(?=-page1)")&amp;".pdf"</f>
        <v>https://www.ocf.berkeley.edu/~pkmendez/envsci/projects/2000final/polovinchik.pdf</v>
      </c>
      <c r="J1163" s="1" t="str">
        <f t="shared" si="20"/>
        <v>https://www.ocf.berkeley.edu/~pkmendez/envsci/projects/2000final/polovinchik.pdf</v>
      </c>
      <c r="P1163" s="4" t="s">
        <v>9</v>
      </c>
      <c r="Q1163" s="4" t="s">
        <v>10</v>
      </c>
    </row>
    <row r="1164" spans="1:17" x14ac:dyDescent="0.35">
      <c r="A1164" s="2" t="s">
        <v>5884</v>
      </c>
      <c r="B1164" s="2" t="s">
        <v>5440</v>
      </c>
      <c r="C1164" s="2" t="s">
        <v>5441</v>
      </c>
      <c r="D1164" s="2">
        <v>2000</v>
      </c>
      <c r="E1164" s="2" t="s">
        <v>5442</v>
      </c>
      <c r="G1164" s="2" t="s">
        <v>5443</v>
      </c>
      <c r="H1164" s="6" t="s">
        <v>5876</v>
      </c>
      <c r="I1164" s="2" t="str" cm="1">
        <f t="array" ref="I1164">H1164&amp;_xlfn.REGEXEXTRACT(G1164,"^(.*?)(?=-page1)")&amp;".pdf"</f>
        <v>https://www.ocf.berkeley.edu/~pkmendez/envsci/projects/2000final/rao.pdf</v>
      </c>
      <c r="J1164" s="1" t="str">
        <f t="shared" si="20"/>
        <v>https://www.ocf.berkeley.edu/~pkmendez/envsci/projects/2000final/rao.pdf</v>
      </c>
      <c r="P1164" s="4" t="s">
        <v>9</v>
      </c>
      <c r="Q1164" s="4" t="s">
        <v>10</v>
      </c>
    </row>
    <row r="1165" spans="1:17" x14ac:dyDescent="0.35">
      <c r="A1165" s="2" t="s">
        <v>5884</v>
      </c>
      <c r="B1165" s="2" t="s">
        <v>5850</v>
      </c>
      <c r="C1165" s="2" t="s">
        <v>5444</v>
      </c>
      <c r="D1165" s="2">
        <v>2000</v>
      </c>
      <c r="E1165" s="2" t="s">
        <v>5445</v>
      </c>
      <c r="G1165" s="2" t="s">
        <v>5446</v>
      </c>
      <c r="H1165" s="6" t="s">
        <v>5876</v>
      </c>
      <c r="I1165" s="2" t="str" cm="1">
        <f t="array" ref="I1165">H1165&amp;_xlfn.REGEXEXTRACT(G1165,"^(.*?)(?=-page1)")&amp;".pdf"</f>
        <v>https://www.ocf.berkeley.edu/~pkmendez/envsci/projects/2000final/ravindranath.pdf</v>
      </c>
      <c r="J1165" s="1" t="str">
        <f t="shared" si="20"/>
        <v>https://www.ocf.berkeley.edu/~pkmendez/envsci/projects/2000final/ravindranath.pdf</v>
      </c>
      <c r="P1165" s="4" t="s">
        <v>9</v>
      </c>
      <c r="Q1165" s="4" t="s">
        <v>10</v>
      </c>
    </row>
    <row r="1166" spans="1:17" x14ac:dyDescent="0.35">
      <c r="A1166" s="2" t="s">
        <v>5884</v>
      </c>
      <c r="B1166" s="2" t="s">
        <v>5851</v>
      </c>
      <c r="C1166" s="2" t="s">
        <v>5447</v>
      </c>
      <c r="D1166" s="2">
        <v>2000</v>
      </c>
      <c r="E1166" s="2" t="s">
        <v>5448</v>
      </c>
      <c r="G1166" s="2" t="s">
        <v>5449</v>
      </c>
      <c r="H1166" s="6" t="s">
        <v>5876</v>
      </c>
      <c r="I1166" s="2" t="str" cm="1">
        <f t="array" ref="I1166">H1166&amp;_xlfn.REGEXEXTRACT(G1166,"^(.*?)(?=-page1)")&amp;".pdf"</f>
        <v>https://www.ocf.berkeley.edu/~pkmendez/envsci/projects/2000final/rogers.pdf</v>
      </c>
      <c r="J1166" s="1" t="str">
        <f t="shared" si="20"/>
        <v>https://www.ocf.berkeley.edu/~pkmendez/envsci/projects/2000final/rogers.pdf</v>
      </c>
      <c r="P1166" s="4" t="s">
        <v>9</v>
      </c>
      <c r="Q1166" s="4" t="s">
        <v>10</v>
      </c>
    </row>
    <row r="1167" spans="1:17" x14ac:dyDescent="0.35">
      <c r="A1167" s="2" t="s">
        <v>5884</v>
      </c>
      <c r="B1167" s="2" t="s">
        <v>5852</v>
      </c>
      <c r="C1167" s="2" t="s">
        <v>5450</v>
      </c>
      <c r="D1167" s="2">
        <v>2000</v>
      </c>
      <c r="E1167" s="2" t="s">
        <v>5451</v>
      </c>
      <c r="G1167" s="2" t="s">
        <v>5452</v>
      </c>
      <c r="H1167" s="6" t="s">
        <v>5876</v>
      </c>
      <c r="I1167" s="2" t="str" cm="1">
        <f t="array" ref="I1167">H1167&amp;_xlfn.REGEXEXTRACT(G1167,"^(.*?)(?=-page1)")&amp;".pdf"</f>
        <v>https://www.ocf.berkeley.edu/~pkmendez/envsci/projects/2000final/tam.pdf</v>
      </c>
      <c r="J1167" s="1" t="str">
        <f t="shared" si="20"/>
        <v>https://www.ocf.berkeley.edu/~pkmendez/envsci/projects/2000final/tam.pdf</v>
      </c>
      <c r="P1167" s="4" t="s">
        <v>9</v>
      </c>
      <c r="Q1167" s="4" t="s">
        <v>10</v>
      </c>
    </row>
    <row r="1168" spans="1:17" x14ac:dyDescent="0.35">
      <c r="A1168" s="2" t="s">
        <v>5884</v>
      </c>
      <c r="B1168" s="2" t="s">
        <v>5453</v>
      </c>
      <c r="C1168" s="2" t="s">
        <v>5454</v>
      </c>
      <c r="D1168" s="2">
        <v>2000</v>
      </c>
      <c r="E1168" s="2" t="s">
        <v>5455</v>
      </c>
      <c r="G1168" s="2" t="s">
        <v>5456</v>
      </c>
      <c r="H1168" s="6" t="s">
        <v>5876</v>
      </c>
      <c r="I1168" s="2" t="str" cm="1">
        <f t="array" ref="I1168">H1168&amp;_xlfn.REGEXEXTRACT(G1168,"^(.*?)(?=-page1)")&amp;".pdf"</f>
        <v>https://www.ocf.berkeley.edu/~pkmendez/envsci/projects/2000final/watson.pdf</v>
      </c>
      <c r="J1168" s="1" t="str">
        <f t="shared" si="20"/>
        <v>https://www.ocf.berkeley.edu/~pkmendez/envsci/projects/2000final/watson.pdf</v>
      </c>
      <c r="P1168" s="4" t="s">
        <v>9</v>
      </c>
      <c r="Q1168" s="4" t="s">
        <v>10</v>
      </c>
    </row>
    <row r="1169" spans="1:17" x14ac:dyDescent="0.35">
      <c r="A1169" s="2" t="s">
        <v>5884</v>
      </c>
      <c r="B1169" s="2" t="s">
        <v>5457</v>
      </c>
      <c r="C1169" s="2" t="s">
        <v>5458</v>
      </c>
      <c r="D1169" s="2">
        <v>2000</v>
      </c>
      <c r="E1169" s="2" t="s">
        <v>5459</v>
      </c>
      <c r="G1169" s="2" t="s">
        <v>5460</v>
      </c>
      <c r="H1169" s="6" t="s">
        <v>5876</v>
      </c>
      <c r="I1169" s="2" t="str" cm="1">
        <f t="array" ref="I1169">H1169&amp;_xlfn.REGEXEXTRACT(G1169,"^(.*?)(?=-page1)")&amp;".pdf"</f>
        <v>https://www.ocf.berkeley.edu/~pkmendez/envsci/projects/2000final/yo.pdf</v>
      </c>
      <c r="J1169" s="1" t="str">
        <f t="shared" si="20"/>
        <v>https://www.ocf.berkeley.edu/~pkmendez/envsci/projects/2000final/yo.pdf</v>
      </c>
      <c r="P1169" s="4" t="s">
        <v>9</v>
      </c>
      <c r="Q1169" s="4" t="s">
        <v>10</v>
      </c>
    </row>
    <row r="1170" spans="1:17" x14ac:dyDescent="0.35">
      <c r="A1170" s="2" t="s">
        <v>5884</v>
      </c>
      <c r="B1170" s="2" t="s">
        <v>5461</v>
      </c>
      <c r="C1170" s="2" t="s">
        <v>5462</v>
      </c>
      <c r="D1170" s="2">
        <v>1999</v>
      </c>
      <c r="E1170" s="2" t="s">
        <v>5463</v>
      </c>
      <c r="G1170" s="2" t="s">
        <v>5464</v>
      </c>
      <c r="H1170" s="6" t="s">
        <v>5877</v>
      </c>
      <c r="I1170" s="2" t="str" cm="1">
        <f t="array" ref="I1170">H1170&amp;_xlfn.REGEXEXTRACT(G1170,"^(.*?)(?=-page1)")&amp;".pdf"</f>
        <v>https://www.ocf.berkeley.edu/~pkmendez/envsci/projects/1999final/KwakD_1999.pdf</v>
      </c>
      <c r="J1170" s="1" t="str">
        <f t="shared" si="20"/>
        <v>https://www.ocf.berkeley.edu/~pkmendez/envsci/projects/1999final/KwakD_1999.pdf</v>
      </c>
      <c r="P1170" s="4" t="s">
        <v>9</v>
      </c>
      <c r="Q1170" s="4" t="s">
        <v>10</v>
      </c>
    </row>
    <row r="1171" spans="1:17" x14ac:dyDescent="0.35">
      <c r="A1171" s="2" t="s">
        <v>5884</v>
      </c>
      <c r="B1171" s="2" t="s">
        <v>5853</v>
      </c>
      <c r="C1171" s="2" t="s">
        <v>5465</v>
      </c>
      <c r="D1171" s="2">
        <v>1999</v>
      </c>
      <c r="E1171" s="2" t="s">
        <v>5466</v>
      </c>
      <c r="G1171" s="2" t="s">
        <v>5467</v>
      </c>
      <c r="H1171" s="6" t="s">
        <v>5877</v>
      </c>
      <c r="I1171" s="2" t="str" cm="1">
        <f t="array" ref="I1171">H1171&amp;_xlfn.REGEXEXTRACT(G1171,"^(.*?)(?=-page1)")&amp;".pdf"</f>
        <v>https://www.ocf.berkeley.edu/~pkmendez/envsci/projects/1999final/ApuyA_1999.pdf</v>
      </c>
      <c r="J1171" s="1" t="str">
        <f t="shared" si="20"/>
        <v>https://www.ocf.berkeley.edu/~pkmendez/envsci/projects/1999final/ApuyA_1999.pdf</v>
      </c>
      <c r="P1171" s="4" t="s">
        <v>9</v>
      </c>
      <c r="Q1171" s="4" t="s">
        <v>10</v>
      </c>
    </row>
    <row r="1172" spans="1:17" x14ac:dyDescent="0.35">
      <c r="A1172" s="2" t="s">
        <v>5884</v>
      </c>
      <c r="B1172" s="2" t="s">
        <v>5468</v>
      </c>
      <c r="C1172" s="2" t="s">
        <v>5469</v>
      </c>
      <c r="D1172" s="2">
        <v>1999</v>
      </c>
      <c r="E1172" s="2" t="s">
        <v>5470</v>
      </c>
      <c r="G1172" s="2" t="s">
        <v>5471</v>
      </c>
      <c r="H1172" s="6" t="s">
        <v>5877</v>
      </c>
      <c r="I1172" s="2" t="str" cm="1">
        <f t="array" ref="I1172">H1172&amp;_xlfn.REGEXEXTRACT(G1172,"^(.*?)(?=-page1)")&amp;".pdf"</f>
        <v>https://www.ocf.berkeley.edu/~pkmendez/envsci/projects/1999final/BandelM_1999.pdf</v>
      </c>
      <c r="J1172" s="1" t="str">
        <f t="shared" si="20"/>
        <v>https://www.ocf.berkeley.edu/~pkmendez/envsci/projects/1999final/BandelM_1999.pdf</v>
      </c>
      <c r="P1172" s="4" t="s">
        <v>9</v>
      </c>
      <c r="Q1172" s="4" t="s">
        <v>10</v>
      </c>
    </row>
    <row r="1173" spans="1:17" x14ac:dyDescent="0.35">
      <c r="A1173" s="2" t="s">
        <v>5884</v>
      </c>
      <c r="B1173" s="2" t="s">
        <v>5472</v>
      </c>
      <c r="C1173" s="2" t="s">
        <v>5473</v>
      </c>
      <c r="D1173" s="2">
        <v>1999</v>
      </c>
      <c r="E1173" s="2" t="s">
        <v>5474</v>
      </c>
      <c r="G1173" s="2" t="s">
        <v>5475</v>
      </c>
      <c r="H1173" s="6" t="s">
        <v>5877</v>
      </c>
      <c r="I1173" s="2" t="str" cm="1">
        <f t="array" ref="I1173">H1173&amp;_xlfn.REGEXEXTRACT(G1173,"^(.*?)(?=-page1)")&amp;".pdf"</f>
        <v>https://www.ocf.berkeley.edu/~pkmendez/envsci/projects/1999final/BatchelderMJ_1999.pdf</v>
      </c>
      <c r="J1173" s="1" t="str">
        <f t="shared" si="20"/>
        <v>https://www.ocf.berkeley.edu/~pkmendez/envsci/projects/1999final/BatchelderMJ_1999.pdf</v>
      </c>
      <c r="P1173" s="4" t="s">
        <v>9</v>
      </c>
      <c r="Q1173" s="4" t="s">
        <v>10</v>
      </c>
    </row>
    <row r="1174" spans="1:17" x14ac:dyDescent="0.35">
      <c r="A1174" s="2" t="s">
        <v>5884</v>
      </c>
      <c r="B1174" s="2" t="s">
        <v>5476</v>
      </c>
      <c r="C1174" s="2" t="s">
        <v>5477</v>
      </c>
      <c r="D1174" s="2">
        <v>1999</v>
      </c>
      <c r="E1174" s="2" t="s">
        <v>5478</v>
      </c>
      <c r="G1174" s="2" t="s">
        <v>5479</v>
      </c>
      <c r="H1174" s="6" t="s">
        <v>5877</v>
      </c>
      <c r="I1174" s="2" t="str" cm="1">
        <f t="array" ref="I1174">H1174&amp;_xlfn.REGEXEXTRACT(G1174,"^(.*?)(?=-page1)")&amp;".pdf"</f>
        <v>https://www.ocf.berkeley.edu/~pkmendez/envsci/projects/1999final/ClausB_1999.pdf</v>
      </c>
      <c r="J1174" s="1" t="str">
        <f t="shared" si="20"/>
        <v>https://www.ocf.berkeley.edu/~pkmendez/envsci/projects/1999final/ClausB_1999.pdf</v>
      </c>
      <c r="P1174" s="4" t="s">
        <v>9</v>
      </c>
      <c r="Q1174" s="4" t="s">
        <v>10</v>
      </c>
    </row>
    <row r="1175" spans="1:17" x14ac:dyDescent="0.35">
      <c r="A1175" s="2" t="s">
        <v>5884</v>
      </c>
      <c r="B1175" s="2" t="s">
        <v>5480</v>
      </c>
      <c r="C1175" s="2" t="s">
        <v>5481</v>
      </c>
      <c r="D1175" s="2">
        <v>1999</v>
      </c>
      <c r="E1175" s="2" t="s">
        <v>5482</v>
      </c>
      <c r="G1175" s="2" t="s">
        <v>5483</v>
      </c>
      <c r="H1175" s="6" t="s">
        <v>5877</v>
      </c>
      <c r="I1175" s="2" t="str" cm="1">
        <f t="array" ref="I1175">H1175&amp;_xlfn.REGEXEXTRACT(G1175,"^(.*?)(?=-page1)")&amp;".pdf"</f>
        <v>https://www.ocf.berkeley.edu/~pkmendez/envsci/projects/1999final/CornishP_1999.pdf</v>
      </c>
      <c r="J1175" s="1" t="str">
        <f t="shared" si="20"/>
        <v>https://www.ocf.berkeley.edu/~pkmendez/envsci/projects/1999final/CornishP_1999.pdf</v>
      </c>
      <c r="P1175" s="4" t="s">
        <v>9</v>
      </c>
      <c r="Q1175" s="4" t="s">
        <v>10</v>
      </c>
    </row>
    <row r="1176" spans="1:17" x14ac:dyDescent="0.35">
      <c r="A1176" s="2" t="s">
        <v>5884</v>
      </c>
      <c r="B1176" s="2" t="s">
        <v>5484</v>
      </c>
      <c r="C1176" s="2" t="s">
        <v>5485</v>
      </c>
      <c r="D1176" s="2">
        <v>1999</v>
      </c>
      <c r="E1176" s="2" t="s">
        <v>5486</v>
      </c>
      <c r="G1176" s="2" t="s">
        <v>5487</v>
      </c>
      <c r="H1176" s="6" t="s">
        <v>5877</v>
      </c>
      <c r="I1176" s="2" t="str" cm="1">
        <f t="array" ref="I1176">H1176&amp;_xlfn.REGEXEXTRACT(G1176,"^(.*?)(?=-page1)")&amp;".pdf"</f>
        <v>https://www.ocf.berkeley.edu/~pkmendez/envsci/projects/1999final/CottrellC_1999.pdf</v>
      </c>
      <c r="J1176" s="1" t="str">
        <f t="shared" si="20"/>
        <v>https://www.ocf.berkeley.edu/~pkmendez/envsci/projects/1999final/CottrellC_1999.pdf</v>
      </c>
      <c r="P1176" s="4" t="s">
        <v>9</v>
      </c>
      <c r="Q1176" s="4" t="s">
        <v>10</v>
      </c>
    </row>
    <row r="1177" spans="1:17" x14ac:dyDescent="0.35">
      <c r="A1177" s="2" t="s">
        <v>5884</v>
      </c>
      <c r="B1177" s="2" t="s">
        <v>5488</v>
      </c>
      <c r="C1177" s="2" t="s">
        <v>5489</v>
      </c>
      <c r="D1177" s="2">
        <v>1999</v>
      </c>
      <c r="E1177" s="2" t="s">
        <v>5490</v>
      </c>
      <c r="G1177" s="2" t="s">
        <v>5491</v>
      </c>
      <c r="H1177" s="6" t="s">
        <v>5877</v>
      </c>
      <c r="I1177" s="2" t="str" cm="1">
        <f t="array" ref="I1177">H1177&amp;_xlfn.REGEXEXTRACT(G1177,"^(.*?)(?=-page1)")&amp;".pdf"</f>
        <v>https://www.ocf.berkeley.edu/~pkmendez/envsci/projects/1999final/DeHaroJJ_1999.pdf</v>
      </c>
      <c r="J1177" s="1" t="str">
        <f t="shared" si="20"/>
        <v>https://www.ocf.berkeley.edu/~pkmendez/envsci/projects/1999final/DeHaroJJ_1999.pdf</v>
      </c>
      <c r="P1177" s="4" t="s">
        <v>9</v>
      </c>
      <c r="Q1177" s="4" t="s">
        <v>10</v>
      </c>
    </row>
    <row r="1178" spans="1:17" x14ac:dyDescent="0.35">
      <c r="A1178" s="2" t="s">
        <v>5884</v>
      </c>
      <c r="B1178" s="2" t="s">
        <v>5492</v>
      </c>
      <c r="C1178" s="2" t="s">
        <v>5493</v>
      </c>
      <c r="D1178" s="2">
        <v>1999</v>
      </c>
      <c r="E1178" s="2" t="s">
        <v>5494</v>
      </c>
      <c r="G1178" s="2" t="s">
        <v>5495</v>
      </c>
      <c r="H1178" s="6" t="s">
        <v>5877</v>
      </c>
      <c r="I1178" s="2" t="str" cm="1">
        <f t="array" ref="I1178">H1178&amp;_xlfn.REGEXEXTRACT(G1178,"^(.*?)(?=-page1)")&amp;".pdf"</f>
        <v>https://www.ocf.berkeley.edu/~pkmendez/envsci/projects/1999final/DeLongS_1999.pdf</v>
      </c>
      <c r="J1178" s="1" t="str">
        <f t="shared" si="20"/>
        <v>https://www.ocf.berkeley.edu/~pkmendez/envsci/projects/1999final/DeLongS_1999.pdf</v>
      </c>
      <c r="P1178" s="4" t="s">
        <v>9</v>
      </c>
      <c r="Q1178" s="4" t="s">
        <v>10</v>
      </c>
    </row>
    <row r="1179" spans="1:17" x14ac:dyDescent="0.35">
      <c r="A1179" s="2" t="s">
        <v>5884</v>
      </c>
      <c r="B1179" s="2" t="s">
        <v>5496</v>
      </c>
      <c r="C1179" s="2" t="s">
        <v>5497</v>
      </c>
      <c r="D1179" s="2">
        <v>1999</v>
      </c>
      <c r="E1179" s="2" t="s">
        <v>5498</v>
      </c>
      <c r="G1179" s="2" t="s">
        <v>5499</v>
      </c>
      <c r="H1179" s="6" t="s">
        <v>5877</v>
      </c>
      <c r="I1179" s="2" t="str" cm="1">
        <f t="array" ref="I1179">H1179&amp;_xlfn.REGEXEXTRACT(G1179,"^(.*?)(?=-page1)")&amp;".pdf"</f>
        <v>https://www.ocf.berkeley.edu/~pkmendez/envsci/projects/1999final/FlickT_1999.pdf</v>
      </c>
      <c r="J1179" s="1" t="str">
        <f t="shared" si="20"/>
        <v>https://www.ocf.berkeley.edu/~pkmendez/envsci/projects/1999final/FlickT_1999.pdf</v>
      </c>
      <c r="P1179" s="4" t="s">
        <v>9</v>
      </c>
      <c r="Q1179" s="4" t="s">
        <v>10</v>
      </c>
    </row>
    <row r="1180" spans="1:17" x14ac:dyDescent="0.35">
      <c r="A1180" s="2" t="s">
        <v>5884</v>
      </c>
      <c r="B1180" s="2" t="s">
        <v>5854</v>
      </c>
      <c r="C1180" s="2" t="s">
        <v>5500</v>
      </c>
      <c r="D1180" s="2">
        <v>1999</v>
      </c>
      <c r="E1180" s="2" t="s">
        <v>5501</v>
      </c>
      <c r="G1180" s="2" t="s">
        <v>5502</v>
      </c>
      <c r="H1180" s="6" t="s">
        <v>5877</v>
      </c>
      <c r="I1180" s="2" t="str" cm="1">
        <f t="array" ref="I1180">H1180&amp;_xlfn.REGEXEXTRACT(G1180,"^(.*?)(?=-page1)")&amp;".pdf"</f>
        <v>https://www.ocf.berkeley.edu/~pkmendez/envsci/projects/1999final/GoM_1999.pdf</v>
      </c>
      <c r="J1180" s="1" t="str">
        <f t="shared" si="20"/>
        <v>https://www.ocf.berkeley.edu/~pkmendez/envsci/projects/1999final/GoM_1999.pdf</v>
      </c>
      <c r="P1180" s="4" t="s">
        <v>9</v>
      </c>
      <c r="Q1180" s="4" t="s">
        <v>10</v>
      </c>
    </row>
    <row r="1181" spans="1:17" x14ac:dyDescent="0.35">
      <c r="A1181" s="2" t="s">
        <v>5884</v>
      </c>
      <c r="B1181" s="2" t="s">
        <v>5503</v>
      </c>
      <c r="C1181" s="2" t="s">
        <v>5504</v>
      </c>
      <c r="D1181" s="2">
        <v>1999</v>
      </c>
      <c r="E1181" s="2" t="s">
        <v>5505</v>
      </c>
      <c r="G1181" s="2" t="s">
        <v>5506</v>
      </c>
      <c r="H1181" s="6" t="s">
        <v>5877</v>
      </c>
      <c r="I1181" s="2" t="str" cm="1">
        <f t="array" ref="I1181">H1181&amp;_xlfn.REGEXEXTRACT(G1181,"^(.*?)(?=-page1)")&amp;".pdf"</f>
        <v>https://www.ocf.berkeley.edu/~pkmendez/envsci/projects/1999final/HanD_1999.pdf</v>
      </c>
      <c r="J1181" s="1" t="str">
        <f t="shared" si="20"/>
        <v>https://www.ocf.berkeley.edu/~pkmendez/envsci/projects/1999final/HanD_1999.pdf</v>
      </c>
      <c r="P1181" s="4" t="s">
        <v>9</v>
      </c>
      <c r="Q1181" s="4" t="s">
        <v>10</v>
      </c>
    </row>
    <row r="1182" spans="1:17" x14ac:dyDescent="0.35">
      <c r="A1182" s="2" t="s">
        <v>5884</v>
      </c>
      <c r="B1182" s="2" t="s">
        <v>5507</v>
      </c>
      <c r="C1182" s="2" t="s">
        <v>5508</v>
      </c>
      <c r="D1182" s="2">
        <v>1999</v>
      </c>
      <c r="E1182" s="2" t="s">
        <v>5509</v>
      </c>
      <c r="G1182" s="2" t="s">
        <v>5510</v>
      </c>
      <c r="H1182" s="6" t="s">
        <v>5877</v>
      </c>
      <c r="I1182" s="2" t="str" cm="1">
        <f t="array" ref="I1182">H1182&amp;_xlfn.REGEXEXTRACT(G1182,"^(.*?)(?=-page1)")&amp;".pdf"</f>
        <v>https://www.ocf.berkeley.edu/~pkmendez/envsci/projects/1999final/JungJ_1999.pdf</v>
      </c>
      <c r="J1182" s="1" t="str">
        <f t="shared" si="20"/>
        <v>https://www.ocf.berkeley.edu/~pkmendez/envsci/projects/1999final/JungJ_1999.pdf</v>
      </c>
      <c r="P1182" s="4" t="s">
        <v>9</v>
      </c>
      <c r="Q1182" s="4" t="s">
        <v>10</v>
      </c>
    </row>
    <row r="1183" spans="1:17" x14ac:dyDescent="0.35">
      <c r="A1183" s="2" t="s">
        <v>5884</v>
      </c>
      <c r="B1183" s="2" t="s">
        <v>5855</v>
      </c>
      <c r="C1183" s="2" t="s">
        <v>5511</v>
      </c>
      <c r="D1183" s="2">
        <v>1999</v>
      </c>
      <c r="E1183" s="2" t="s">
        <v>5512</v>
      </c>
      <c r="G1183" s="2" t="s">
        <v>5513</v>
      </c>
      <c r="H1183" s="6" t="s">
        <v>5877</v>
      </c>
      <c r="I1183" s="2" t="str" cm="1">
        <f t="array" ref="I1183">H1183&amp;_xlfn.REGEXEXTRACT(G1183,"^(.*?)(?=-page1)")&amp;".pdf"</f>
        <v>https://www.ocf.berkeley.edu/~pkmendez/envsci/projects/1999final/KaufmanCA_1999.pdf</v>
      </c>
      <c r="J1183" s="1" t="str">
        <f t="shared" si="20"/>
        <v>https://www.ocf.berkeley.edu/~pkmendez/envsci/projects/1999final/KaufmanCA_1999.pdf</v>
      </c>
      <c r="P1183" s="4" t="s">
        <v>9</v>
      </c>
      <c r="Q1183" s="4" t="s">
        <v>10</v>
      </c>
    </row>
    <row r="1184" spans="1:17" x14ac:dyDescent="0.35">
      <c r="A1184" s="2" t="s">
        <v>5884</v>
      </c>
      <c r="B1184" s="2" t="s">
        <v>5514</v>
      </c>
      <c r="C1184" s="2" t="s">
        <v>5515</v>
      </c>
      <c r="D1184" s="2">
        <v>1999</v>
      </c>
      <c r="E1184" s="2" t="s">
        <v>5516</v>
      </c>
      <c r="G1184" s="2" t="s">
        <v>5517</v>
      </c>
      <c r="H1184" s="6" t="s">
        <v>5877</v>
      </c>
      <c r="I1184" s="2" t="str" cm="1">
        <f t="array" ref="I1184">H1184&amp;_xlfn.REGEXEXTRACT(G1184,"^(.*?)(?=-page1)")&amp;".pdf"</f>
        <v>https://www.ocf.berkeley.edu/~pkmendez/envsci/projects/1999final/KhademR_1999.pdf</v>
      </c>
      <c r="J1184" s="1" t="str">
        <f t="shared" si="20"/>
        <v>https://www.ocf.berkeley.edu/~pkmendez/envsci/projects/1999final/KhademR_1999.pdf</v>
      </c>
      <c r="P1184" s="4" t="s">
        <v>9</v>
      </c>
      <c r="Q1184" s="4" t="s">
        <v>10</v>
      </c>
    </row>
    <row r="1185" spans="1:17" x14ac:dyDescent="0.35">
      <c r="A1185" s="2" t="s">
        <v>5884</v>
      </c>
      <c r="B1185" s="2" t="s">
        <v>5518</v>
      </c>
      <c r="C1185" s="2" t="s">
        <v>5519</v>
      </c>
      <c r="D1185" s="2">
        <v>1999</v>
      </c>
      <c r="E1185" s="2" t="s">
        <v>5520</v>
      </c>
      <c r="G1185" s="2" t="s">
        <v>5521</v>
      </c>
      <c r="H1185" s="6" t="s">
        <v>5877</v>
      </c>
      <c r="I1185" s="2" t="str" cm="1">
        <f t="array" ref="I1185">H1185&amp;_xlfn.REGEXEXTRACT(G1185,"^(.*?)(?=-page1)")&amp;".pdf"</f>
        <v>https://www.ocf.berkeley.edu/~pkmendez/envsci/projects/1999final/KilhamN_1999.pdf</v>
      </c>
      <c r="J1185" s="1" t="str">
        <f t="shared" si="20"/>
        <v>https://www.ocf.berkeley.edu/~pkmendez/envsci/projects/1999final/KilhamN_1999.pdf</v>
      </c>
      <c r="P1185" s="4" t="s">
        <v>9</v>
      </c>
      <c r="Q1185" s="4" t="s">
        <v>10</v>
      </c>
    </row>
    <row r="1186" spans="1:17" x14ac:dyDescent="0.35">
      <c r="A1186" s="2" t="s">
        <v>5884</v>
      </c>
      <c r="B1186" s="2" t="s">
        <v>5522</v>
      </c>
      <c r="C1186" s="2" t="s">
        <v>5523</v>
      </c>
      <c r="D1186" s="2">
        <v>1999</v>
      </c>
      <c r="E1186" s="2" t="s">
        <v>5524</v>
      </c>
      <c r="G1186" s="2" t="s">
        <v>5525</v>
      </c>
      <c r="H1186" s="6" t="s">
        <v>5877</v>
      </c>
      <c r="I1186" s="2" t="str" cm="1">
        <f t="array" ref="I1186">H1186&amp;_xlfn.REGEXEXTRACT(G1186,"^(.*?)(?=-page1)")&amp;".pdf"</f>
        <v>https://www.ocf.berkeley.edu/~pkmendez/envsci/projects/1999final/KimY_1999.pdf</v>
      </c>
      <c r="J1186" s="1" t="str">
        <f t="shared" si="20"/>
        <v>https://www.ocf.berkeley.edu/~pkmendez/envsci/projects/1999final/KimY_1999.pdf</v>
      </c>
      <c r="P1186" s="4" t="s">
        <v>9</v>
      </c>
      <c r="Q1186" s="4" t="s">
        <v>10</v>
      </c>
    </row>
    <row r="1187" spans="1:17" x14ac:dyDescent="0.35">
      <c r="A1187" s="2" t="s">
        <v>5884</v>
      </c>
      <c r="B1187" s="2" t="s">
        <v>5526</v>
      </c>
      <c r="C1187" s="2" t="s">
        <v>5527</v>
      </c>
      <c r="D1187" s="2">
        <v>1999</v>
      </c>
      <c r="E1187" s="2" t="s">
        <v>5528</v>
      </c>
      <c r="G1187" s="2" t="s">
        <v>5529</v>
      </c>
      <c r="H1187" s="6" t="s">
        <v>5877</v>
      </c>
      <c r="I1187" s="2" t="str" cm="1">
        <f t="array" ref="I1187">H1187&amp;_xlfn.REGEXEXTRACT(G1187,"^(.*?)(?=-page1)")&amp;".pdf"</f>
        <v>https://www.ocf.berkeley.edu/~pkmendez/envsci/projects/1999final/KlirisJ_1999.pdf</v>
      </c>
      <c r="J1187" s="1" t="str">
        <f t="shared" si="20"/>
        <v>https://www.ocf.berkeley.edu/~pkmendez/envsci/projects/1999final/KlirisJ_1999.pdf</v>
      </c>
      <c r="P1187" s="4" t="s">
        <v>9</v>
      </c>
      <c r="Q1187" s="4" t="s">
        <v>10</v>
      </c>
    </row>
    <row r="1188" spans="1:17" x14ac:dyDescent="0.35">
      <c r="A1188" s="2" t="s">
        <v>5884</v>
      </c>
      <c r="B1188" s="2" t="s">
        <v>5856</v>
      </c>
      <c r="C1188" s="2" t="s">
        <v>5530</v>
      </c>
      <c r="D1188" s="2">
        <v>1999</v>
      </c>
      <c r="E1188" s="2" t="s">
        <v>5531</v>
      </c>
      <c r="G1188" s="2" t="s">
        <v>5532</v>
      </c>
      <c r="H1188" s="6" t="s">
        <v>5877</v>
      </c>
      <c r="I1188" s="2" t="str" cm="1">
        <f t="array" ref="I1188">H1188&amp;_xlfn.REGEXEXTRACT(G1188,"^(.*?)(?=-page1)")&amp;".pdf"</f>
        <v>https://www.ocf.berkeley.edu/~pkmendez/envsci/projects/1999final/KwongA_1999.pdf</v>
      </c>
      <c r="J1188" s="1" t="str">
        <f t="shared" si="20"/>
        <v>https://www.ocf.berkeley.edu/~pkmendez/envsci/projects/1999final/KwongA_1999.pdf</v>
      </c>
      <c r="P1188" s="4" t="s">
        <v>9</v>
      </c>
      <c r="Q1188" s="4" t="s">
        <v>10</v>
      </c>
    </row>
    <row r="1189" spans="1:17" x14ac:dyDescent="0.35">
      <c r="A1189" s="2" t="s">
        <v>5884</v>
      </c>
      <c r="B1189" s="2" t="s">
        <v>5857</v>
      </c>
      <c r="C1189" s="2" t="s">
        <v>5533</v>
      </c>
      <c r="D1189" s="2">
        <v>1999</v>
      </c>
      <c r="E1189" s="2" t="s">
        <v>5534</v>
      </c>
      <c r="G1189" s="2" t="s">
        <v>5535</v>
      </c>
      <c r="H1189" s="6" t="s">
        <v>5877</v>
      </c>
      <c r="I1189" s="2" t="str" cm="1">
        <f t="array" ref="I1189">H1189&amp;_xlfn.REGEXEXTRACT(G1189,"^(.*?)(?=-page1)")&amp;".pdf"</f>
        <v>https://www.ocf.berkeley.edu/~pkmendez/envsci/projects/1999final/LaljiZ_1999.pdf</v>
      </c>
      <c r="J1189" s="1" t="str">
        <f t="shared" si="20"/>
        <v>https://www.ocf.berkeley.edu/~pkmendez/envsci/projects/1999final/LaljiZ_1999.pdf</v>
      </c>
      <c r="P1189" s="4" t="s">
        <v>9</v>
      </c>
      <c r="Q1189" s="4" t="s">
        <v>10</v>
      </c>
    </row>
    <row r="1190" spans="1:17" x14ac:dyDescent="0.35">
      <c r="A1190" s="2" t="s">
        <v>5884</v>
      </c>
      <c r="B1190" s="2" t="s">
        <v>5858</v>
      </c>
      <c r="C1190" s="2" t="s">
        <v>5536</v>
      </c>
      <c r="D1190" s="2">
        <v>1999</v>
      </c>
      <c r="E1190" s="2" t="s">
        <v>5537</v>
      </c>
      <c r="G1190" s="2" t="s">
        <v>5538</v>
      </c>
      <c r="H1190" s="6" t="s">
        <v>5877</v>
      </c>
      <c r="I1190" s="2" t="str" cm="1">
        <f t="array" ref="I1190">H1190&amp;_xlfn.REGEXEXTRACT(G1190,"^(.*?)(?=-page1)")&amp;".pdf"</f>
        <v>https://www.ocf.berkeley.edu/~pkmendez/envsci/projects/1999final/LearM_1999.pdf</v>
      </c>
      <c r="J1190" s="1" t="str">
        <f t="shared" si="20"/>
        <v>https://www.ocf.berkeley.edu/~pkmendez/envsci/projects/1999final/LearM_1999.pdf</v>
      </c>
      <c r="P1190" s="4" t="s">
        <v>9</v>
      </c>
      <c r="Q1190" s="4" t="s">
        <v>10</v>
      </c>
    </row>
    <row r="1191" spans="1:17" x14ac:dyDescent="0.35">
      <c r="A1191" s="2" t="s">
        <v>5884</v>
      </c>
      <c r="B1191" s="2" t="s">
        <v>5539</v>
      </c>
      <c r="C1191" s="2" t="s">
        <v>5540</v>
      </c>
      <c r="D1191" s="2">
        <v>1999</v>
      </c>
      <c r="E1191" s="2" t="s">
        <v>5541</v>
      </c>
      <c r="G1191" s="2" t="s">
        <v>5542</v>
      </c>
      <c r="H1191" s="6" t="s">
        <v>5877</v>
      </c>
      <c r="I1191" s="2" t="str" cm="1">
        <f t="array" ref="I1191">H1191&amp;_xlfn.REGEXEXTRACT(G1191,"^(.*?)(?=-page1)")&amp;".pdf"</f>
        <v>https://www.ocf.berkeley.edu/~pkmendez/envsci/projects/1999final/LevitanD_1999.pdf</v>
      </c>
      <c r="J1191" s="1" t="str">
        <f t="shared" si="20"/>
        <v>https://www.ocf.berkeley.edu/~pkmendez/envsci/projects/1999final/LevitanD_1999.pdf</v>
      </c>
      <c r="P1191" s="4" t="s">
        <v>9</v>
      </c>
      <c r="Q1191" s="4" t="s">
        <v>10</v>
      </c>
    </row>
    <row r="1192" spans="1:17" x14ac:dyDescent="0.35">
      <c r="A1192" s="2" t="s">
        <v>5884</v>
      </c>
      <c r="B1192" s="2" t="s">
        <v>5543</v>
      </c>
      <c r="C1192" s="2" t="s">
        <v>5544</v>
      </c>
      <c r="D1192" s="2">
        <v>1999</v>
      </c>
      <c r="E1192" s="2" t="s">
        <v>5545</v>
      </c>
      <c r="G1192" s="2" t="s">
        <v>5546</v>
      </c>
      <c r="H1192" s="6" t="s">
        <v>5877</v>
      </c>
      <c r="I1192" s="2" t="str" cm="1">
        <f t="array" ref="I1192">H1192&amp;_xlfn.REGEXEXTRACT(G1192,"^(.*?)(?=-page1)")&amp;".pdf"</f>
        <v>https://www.ocf.berkeley.edu/~pkmendez/envsci/projects/1999final/LinLS_1999.pdf</v>
      </c>
      <c r="J1192" s="1" t="str">
        <f t="shared" si="20"/>
        <v>https://www.ocf.berkeley.edu/~pkmendez/envsci/projects/1999final/LinLS_1999.pdf</v>
      </c>
      <c r="P1192" s="4" t="s">
        <v>9</v>
      </c>
      <c r="Q1192" s="4" t="s">
        <v>10</v>
      </c>
    </row>
    <row r="1193" spans="1:17" x14ac:dyDescent="0.35">
      <c r="A1193" s="2" t="s">
        <v>5884</v>
      </c>
      <c r="B1193" s="2" t="s">
        <v>5547</v>
      </c>
      <c r="C1193" s="2" t="s">
        <v>5548</v>
      </c>
      <c r="D1193" s="2">
        <v>1999</v>
      </c>
      <c r="E1193" s="2" t="s">
        <v>5549</v>
      </c>
      <c r="G1193" s="2" t="s">
        <v>5550</v>
      </c>
      <c r="H1193" s="6" t="s">
        <v>5877</v>
      </c>
      <c r="I1193" s="2" t="str" cm="1">
        <f t="array" ref="I1193">H1193&amp;_xlfn.REGEXEXTRACT(G1193,"^(.*?)(?=-page1)")&amp;".pdf"</f>
        <v>https://www.ocf.berkeley.edu/~pkmendez/envsci/projects/1999final/LouisWG_1999.pdf</v>
      </c>
      <c r="J1193" s="1" t="str">
        <f t="shared" si="20"/>
        <v>https://www.ocf.berkeley.edu/~pkmendez/envsci/projects/1999final/LouisWG_1999.pdf</v>
      </c>
      <c r="P1193" s="4" t="s">
        <v>9</v>
      </c>
      <c r="Q1193" s="4" t="s">
        <v>10</v>
      </c>
    </row>
    <row r="1194" spans="1:17" x14ac:dyDescent="0.35">
      <c r="A1194" s="2" t="s">
        <v>5884</v>
      </c>
      <c r="B1194" s="2" t="s">
        <v>5859</v>
      </c>
      <c r="C1194" s="2" t="s">
        <v>5551</v>
      </c>
      <c r="D1194" s="2">
        <v>1999</v>
      </c>
      <c r="E1194" s="2" t="s">
        <v>5552</v>
      </c>
      <c r="G1194" s="2" t="s">
        <v>5553</v>
      </c>
      <c r="H1194" s="6" t="s">
        <v>5877</v>
      </c>
      <c r="I1194" s="2" t="str" cm="1">
        <f t="array" ref="I1194">H1194&amp;_xlfn.REGEXEXTRACT(G1194,"^(.*?)(?=-page1)")&amp;".pdf"</f>
        <v>https://www.ocf.berkeley.edu/~pkmendez/envsci/projects/1999final/MadhavanH_1999.pdf</v>
      </c>
      <c r="J1194" s="1" t="str">
        <f t="shared" si="20"/>
        <v>https://www.ocf.berkeley.edu/~pkmendez/envsci/projects/1999final/MadhavanH_1999.pdf</v>
      </c>
      <c r="P1194" s="4" t="s">
        <v>9</v>
      </c>
      <c r="Q1194" s="4" t="s">
        <v>10</v>
      </c>
    </row>
    <row r="1195" spans="1:17" x14ac:dyDescent="0.35">
      <c r="A1195" s="2" t="s">
        <v>5884</v>
      </c>
      <c r="B1195" s="2" t="s">
        <v>5554</v>
      </c>
      <c r="C1195" s="2" t="s">
        <v>5555</v>
      </c>
      <c r="D1195" s="2">
        <v>1999</v>
      </c>
      <c r="E1195" s="2" t="s">
        <v>5556</v>
      </c>
      <c r="G1195" s="2" t="s">
        <v>5557</v>
      </c>
      <c r="H1195" s="6" t="s">
        <v>5877</v>
      </c>
      <c r="I1195" s="2" t="str" cm="1">
        <f t="array" ref="I1195">H1195&amp;_xlfn.REGEXEXTRACT(G1195,"^(.*?)(?=-page1)")&amp;".pdf"</f>
        <v>https://www.ocf.berkeley.edu/~pkmendez/envsci/projects/1999final/McFaddenB_1999.pdf</v>
      </c>
      <c r="J1195" s="1" t="str">
        <f t="shared" si="20"/>
        <v>https://www.ocf.berkeley.edu/~pkmendez/envsci/projects/1999final/McFaddenB_1999.pdf</v>
      </c>
      <c r="P1195" s="4" t="s">
        <v>9</v>
      </c>
      <c r="Q1195" s="4" t="s">
        <v>10</v>
      </c>
    </row>
    <row r="1196" spans="1:17" x14ac:dyDescent="0.35">
      <c r="A1196" s="2" t="s">
        <v>5884</v>
      </c>
      <c r="B1196" s="2" t="s">
        <v>5860</v>
      </c>
      <c r="C1196" s="2" t="s">
        <v>5558</v>
      </c>
      <c r="D1196" s="2">
        <v>1999</v>
      </c>
      <c r="E1196" s="2" t="s">
        <v>5559</v>
      </c>
      <c r="G1196" s="2" t="s">
        <v>5560</v>
      </c>
      <c r="H1196" s="6" t="s">
        <v>5877</v>
      </c>
      <c r="I1196" s="2" t="str" cm="1">
        <f t="array" ref="I1196">H1196&amp;_xlfn.REGEXEXTRACT(G1196,"^(.*?)(?=-page1)")&amp;".pdf"</f>
        <v>https://www.ocf.berkeley.edu/~pkmendez/envsci/projects/1999final/PengJH_1999.pdf</v>
      </c>
      <c r="J1196" s="1" t="str">
        <f t="shared" si="20"/>
        <v>https://www.ocf.berkeley.edu/~pkmendez/envsci/projects/1999final/PengJH_1999.pdf</v>
      </c>
      <c r="P1196" s="4" t="s">
        <v>9</v>
      </c>
      <c r="Q1196" s="4" t="s">
        <v>10</v>
      </c>
    </row>
    <row r="1197" spans="1:17" x14ac:dyDescent="0.35">
      <c r="A1197" s="2" t="s">
        <v>5884</v>
      </c>
      <c r="B1197" s="2" t="s">
        <v>5561</v>
      </c>
      <c r="C1197" s="2" t="s">
        <v>5562</v>
      </c>
      <c r="D1197" s="2">
        <v>1999</v>
      </c>
      <c r="E1197" s="2" t="s">
        <v>5563</v>
      </c>
      <c r="G1197" s="2" t="s">
        <v>5564</v>
      </c>
      <c r="H1197" s="6" t="s">
        <v>5877</v>
      </c>
      <c r="I1197" s="2" t="str" cm="1">
        <f t="array" ref="I1197">H1197&amp;_xlfn.REGEXEXTRACT(G1197,"^(.*?)(?=-page1)")&amp;".pdf"</f>
        <v>https://www.ocf.berkeley.edu/~pkmendez/envsci/projects/1999final/StoutI_1999.pdf</v>
      </c>
      <c r="J1197" s="1" t="str">
        <f t="shared" si="20"/>
        <v>https://www.ocf.berkeley.edu/~pkmendez/envsci/projects/1999final/StoutI_1999.pdf</v>
      </c>
      <c r="P1197" s="4" t="s">
        <v>9</v>
      </c>
      <c r="Q1197" s="4" t="s">
        <v>10</v>
      </c>
    </row>
    <row r="1198" spans="1:17" x14ac:dyDescent="0.35">
      <c r="A1198" s="2" t="s">
        <v>5884</v>
      </c>
      <c r="B1198" s="2" t="s">
        <v>5565</v>
      </c>
      <c r="C1198" s="2" t="s">
        <v>5566</v>
      </c>
      <c r="D1198" s="2">
        <v>1999</v>
      </c>
      <c r="E1198" s="2" t="s">
        <v>5567</v>
      </c>
      <c r="G1198" s="2" t="s">
        <v>5568</v>
      </c>
      <c r="H1198" s="6" t="s">
        <v>5877</v>
      </c>
      <c r="I1198" s="2" t="str" cm="1">
        <f t="array" ref="I1198">H1198&amp;_xlfn.REGEXEXTRACT(G1198,"^(.*?)(?=-page1)")&amp;".pdf"</f>
        <v>https://www.ocf.berkeley.edu/~pkmendez/envsci/projects/1999final/TangI_1999.pdf</v>
      </c>
      <c r="J1198" s="1" t="str">
        <f t="shared" si="20"/>
        <v>https://www.ocf.berkeley.edu/~pkmendez/envsci/projects/1999final/TangI_1999.pdf</v>
      </c>
      <c r="P1198" s="4" t="s">
        <v>9</v>
      </c>
      <c r="Q1198" s="4" t="s">
        <v>10</v>
      </c>
    </row>
    <row r="1199" spans="1:17" x14ac:dyDescent="0.35">
      <c r="A1199" s="2" t="s">
        <v>5884</v>
      </c>
      <c r="B1199" s="2" t="s">
        <v>5569</v>
      </c>
      <c r="C1199" s="2" t="s">
        <v>5570</v>
      </c>
      <c r="D1199" s="2">
        <v>1999</v>
      </c>
      <c r="E1199" s="2" t="s">
        <v>5571</v>
      </c>
      <c r="G1199" s="2" t="s">
        <v>5572</v>
      </c>
      <c r="H1199" s="6" t="s">
        <v>5877</v>
      </c>
      <c r="I1199" s="2" t="str" cm="1">
        <f t="array" ref="I1199">H1199&amp;_xlfn.REGEXEXTRACT(G1199,"^(.*?)(?=-page1)")&amp;".pdf"</f>
        <v>https://www.ocf.berkeley.edu/~pkmendez/envsci/projects/1999final/WangHS_1999.pdf</v>
      </c>
      <c r="J1199" s="1" t="str">
        <f t="shared" si="20"/>
        <v>https://www.ocf.berkeley.edu/~pkmendez/envsci/projects/1999final/WangHS_1999.pdf</v>
      </c>
      <c r="P1199" s="4" t="s">
        <v>9</v>
      </c>
      <c r="Q1199" s="4" t="s">
        <v>10</v>
      </c>
    </row>
    <row r="1200" spans="1:17" x14ac:dyDescent="0.35">
      <c r="A1200" s="2" t="s">
        <v>5884</v>
      </c>
      <c r="B1200" s="2" t="s">
        <v>5573</v>
      </c>
      <c r="C1200" s="2" t="s">
        <v>5574</v>
      </c>
      <c r="D1200" s="2">
        <v>1999</v>
      </c>
      <c r="E1200" s="2" t="s">
        <v>5575</v>
      </c>
      <c r="G1200" s="2" t="s">
        <v>5576</v>
      </c>
      <c r="H1200" s="6" t="s">
        <v>5877</v>
      </c>
      <c r="I1200" s="2" t="str" cm="1">
        <f t="array" ref="I1200">H1200&amp;_xlfn.REGEXEXTRACT(G1200,"^(.*?)(?=-page1)")&amp;".pdf"</f>
        <v>https://www.ocf.berkeley.edu/~pkmendez/envsci/projects/1999final/WuP_1999.pdf</v>
      </c>
      <c r="J1200" s="1" t="str">
        <f t="shared" si="20"/>
        <v>https://www.ocf.berkeley.edu/~pkmendez/envsci/projects/1999final/WuP_1999.pdf</v>
      </c>
      <c r="P1200" s="4" t="s">
        <v>9</v>
      </c>
      <c r="Q1200" s="4" t="s">
        <v>10</v>
      </c>
    </row>
    <row r="1201" spans="1:17" x14ac:dyDescent="0.35">
      <c r="A1201" s="2" t="s">
        <v>5884</v>
      </c>
      <c r="B1201" s="2" t="s">
        <v>5808</v>
      </c>
      <c r="C1201" s="2" t="s">
        <v>5809</v>
      </c>
      <c r="D1201" s="2">
        <v>1998</v>
      </c>
      <c r="E1201" s="2" t="s">
        <v>5810</v>
      </c>
      <c r="G1201" s="2" t="s">
        <v>5611</v>
      </c>
      <c r="H1201" s="6" t="s">
        <v>5878</v>
      </c>
      <c r="I1201" s="2" t="str" cm="1">
        <f t="array" ref="I1201">H1201&amp;_xlfn.REGEXEXTRACT(G1201,"^(.*?)(?=-page1)")&amp;".pdf"</f>
        <v>https://www.ocf.berkeley.edu/~pkmendez/envsci/projects/1998final/ChenY_1998.pdf</v>
      </c>
      <c r="J1201" s="1" t="str">
        <f t="shared" si="20"/>
        <v>https://www.ocf.berkeley.edu/~pkmendez/envsci/projects/1998final/ChenY_1998.pdf</v>
      </c>
      <c r="P1201" s="4" t="s">
        <v>9</v>
      </c>
      <c r="Q1201" s="4" t="s">
        <v>10</v>
      </c>
    </row>
    <row r="1202" spans="1:17" x14ac:dyDescent="0.35">
      <c r="A1202" s="2" t="s">
        <v>5884</v>
      </c>
      <c r="B1202" s="5" t="s">
        <v>5811</v>
      </c>
      <c r="C1202" s="2" t="s">
        <v>5812</v>
      </c>
      <c r="D1202" s="2">
        <v>1998</v>
      </c>
      <c r="E1202" s="2" t="s">
        <v>5813</v>
      </c>
      <c r="G1202" s="2" t="s">
        <v>5579</v>
      </c>
      <c r="H1202" s="6" t="s">
        <v>5878</v>
      </c>
      <c r="I1202" s="2" t="str" cm="1">
        <f t="array" ref="I1202">H1202&amp;_xlfn.REGEXEXTRACT(G1202,"^(.*?)(?=-page1)")&amp;".pdf"</f>
        <v>https://www.ocf.berkeley.edu/~pkmendez/envsci/projects/1998final/AllenL_1998.pdf</v>
      </c>
      <c r="J1202" s="1" t="str">
        <f t="shared" si="20"/>
        <v>https://www.ocf.berkeley.edu/~pkmendez/envsci/projects/1998final/AllenL_1998.pdf</v>
      </c>
      <c r="P1202" s="4" t="s">
        <v>9</v>
      </c>
      <c r="Q1202" s="4" t="s">
        <v>10</v>
      </c>
    </row>
    <row r="1203" spans="1:17" x14ac:dyDescent="0.35">
      <c r="A1203" s="2" t="s">
        <v>5884</v>
      </c>
      <c r="B1203" s="2" t="s">
        <v>5814</v>
      </c>
      <c r="C1203" s="2" t="s">
        <v>5815</v>
      </c>
      <c r="D1203" s="2">
        <v>1998</v>
      </c>
      <c r="E1203" s="2" t="s">
        <v>5816</v>
      </c>
      <c r="G1203" s="2" t="s">
        <v>5583</v>
      </c>
      <c r="H1203" s="6" t="s">
        <v>5878</v>
      </c>
      <c r="I1203" s="2" t="str" cm="1">
        <f t="array" ref="I1203">H1203&amp;_xlfn.REGEXEXTRACT(G1203,"^(.*?)(?=-page1)")&amp;".pdf"</f>
        <v>https://www.ocf.berkeley.edu/~pkmendez/envsci/projects/1998final/AzerbegiR_1998.pdf</v>
      </c>
      <c r="J1203" s="1" t="str">
        <f t="shared" si="20"/>
        <v>https://www.ocf.berkeley.edu/~pkmendez/envsci/projects/1998final/AzerbegiR_1998.pdf</v>
      </c>
      <c r="P1203" s="4" t="s">
        <v>9</v>
      </c>
      <c r="Q1203" s="4" t="s">
        <v>10</v>
      </c>
    </row>
    <row r="1204" spans="1:17" x14ac:dyDescent="0.35">
      <c r="A1204" s="2" t="s">
        <v>5884</v>
      </c>
      <c r="B1204" s="2" t="s">
        <v>5817</v>
      </c>
      <c r="C1204" s="2" t="s">
        <v>5818</v>
      </c>
      <c r="D1204" s="2">
        <v>1998</v>
      </c>
      <c r="E1204" s="2" t="s">
        <v>5819</v>
      </c>
      <c r="G1204" s="2" t="s">
        <v>5587</v>
      </c>
      <c r="H1204" s="6" t="s">
        <v>5878</v>
      </c>
      <c r="I1204" s="2" t="str" cm="1">
        <f t="array" ref="I1204">H1204&amp;_xlfn.REGEXEXTRACT(G1204,"^(.*?)(?=-page1)")&amp;".pdf"</f>
        <v>https://www.ocf.berkeley.edu/~pkmendez/envsci/projects/1998final/BeizaieR_1998.pdf</v>
      </c>
      <c r="J1204" s="1" t="str">
        <f t="shared" si="20"/>
        <v>https://www.ocf.berkeley.edu/~pkmendez/envsci/projects/1998final/BeizaieR_1998.pdf</v>
      </c>
      <c r="P1204" s="4" t="s">
        <v>9</v>
      </c>
      <c r="Q1204" s="4" t="s">
        <v>10</v>
      </c>
    </row>
    <row r="1205" spans="1:17" x14ac:dyDescent="0.35">
      <c r="A1205" s="2" t="s">
        <v>5884</v>
      </c>
      <c r="B1205" s="2" t="s">
        <v>5820</v>
      </c>
      <c r="C1205" s="2" t="s">
        <v>5821</v>
      </c>
      <c r="D1205" s="2">
        <v>1998</v>
      </c>
      <c r="E1205" s="2" t="s">
        <v>5822</v>
      </c>
      <c r="G1205" s="2" t="s">
        <v>5591</v>
      </c>
      <c r="H1205" s="6" t="s">
        <v>5878</v>
      </c>
      <c r="I1205" s="2" t="str" cm="1">
        <f t="array" ref="I1205">H1205&amp;_xlfn.REGEXEXTRACT(G1205,"^(.*?)(?=-page1)")&amp;".pdf"</f>
        <v>https://www.ocf.berkeley.edu/~pkmendez/envsci/projects/1998final/BernabeKG_1998.pdf</v>
      </c>
      <c r="J1205" s="1" t="str">
        <f t="shared" si="20"/>
        <v>https://www.ocf.berkeley.edu/~pkmendez/envsci/projects/1998final/BernabeKG_1998.pdf</v>
      </c>
      <c r="P1205" s="4" t="s">
        <v>9</v>
      </c>
      <c r="Q1205" s="4" t="s">
        <v>10</v>
      </c>
    </row>
    <row r="1206" spans="1:17" x14ac:dyDescent="0.35">
      <c r="A1206" s="2" t="s">
        <v>5884</v>
      </c>
      <c r="B1206" s="2" t="s">
        <v>5861</v>
      </c>
      <c r="C1206" s="2" t="s">
        <v>5823</v>
      </c>
      <c r="D1206" s="2">
        <v>1998</v>
      </c>
      <c r="E1206" s="2" t="s">
        <v>5824</v>
      </c>
      <c r="G1206" s="2" t="s">
        <v>5594</v>
      </c>
      <c r="H1206" s="6" t="s">
        <v>5878</v>
      </c>
      <c r="I1206" s="2" t="str" cm="1">
        <f t="array" ref="I1206">H1206&amp;_xlfn.REGEXEXTRACT(G1206,"^(.*?)(?=-page1)")&amp;".pdf"</f>
        <v>https://www.ocf.berkeley.edu/~pkmendez/envsci/projects/1998final/BrownE_1998.pdf</v>
      </c>
      <c r="J1206" s="1" t="str">
        <f t="shared" si="20"/>
        <v>https://www.ocf.berkeley.edu/~pkmendez/envsci/projects/1998final/BrownE_1998.pdf</v>
      </c>
      <c r="P1206" s="4" t="s">
        <v>9</v>
      </c>
      <c r="Q1206" s="4" t="s">
        <v>10</v>
      </c>
    </row>
    <row r="1207" spans="1:17" x14ac:dyDescent="0.35">
      <c r="A1207" s="2" t="s">
        <v>5884</v>
      </c>
      <c r="B1207" s="2" t="s">
        <v>5825</v>
      </c>
      <c r="C1207" s="2" t="s">
        <v>5826</v>
      </c>
      <c r="D1207" s="2">
        <v>1998</v>
      </c>
      <c r="E1207" s="2" t="s">
        <v>5827</v>
      </c>
      <c r="G1207" s="2" t="s">
        <v>5596</v>
      </c>
      <c r="H1207" s="6" t="s">
        <v>5878</v>
      </c>
      <c r="I1207" s="2" t="str" cm="1">
        <f t="array" ref="I1207">H1207&amp;_xlfn.REGEXEXTRACT(G1207,"^(.*?)(?=-page1)")&amp;".pdf"</f>
        <v>https://www.ocf.berkeley.edu/~pkmendez/envsci/projects/1998final/BucknellT_1998.pdf</v>
      </c>
      <c r="J1207" s="1" t="str">
        <f t="shared" si="20"/>
        <v>https://www.ocf.berkeley.edu/~pkmendez/envsci/projects/1998final/BucknellT_1998.pdf</v>
      </c>
      <c r="P1207" s="4" t="s">
        <v>9</v>
      </c>
      <c r="Q1207" s="4" t="s">
        <v>10</v>
      </c>
    </row>
    <row r="1208" spans="1:17" x14ac:dyDescent="0.35">
      <c r="A1208" s="2" t="s">
        <v>5884</v>
      </c>
      <c r="B1208" s="2" t="s">
        <v>5862</v>
      </c>
      <c r="C1208" s="2" t="s">
        <v>5828</v>
      </c>
      <c r="D1208" s="2">
        <v>1998</v>
      </c>
      <c r="E1208" s="2" t="s">
        <v>5829</v>
      </c>
      <c r="G1208" s="2" t="s">
        <v>5598</v>
      </c>
      <c r="H1208" s="6" t="s">
        <v>5878</v>
      </c>
      <c r="I1208" s="2" t="str" cm="1">
        <f t="array" ref="I1208">H1208&amp;_xlfn.REGEXEXTRACT(G1208,"^(.*?)(?=-page1)")&amp;".pdf"</f>
        <v>https://www.ocf.berkeley.edu/~pkmendez/envsci/projects/1998final/CaffeyS_1998.pdf</v>
      </c>
      <c r="J1208" s="1" t="str">
        <f t="shared" si="20"/>
        <v>https://www.ocf.berkeley.edu/~pkmendez/envsci/projects/1998final/CaffeyS_1998.pdf</v>
      </c>
      <c r="P1208" s="4" t="s">
        <v>9</v>
      </c>
      <c r="Q1208" s="4" t="s">
        <v>10</v>
      </c>
    </row>
    <row r="1209" spans="1:17" x14ac:dyDescent="0.35">
      <c r="A1209" s="2" t="s">
        <v>5884</v>
      </c>
      <c r="B1209" s="2" t="s">
        <v>5863</v>
      </c>
      <c r="C1209" s="2" t="s">
        <v>5577</v>
      </c>
      <c r="D1209" s="2">
        <v>1998</v>
      </c>
      <c r="E1209" s="2" t="s">
        <v>5578</v>
      </c>
      <c r="G1209" s="2" t="s">
        <v>5601</v>
      </c>
      <c r="H1209" s="6" t="s">
        <v>5878</v>
      </c>
      <c r="I1209" s="2" t="str" cm="1">
        <f t="array" ref="I1209">H1209&amp;_xlfn.REGEXEXTRACT(G1209,"^(.*?)(?=-page1)")&amp;".pdf"</f>
        <v>https://www.ocf.berkeley.edu/~pkmendez/envsci/projects/1998final/ChamnessCJ_1998.pdf</v>
      </c>
      <c r="J1209" s="1" t="str">
        <f t="shared" si="20"/>
        <v>https://www.ocf.berkeley.edu/~pkmendez/envsci/projects/1998final/ChamnessCJ_1998.pdf</v>
      </c>
      <c r="P1209" s="4" t="s">
        <v>9</v>
      </c>
      <c r="Q1209" s="4" t="s">
        <v>10</v>
      </c>
    </row>
    <row r="1210" spans="1:17" x14ac:dyDescent="0.35">
      <c r="A1210" s="2" t="s">
        <v>5884</v>
      </c>
      <c r="B1210" s="2" t="s">
        <v>5580</v>
      </c>
      <c r="C1210" s="2" t="s">
        <v>5581</v>
      </c>
      <c r="D1210" s="2">
        <v>1998</v>
      </c>
      <c r="E1210" s="2" t="s">
        <v>5582</v>
      </c>
      <c r="G1210" s="2" t="s">
        <v>5605</v>
      </c>
      <c r="H1210" s="6" t="s">
        <v>5878</v>
      </c>
      <c r="I1210" s="2" t="str" cm="1">
        <f t="array" ref="I1210">H1210&amp;_xlfn.REGEXEXTRACT(G1210,"^(.*?)(?=-page1)")&amp;".pdf"</f>
        <v>https://www.ocf.berkeley.edu/~pkmendez/envsci/projects/1998final/ChangM_1998.pdf</v>
      </c>
      <c r="J1210" s="1" t="str">
        <f t="shared" si="20"/>
        <v>https://www.ocf.berkeley.edu/~pkmendez/envsci/projects/1998final/ChangM_1998.pdf</v>
      </c>
      <c r="P1210" s="4" t="s">
        <v>9</v>
      </c>
      <c r="Q1210" s="4" t="s">
        <v>10</v>
      </c>
    </row>
    <row r="1211" spans="1:17" x14ac:dyDescent="0.35">
      <c r="A1211" s="2" t="s">
        <v>5884</v>
      </c>
      <c r="B1211" s="2" t="s">
        <v>5584</v>
      </c>
      <c r="C1211" s="2" t="s">
        <v>5585</v>
      </c>
      <c r="D1211" s="2">
        <v>1998</v>
      </c>
      <c r="E1211" s="2" t="s">
        <v>5586</v>
      </c>
      <c r="G1211" s="2" t="s">
        <v>5608</v>
      </c>
      <c r="H1211" s="6" t="s">
        <v>5878</v>
      </c>
      <c r="I1211" s="2" t="str" cm="1">
        <f t="array" ref="I1211">H1211&amp;_xlfn.REGEXEXTRACT(G1211,"^(.*?)(?=-page1)")&amp;".pdf"</f>
        <v>https://www.ocf.berkeley.edu/~pkmendez/envsci/projects/1998final/ChauM_1998.pdf</v>
      </c>
      <c r="J1211" s="1" t="str">
        <f t="shared" si="20"/>
        <v>https://www.ocf.berkeley.edu/~pkmendez/envsci/projects/1998final/ChauM_1998.pdf</v>
      </c>
      <c r="P1211" s="4" t="s">
        <v>9</v>
      </c>
      <c r="Q1211" s="4" t="s">
        <v>10</v>
      </c>
    </row>
    <row r="1212" spans="1:17" x14ac:dyDescent="0.35">
      <c r="A1212" s="2" t="s">
        <v>5884</v>
      </c>
      <c r="B1212" s="2" t="s">
        <v>5588</v>
      </c>
      <c r="C1212" s="2" t="s">
        <v>5589</v>
      </c>
      <c r="D1212" s="2">
        <v>1998</v>
      </c>
      <c r="E1212" s="2" t="s">
        <v>5590</v>
      </c>
      <c r="G1212" s="2" t="s">
        <v>5614</v>
      </c>
      <c r="H1212" s="6" t="s">
        <v>5878</v>
      </c>
      <c r="I1212" s="2" t="str" cm="1">
        <f t="array" ref="I1212">H1212&amp;_xlfn.REGEXEXTRACT(G1212,"^(.*?)(?=-page1)")&amp;".pdf"</f>
        <v>https://www.ocf.berkeley.edu/~pkmendez/envsci/projects/1998final/ChewT_1998.pdf</v>
      </c>
      <c r="J1212" s="1" t="str">
        <f t="shared" si="20"/>
        <v>https://www.ocf.berkeley.edu/~pkmendez/envsci/projects/1998final/ChewT_1998.pdf</v>
      </c>
      <c r="P1212" s="4" t="s">
        <v>9</v>
      </c>
      <c r="Q1212" s="4" t="s">
        <v>10</v>
      </c>
    </row>
    <row r="1213" spans="1:17" x14ac:dyDescent="0.35">
      <c r="A1213" s="2" t="s">
        <v>5884</v>
      </c>
      <c r="B1213" s="2" t="s">
        <v>5592</v>
      </c>
      <c r="C1213" s="2" t="s">
        <v>5593</v>
      </c>
      <c r="D1213" s="2">
        <v>1998</v>
      </c>
      <c r="E1213" s="2" t="s">
        <v>5830</v>
      </c>
      <c r="G1213" s="2" t="s">
        <v>5616</v>
      </c>
      <c r="H1213" s="6" t="s">
        <v>5878</v>
      </c>
      <c r="I1213" s="2" t="str" cm="1">
        <f t="array" ref="I1213">H1213&amp;_xlfn.REGEXEXTRACT(G1213,"^(.*?)(?=-page1)")&amp;".pdf"</f>
        <v>https://www.ocf.berkeley.edu/~pkmendez/envsci/projects/1998final/ChiuM_1998.pdf</v>
      </c>
      <c r="J1213" s="1" t="str">
        <f t="shared" si="20"/>
        <v>https://www.ocf.berkeley.edu/~pkmendez/envsci/projects/1998final/ChiuM_1998.pdf</v>
      </c>
      <c r="P1213" s="4" t="s">
        <v>9</v>
      </c>
      <c r="Q1213" s="4" t="s">
        <v>10</v>
      </c>
    </row>
    <row r="1214" spans="1:17" x14ac:dyDescent="0.35">
      <c r="A1214" s="2" t="s">
        <v>5884</v>
      </c>
      <c r="B1214" s="2" t="s">
        <v>5864</v>
      </c>
      <c r="C1214" s="2" t="s">
        <v>5595</v>
      </c>
      <c r="D1214" s="2">
        <v>1998</v>
      </c>
      <c r="E1214" s="2" t="s">
        <v>5831</v>
      </c>
      <c r="G1214" s="2" t="s">
        <v>5620</v>
      </c>
      <c r="H1214" s="6" t="s">
        <v>5878</v>
      </c>
      <c r="I1214" s="2" t="str" cm="1">
        <f t="array" ref="I1214">H1214&amp;_xlfn.REGEXEXTRACT(G1214,"^(.*?)(?=-page1)")&amp;".pdf"</f>
        <v>https://www.ocf.berkeley.edu/~pkmendez/envsci/projects/1998final/ClarkAP_1998.pdf</v>
      </c>
      <c r="J1214" s="1" t="str">
        <f t="shared" si="20"/>
        <v>https://www.ocf.berkeley.edu/~pkmendez/envsci/projects/1998final/ClarkAP_1998.pdf</v>
      </c>
      <c r="P1214" s="4" t="s">
        <v>9</v>
      </c>
      <c r="Q1214" s="4" t="s">
        <v>10</v>
      </c>
    </row>
    <row r="1215" spans="1:17" x14ac:dyDescent="0.35">
      <c r="A1215" s="2" t="s">
        <v>5884</v>
      </c>
      <c r="B1215" s="2" t="s">
        <v>5472</v>
      </c>
      <c r="C1215" s="2" t="s">
        <v>5473</v>
      </c>
      <c r="D1215" s="2">
        <v>1998</v>
      </c>
      <c r="E1215" s="2" t="s">
        <v>5597</v>
      </c>
      <c r="G1215" s="2" t="s">
        <v>5624</v>
      </c>
      <c r="H1215" s="6" t="s">
        <v>5878</v>
      </c>
      <c r="I1215" s="2" t="str" cm="1">
        <f t="array" ref="I1215">H1215&amp;_xlfn.REGEXEXTRACT(G1215,"^(.*?)(?=-page1)")&amp;".pdf"</f>
        <v>https://www.ocf.berkeley.edu/~pkmendez/envsci/projects/1998final/ClausB_1998.pdf</v>
      </c>
      <c r="J1215" s="1" t="str">
        <f t="shared" si="20"/>
        <v>https://www.ocf.berkeley.edu/~pkmendez/envsci/projects/1998final/ClausB_1998.pdf</v>
      </c>
      <c r="P1215" s="4" t="s">
        <v>9</v>
      </c>
      <c r="Q1215" s="4" t="s">
        <v>10</v>
      </c>
    </row>
    <row r="1216" spans="1:17" x14ac:dyDescent="0.35">
      <c r="A1216" s="2" t="s">
        <v>5884</v>
      </c>
      <c r="B1216" s="2" t="s">
        <v>5865</v>
      </c>
      <c r="C1216" s="2" t="s">
        <v>5599</v>
      </c>
      <c r="D1216" s="2">
        <v>1998</v>
      </c>
      <c r="E1216" s="2" t="s">
        <v>5600</v>
      </c>
      <c r="G1216" s="2" t="s">
        <v>5628</v>
      </c>
      <c r="H1216" s="6" t="s">
        <v>5878</v>
      </c>
      <c r="I1216" s="2" t="str" cm="1">
        <f t="array" ref="I1216">H1216&amp;_xlfn.REGEXEXTRACT(G1216,"^(.*?)(?=-page1)")&amp;".pdf"</f>
        <v>https://www.ocf.berkeley.edu/~pkmendez/envsci/projects/1998final/EmotoJ_1998.pdf</v>
      </c>
      <c r="J1216" s="1" t="str">
        <f t="shared" si="20"/>
        <v>https://www.ocf.berkeley.edu/~pkmendez/envsci/projects/1998final/EmotoJ_1998.pdf</v>
      </c>
      <c r="P1216" s="4" t="s">
        <v>9</v>
      </c>
      <c r="Q1216" s="4" t="s">
        <v>10</v>
      </c>
    </row>
    <row r="1217" spans="1:17" x14ac:dyDescent="0.35">
      <c r="A1217" s="2" t="s">
        <v>5884</v>
      </c>
      <c r="B1217" s="2" t="s">
        <v>5602</v>
      </c>
      <c r="C1217" s="2" t="s">
        <v>5603</v>
      </c>
      <c r="D1217" s="2">
        <v>1998</v>
      </c>
      <c r="E1217" s="2" t="s">
        <v>5604</v>
      </c>
      <c r="G1217" s="2" t="s">
        <v>5630</v>
      </c>
      <c r="H1217" s="6" t="s">
        <v>5878</v>
      </c>
      <c r="I1217" s="2" t="str" cm="1">
        <f t="array" ref="I1217">H1217&amp;_xlfn.REGEXEXTRACT(G1217,"^(.*?)(?=-page1)")&amp;".pdf"</f>
        <v>https://www.ocf.berkeley.edu/~pkmendez/envsci/projects/1998final/FennellR_1998.pdf</v>
      </c>
      <c r="J1217" s="1" t="str">
        <f t="shared" si="20"/>
        <v>https://www.ocf.berkeley.edu/~pkmendez/envsci/projects/1998final/FennellR_1998.pdf</v>
      </c>
      <c r="P1217" s="4" t="s">
        <v>9</v>
      </c>
      <c r="Q1217" s="4" t="s">
        <v>10</v>
      </c>
    </row>
    <row r="1218" spans="1:17" x14ac:dyDescent="0.35">
      <c r="A1218" s="2" t="s">
        <v>5884</v>
      </c>
      <c r="B1218" s="2" t="s">
        <v>5832</v>
      </c>
      <c r="C1218" s="2" t="s">
        <v>5606</v>
      </c>
      <c r="D1218" s="2">
        <v>1998</v>
      </c>
      <c r="E1218" s="2" t="s">
        <v>5607</v>
      </c>
      <c r="G1218" s="2" t="s">
        <v>5634</v>
      </c>
      <c r="H1218" s="6" t="s">
        <v>5878</v>
      </c>
      <c r="I1218" s="2" t="str" cm="1">
        <f t="array" ref="I1218">H1218&amp;_xlfn.REGEXEXTRACT(G1218,"^(.*?)(?=-page1)")&amp;".pdf"</f>
        <v>https://www.ocf.berkeley.edu/~pkmendez/envsci/projects/1998final/FiferM_1998.pdf</v>
      </c>
      <c r="J1218" s="1" t="str">
        <f t="shared" si="20"/>
        <v>https://www.ocf.berkeley.edu/~pkmendez/envsci/projects/1998final/FiferM_1998.pdf</v>
      </c>
      <c r="P1218" s="4" t="s">
        <v>9</v>
      </c>
      <c r="Q1218" s="4" t="s">
        <v>10</v>
      </c>
    </row>
    <row r="1219" spans="1:17" x14ac:dyDescent="0.35">
      <c r="A1219" s="2" t="s">
        <v>5884</v>
      </c>
      <c r="B1219" s="2" t="s">
        <v>5609</v>
      </c>
      <c r="C1219" s="2" t="s">
        <v>5610</v>
      </c>
      <c r="D1219" s="2">
        <v>1998</v>
      </c>
      <c r="E1219" s="2" t="s">
        <v>5833</v>
      </c>
      <c r="G1219" s="2" t="s">
        <v>5636</v>
      </c>
      <c r="H1219" s="6" t="s">
        <v>5878</v>
      </c>
      <c r="I1219" s="2" t="str" cm="1">
        <f t="array" ref="I1219">H1219&amp;_xlfn.REGEXEXTRACT(G1219,"^(.*?)(?=-page1)")&amp;".pdf"</f>
        <v>https://www.ocf.berkeley.edu/~pkmendez/envsci/projects/1998final/FongJ_1998.pdf</v>
      </c>
      <c r="J1219" s="1" t="str">
        <f t="shared" ref="J1219:J1270" si="21">HYPERLINK(I1219, I1219)</f>
        <v>https://www.ocf.berkeley.edu/~pkmendez/envsci/projects/1998final/FongJ_1998.pdf</v>
      </c>
      <c r="P1219" s="4" t="s">
        <v>9</v>
      </c>
      <c r="Q1219" s="4" t="s">
        <v>10</v>
      </c>
    </row>
    <row r="1220" spans="1:17" x14ac:dyDescent="0.35">
      <c r="A1220" s="2" t="s">
        <v>5884</v>
      </c>
      <c r="B1220" s="2" t="s">
        <v>5612</v>
      </c>
      <c r="C1220" s="2" t="s">
        <v>5613</v>
      </c>
      <c r="D1220" s="2">
        <v>1998</v>
      </c>
      <c r="E1220" s="2" t="s">
        <v>5834</v>
      </c>
      <c r="G1220" s="2" t="s">
        <v>5640</v>
      </c>
      <c r="H1220" s="6" t="s">
        <v>5878</v>
      </c>
      <c r="I1220" s="2" t="str" cm="1">
        <f t="array" ref="I1220">H1220&amp;_xlfn.REGEXEXTRACT(G1220,"^(.*?)(?=-page1)")&amp;".pdf"</f>
        <v>https://www.ocf.berkeley.edu/~pkmendez/envsci/projects/1998final/FrankelG_1998.pdf</v>
      </c>
      <c r="J1220" s="1" t="str">
        <f t="shared" si="21"/>
        <v>https://www.ocf.berkeley.edu/~pkmendez/envsci/projects/1998final/FrankelG_1998.pdf</v>
      </c>
      <c r="P1220" s="4" t="s">
        <v>9</v>
      </c>
      <c r="Q1220" s="4" t="s">
        <v>10</v>
      </c>
    </row>
    <row r="1221" spans="1:17" x14ac:dyDescent="0.35">
      <c r="A1221" s="2" t="s">
        <v>5884</v>
      </c>
      <c r="B1221" s="2" t="s">
        <v>5835</v>
      </c>
      <c r="C1221" s="2" t="s">
        <v>5836</v>
      </c>
      <c r="D1221" s="2">
        <v>1998</v>
      </c>
      <c r="E1221" s="2" t="s">
        <v>5615</v>
      </c>
      <c r="G1221" s="2" t="s">
        <v>5643</v>
      </c>
      <c r="H1221" s="6" t="s">
        <v>5878</v>
      </c>
      <c r="I1221" s="2" t="str" cm="1">
        <f t="array" ref="I1221">H1221&amp;_xlfn.REGEXEXTRACT(G1221,"^(.*?)(?=-page1)")&amp;".pdf"</f>
        <v>https://www.ocf.berkeley.edu/~pkmendez/envsci/projects/1998final/GarzonC_1998.pdf</v>
      </c>
      <c r="J1221" s="1" t="str">
        <f t="shared" si="21"/>
        <v>https://www.ocf.berkeley.edu/~pkmendez/envsci/projects/1998final/GarzonC_1998.pdf</v>
      </c>
      <c r="P1221" s="4" t="s">
        <v>9</v>
      </c>
      <c r="Q1221" s="4" t="s">
        <v>10</v>
      </c>
    </row>
    <row r="1222" spans="1:17" x14ac:dyDescent="0.35">
      <c r="A1222" s="2" t="s">
        <v>5884</v>
      </c>
      <c r="B1222" s="2" t="s">
        <v>5617</v>
      </c>
      <c r="C1222" s="2" t="s">
        <v>5618</v>
      </c>
      <c r="D1222" s="2">
        <v>1998</v>
      </c>
      <c r="E1222" s="2" t="s">
        <v>5619</v>
      </c>
      <c r="G1222" s="2" t="s">
        <v>5646</v>
      </c>
      <c r="H1222" s="6" t="s">
        <v>5878</v>
      </c>
      <c r="I1222" s="2" t="str" cm="1">
        <f t="array" ref="I1222">H1222&amp;_xlfn.REGEXEXTRACT(G1222,"^(.*?)(?=-page1)")&amp;".pdf"</f>
        <v>https://www.ocf.berkeley.edu/~pkmendez/envsci/projects/1998final/GoldL_1998.pdf</v>
      </c>
      <c r="J1222" s="1" t="str">
        <f t="shared" si="21"/>
        <v>https://www.ocf.berkeley.edu/~pkmendez/envsci/projects/1998final/GoldL_1998.pdf</v>
      </c>
      <c r="P1222" s="4" t="s">
        <v>9</v>
      </c>
      <c r="Q1222" s="4" t="s">
        <v>10</v>
      </c>
    </row>
    <row r="1223" spans="1:17" x14ac:dyDescent="0.35">
      <c r="A1223" s="2" t="s">
        <v>5884</v>
      </c>
      <c r="B1223" s="2" t="s">
        <v>5621</v>
      </c>
      <c r="C1223" s="2" t="s">
        <v>5622</v>
      </c>
      <c r="D1223" s="2">
        <v>1998</v>
      </c>
      <c r="E1223" s="2" t="s">
        <v>5623</v>
      </c>
      <c r="G1223" s="2" t="s">
        <v>5649</v>
      </c>
      <c r="H1223" s="6" t="s">
        <v>5878</v>
      </c>
      <c r="I1223" s="2" t="str" cm="1">
        <f t="array" ref="I1223">H1223&amp;_xlfn.REGEXEXTRACT(G1223,"^(.*?)(?=-page1)")&amp;".pdf"</f>
        <v>https://www.ocf.berkeley.edu/~pkmendez/envsci/projects/1998final/GoswamiER_1998.pdf</v>
      </c>
      <c r="J1223" s="1" t="str">
        <f t="shared" si="21"/>
        <v>https://www.ocf.berkeley.edu/~pkmendez/envsci/projects/1998final/GoswamiER_1998.pdf</v>
      </c>
      <c r="P1223" s="4" t="s">
        <v>9</v>
      </c>
      <c r="Q1223" s="4" t="s">
        <v>10</v>
      </c>
    </row>
    <row r="1224" spans="1:17" x14ac:dyDescent="0.35">
      <c r="A1224" s="2" t="s">
        <v>5884</v>
      </c>
      <c r="B1224" s="2" t="s">
        <v>5625</v>
      </c>
      <c r="C1224" s="2" t="s">
        <v>5626</v>
      </c>
      <c r="D1224" s="2">
        <v>1998</v>
      </c>
      <c r="E1224" s="2" t="s">
        <v>5627</v>
      </c>
      <c r="G1224" s="2" t="s">
        <v>5652</v>
      </c>
      <c r="H1224" s="6" t="s">
        <v>5878</v>
      </c>
      <c r="I1224" s="2" t="str" cm="1">
        <f t="array" ref="I1224">H1224&amp;_xlfn.REGEXEXTRACT(G1224,"^(.*?)(?=-page1)")&amp;".pdf"</f>
        <v>https://www.ocf.berkeley.edu/~pkmendez/envsci/projects/1998final/HoJ_1998.pdf</v>
      </c>
      <c r="J1224" s="1" t="str">
        <f t="shared" si="21"/>
        <v>https://www.ocf.berkeley.edu/~pkmendez/envsci/projects/1998final/HoJ_1998.pdf</v>
      </c>
      <c r="P1224" s="4" t="s">
        <v>9</v>
      </c>
      <c r="Q1224" s="4" t="s">
        <v>10</v>
      </c>
    </row>
    <row r="1225" spans="1:17" x14ac:dyDescent="0.35">
      <c r="A1225" s="2" t="s">
        <v>5884</v>
      </c>
      <c r="B1225" s="2" t="s">
        <v>5629</v>
      </c>
      <c r="C1225" s="2" t="s">
        <v>5837</v>
      </c>
      <c r="D1225" s="2">
        <v>1998</v>
      </c>
      <c r="E1225" s="2" t="s">
        <v>5838</v>
      </c>
      <c r="G1225" s="2" t="s">
        <v>5656</v>
      </c>
      <c r="H1225" s="6" t="s">
        <v>5878</v>
      </c>
      <c r="I1225" s="2" t="str" cm="1">
        <f t="array" ref="I1225">H1225&amp;_xlfn.REGEXEXTRACT(G1225,"^(.*?)(?=-page1)")&amp;".pdf"</f>
        <v>https://www.ocf.berkeley.edu/~pkmendez/envsci/projects/1998final/KimJ_1998.pdf</v>
      </c>
      <c r="J1225" s="1" t="str">
        <f t="shared" si="21"/>
        <v>https://www.ocf.berkeley.edu/~pkmendez/envsci/projects/1998final/KimJ_1998.pdf</v>
      </c>
      <c r="P1225" s="4" t="s">
        <v>9</v>
      </c>
      <c r="Q1225" s="4" t="s">
        <v>10</v>
      </c>
    </row>
    <row r="1226" spans="1:17" x14ac:dyDescent="0.35">
      <c r="A1226" s="2" t="s">
        <v>5884</v>
      </c>
      <c r="B1226" s="2" t="s">
        <v>5631</v>
      </c>
      <c r="C1226" s="2" t="s">
        <v>5632</v>
      </c>
      <c r="D1226" s="2">
        <v>1998</v>
      </c>
      <c r="E1226" s="2" t="s">
        <v>5633</v>
      </c>
      <c r="G1226" s="2" t="s">
        <v>5660</v>
      </c>
      <c r="H1226" s="6" t="s">
        <v>5878</v>
      </c>
      <c r="I1226" s="2" t="str" cm="1">
        <f t="array" ref="I1226">H1226&amp;_xlfn.REGEXEXTRACT(G1226,"^(.*?)(?=-page1)")&amp;".pdf"</f>
        <v>https://www.ocf.berkeley.edu/~pkmendez/envsci/projects/1998final/LaiAWC_1998.pdf</v>
      </c>
      <c r="J1226" s="1" t="str">
        <f t="shared" si="21"/>
        <v>https://www.ocf.berkeley.edu/~pkmendez/envsci/projects/1998final/LaiAWC_1998.pdf</v>
      </c>
      <c r="P1226" s="4" t="s">
        <v>9</v>
      </c>
      <c r="Q1226" s="4" t="s">
        <v>10</v>
      </c>
    </row>
    <row r="1227" spans="1:17" x14ac:dyDescent="0.35">
      <c r="A1227" s="2" t="s">
        <v>5884</v>
      </c>
      <c r="B1227" s="2" t="s">
        <v>5866</v>
      </c>
      <c r="C1227" s="2" t="s">
        <v>5635</v>
      </c>
      <c r="D1227" s="2">
        <v>1998</v>
      </c>
      <c r="E1227" s="2" t="s">
        <v>5839</v>
      </c>
      <c r="G1227" s="2" t="s">
        <v>5664</v>
      </c>
      <c r="H1227" s="6" t="s">
        <v>5878</v>
      </c>
      <c r="I1227" s="2" t="str" cm="1">
        <f t="array" ref="I1227">H1227&amp;_xlfn.REGEXEXTRACT(G1227,"^(.*?)(?=-page1)")&amp;".pdf"</f>
        <v>https://www.ocf.berkeley.edu/~pkmendez/envsci/projects/1998final/LeeCK_1998.pdf</v>
      </c>
      <c r="J1227" s="1" t="str">
        <f t="shared" si="21"/>
        <v>https://www.ocf.berkeley.edu/~pkmendez/envsci/projects/1998final/LeeCK_1998.pdf</v>
      </c>
      <c r="P1227" s="4" t="s">
        <v>9</v>
      </c>
      <c r="Q1227" s="4" t="s">
        <v>10</v>
      </c>
    </row>
    <row r="1228" spans="1:17" x14ac:dyDescent="0.35">
      <c r="A1228" s="2" t="s">
        <v>5884</v>
      </c>
      <c r="B1228" s="2" t="s">
        <v>5637</v>
      </c>
      <c r="C1228" s="2" t="s">
        <v>5638</v>
      </c>
      <c r="D1228" s="2">
        <v>1998</v>
      </c>
      <c r="E1228" s="2" t="s">
        <v>5639</v>
      </c>
      <c r="G1228" s="2" t="s">
        <v>5668</v>
      </c>
      <c r="H1228" s="6" t="s">
        <v>5878</v>
      </c>
      <c r="I1228" s="2" t="str" cm="1">
        <f t="array" ref="I1228">H1228&amp;_xlfn.REGEXEXTRACT(G1228,"^(.*?)(?=-page1)")&amp;".pdf"</f>
        <v>https://www.ocf.berkeley.edu/~pkmendez/envsci/projects/1998final/LeeS_1998.pdf</v>
      </c>
      <c r="J1228" s="1" t="str">
        <f t="shared" si="21"/>
        <v>https://www.ocf.berkeley.edu/~pkmendez/envsci/projects/1998final/LeeS_1998.pdf</v>
      </c>
      <c r="P1228" s="4" t="s">
        <v>9</v>
      </c>
      <c r="Q1228" s="4" t="s">
        <v>10</v>
      </c>
    </row>
    <row r="1229" spans="1:17" x14ac:dyDescent="0.35">
      <c r="A1229" s="2" t="s">
        <v>5884</v>
      </c>
      <c r="B1229" s="2" t="s">
        <v>5867</v>
      </c>
      <c r="C1229" s="2" t="s">
        <v>5641</v>
      </c>
      <c r="D1229" s="2">
        <v>1998</v>
      </c>
      <c r="E1229" s="2" t="s">
        <v>5642</v>
      </c>
      <c r="G1229" s="2" t="s">
        <v>5672</v>
      </c>
      <c r="H1229" s="6" t="s">
        <v>5878</v>
      </c>
      <c r="I1229" s="2" t="str" cm="1">
        <f t="array" ref="I1229">H1229&amp;_xlfn.REGEXEXTRACT(G1229,"^(.*?)(?=-page1)")&amp;".pdf"</f>
        <v>https://www.ocf.berkeley.edu/~pkmendez/envsci/projects/1998final/LevyR_1998.pdf</v>
      </c>
      <c r="J1229" s="1" t="str">
        <f t="shared" si="21"/>
        <v>https://www.ocf.berkeley.edu/~pkmendez/envsci/projects/1998final/LevyR_1998.pdf</v>
      </c>
      <c r="P1229" s="4" t="s">
        <v>9</v>
      </c>
      <c r="Q1229" s="4" t="s">
        <v>10</v>
      </c>
    </row>
    <row r="1230" spans="1:17" x14ac:dyDescent="0.35">
      <c r="A1230" s="2" t="s">
        <v>5884</v>
      </c>
      <c r="B1230" s="2" t="s">
        <v>5868</v>
      </c>
      <c r="C1230" s="2" t="s">
        <v>5644</v>
      </c>
      <c r="D1230" s="2">
        <v>1998</v>
      </c>
      <c r="E1230" s="2" t="s">
        <v>5645</v>
      </c>
      <c r="G1230" s="2" t="s">
        <v>5675</v>
      </c>
      <c r="H1230" s="6" t="s">
        <v>5878</v>
      </c>
      <c r="I1230" s="2" t="str" cm="1">
        <f t="array" ref="I1230">H1230&amp;_xlfn.REGEXEXTRACT(G1230,"^(.*?)(?=-page1)")&amp;".pdf"</f>
        <v>https://www.ocf.berkeley.edu/~pkmendez/envsci/projects/1998final/LewR_1998.pdf</v>
      </c>
      <c r="J1230" s="1" t="str">
        <f t="shared" si="21"/>
        <v>https://www.ocf.berkeley.edu/~pkmendez/envsci/projects/1998final/LewR_1998.pdf</v>
      </c>
      <c r="P1230" s="4" t="s">
        <v>9</v>
      </c>
      <c r="Q1230" s="4" t="s">
        <v>10</v>
      </c>
    </row>
    <row r="1231" spans="1:17" x14ac:dyDescent="0.35">
      <c r="A1231" s="2" t="s">
        <v>5884</v>
      </c>
      <c r="B1231" s="2" t="s">
        <v>5807</v>
      </c>
      <c r="C1231" s="2" t="s">
        <v>5647</v>
      </c>
      <c r="D1231" s="2">
        <v>1998</v>
      </c>
      <c r="E1231" s="2" t="s">
        <v>5648</v>
      </c>
      <c r="G1231" s="2" t="s">
        <v>5676</v>
      </c>
      <c r="H1231" s="6" t="s">
        <v>5878</v>
      </c>
      <c r="I1231" s="2" t="str" cm="1">
        <f t="array" ref="I1231">H1231&amp;_xlfn.REGEXEXTRACT(G1231,"^(.*?)(?=-page1)")&amp;".pdf"</f>
        <v>https://www.ocf.berkeley.edu/~pkmendez/envsci/projects/1998final/LiewL_1998.pdf</v>
      </c>
      <c r="J1231" s="1" t="str">
        <f t="shared" si="21"/>
        <v>https://www.ocf.berkeley.edu/~pkmendez/envsci/projects/1998final/LiewL_1998.pdf</v>
      </c>
      <c r="P1231" s="4" t="s">
        <v>9</v>
      </c>
      <c r="Q1231" s="4" t="s">
        <v>10</v>
      </c>
    </row>
    <row r="1232" spans="1:17" x14ac:dyDescent="0.35">
      <c r="A1232" s="2" t="s">
        <v>5884</v>
      </c>
      <c r="B1232" s="2" t="s">
        <v>5677</v>
      </c>
      <c r="C1232" s="2" t="s">
        <v>5650</v>
      </c>
      <c r="D1232" s="2">
        <v>1998</v>
      </c>
      <c r="E1232" s="2" t="s">
        <v>5651</v>
      </c>
      <c r="G1232" s="2" t="s">
        <v>5678</v>
      </c>
      <c r="H1232" s="6" t="s">
        <v>5878</v>
      </c>
      <c r="I1232" s="2" t="str" cm="1">
        <f t="array" ref="I1232">H1232&amp;_xlfn.REGEXEXTRACT(G1232,"^(.*?)(?=-page1)")&amp;".pdf"</f>
        <v>https://www.ocf.berkeley.edu/~pkmendez/envsci/projects/1998final/MehtaS_1998.pdf</v>
      </c>
      <c r="J1232" s="1" t="str">
        <f t="shared" si="21"/>
        <v>https://www.ocf.berkeley.edu/~pkmendez/envsci/projects/1998final/MehtaS_1998.pdf</v>
      </c>
      <c r="P1232" s="4" t="s">
        <v>9</v>
      </c>
      <c r="Q1232" s="4" t="s">
        <v>10</v>
      </c>
    </row>
    <row r="1233" spans="1:17" x14ac:dyDescent="0.35">
      <c r="A1233" s="2" t="s">
        <v>5884</v>
      </c>
      <c r="B1233" s="2" t="s">
        <v>5653</v>
      </c>
      <c r="C1233" s="2" t="s">
        <v>5654</v>
      </c>
      <c r="D1233" s="2">
        <v>1998</v>
      </c>
      <c r="E1233" s="2" t="s">
        <v>5655</v>
      </c>
      <c r="G1233" s="2" t="s">
        <v>5679</v>
      </c>
      <c r="H1233" s="6" t="s">
        <v>5878</v>
      </c>
      <c r="I1233" s="2" t="str" cm="1">
        <f t="array" ref="I1233">H1233&amp;_xlfn.REGEXEXTRACT(G1233,"^(.*?)(?=-page1)")&amp;".pdf"</f>
        <v>https://www.ocf.berkeley.edu/~pkmendez/envsci/projects/1998final/MonasterskyN_1998.pdf</v>
      </c>
      <c r="J1233" s="1" t="str">
        <f t="shared" si="21"/>
        <v>https://www.ocf.berkeley.edu/~pkmendez/envsci/projects/1998final/MonasterskyN_1998.pdf</v>
      </c>
      <c r="P1233" s="4" t="s">
        <v>9</v>
      </c>
      <c r="Q1233" s="4" t="s">
        <v>10</v>
      </c>
    </row>
    <row r="1234" spans="1:17" x14ac:dyDescent="0.35">
      <c r="A1234" s="2" t="s">
        <v>5884</v>
      </c>
      <c r="B1234" s="2" t="s">
        <v>5657</v>
      </c>
      <c r="C1234" s="2" t="s">
        <v>5658</v>
      </c>
      <c r="D1234" s="2">
        <v>1998</v>
      </c>
      <c r="E1234" s="2" t="s">
        <v>5659</v>
      </c>
      <c r="G1234" s="2" t="s">
        <v>5680</v>
      </c>
      <c r="H1234" s="6" t="s">
        <v>5878</v>
      </c>
      <c r="I1234" s="2" t="str" cm="1">
        <f t="array" ref="I1234">H1234&amp;_xlfn.REGEXEXTRACT(G1234,"^(.*?)(?=-page1)")&amp;".pdf"</f>
        <v>https://www.ocf.berkeley.edu/~pkmendez/envsci/projects/1998final/NaugleDP_1998.pdf</v>
      </c>
      <c r="J1234" s="1" t="str">
        <f t="shared" si="21"/>
        <v>https://www.ocf.berkeley.edu/~pkmendez/envsci/projects/1998final/NaugleDP_1998.pdf</v>
      </c>
      <c r="P1234" s="4" t="s">
        <v>9</v>
      </c>
      <c r="Q1234" s="4" t="s">
        <v>10</v>
      </c>
    </row>
    <row r="1235" spans="1:17" x14ac:dyDescent="0.35">
      <c r="A1235" s="2" t="s">
        <v>5884</v>
      </c>
      <c r="B1235" s="2" t="s">
        <v>5661</v>
      </c>
      <c r="C1235" s="2" t="s">
        <v>5662</v>
      </c>
      <c r="D1235" s="2">
        <v>1998</v>
      </c>
      <c r="E1235" s="2" t="s">
        <v>5663</v>
      </c>
      <c r="G1235" s="2" t="s">
        <v>5681</v>
      </c>
      <c r="H1235" s="6" t="s">
        <v>5878</v>
      </c>
      <c r="I1235" s="2" t="str" cm="1">
        <f t="array" ref="I1235">H1235&amp;_xlfn.REGEXEXTRACT(G1235,"^(.*?)(?=-page1)")&amp;".pdf"</f>
        <v>https://www.ocf.berkeley.edu/~pkmendez/envsci/projects/1998final/NewbergJT_1998.pdf</v>
      </c>
      <c r="J1235" s="1" t="str">
        <f t="shared" si="21"/>
        <v>https://www.ocf.berkeley.edu/~pkmendez/envsci/projects/1998final/NewbergJT_1998.pdf</v>
      </c>
      <c r="P1235" s="4" t="s">
        <v>9</v>
      </c>
      <c r="Q1235" s="4" t="s">
        <v>10</v>
      </c>
    </row>
    <row r="1236" spans="1:17" x14ac:dyDescent="0.35">
      <c r="A1236" s="2" t="s">
        <v>5884</v>
      </c>
      <c r="B1236" s="2" t="s">
        <v>5665</v>
      </c>
      <c r="C1236" s="2" t="s">
        <v>5666</v>
      </c>
      <c r="D1236" s="2">
        <v>1998</v>
      </c>
      <c r="E1236" s="2" t="s">
        <v>5667</v>
      </c>
      <c r="G1236" s="2" t="s">
        <v>5682</v>
      </c>
      <c r="H1236" s="6" t="s">
        <v>5878</v>
      </c>
      <c r="I1236" s="2" t="str" cm="1">
        <f t="array" ref="I1236">H1236&amp;_xlfn.REGEXEXTRACT(G1236,"^(.*?)(?=-page1)")&amp;".pdf"</f>
        <v>https://www.ocf.berkeley.edu/~pkmendez/envsci/projects/1998final/NguyenA_1998.pdf</v>
      </c>
      <c r="J1236" s="1" t="str">
        <f t="shared" si="21"/>
        <v>https://www.ocf.berkeley.edu/~pkmendez/envsci/projects/1998final/NguyenA_1998.pdf</v>
      </c>
      <c r="P1236" s="4" t="s">
        <v>9</v>
      </c>
      <c r="Q1236" s="4" t="s">
        <v>10</v>
      </c>
    </row>
    <row r="1237" spans="1:17" x14ac:dyDescent="0.35">
      <c r="A1237" s="2" t="s">
        <v>5884</v>
      </c>
      <c r="B1237" s="2" t="s">
        <v>5669</v>
      </c>
      <c r="C1237" s="2" t="s">
        <v>5670</v>
      </c>
      <c r="D1237" s="2">
        <v>1998</v>
      </c>
      <c r="E1237" s="2" t="s">
        <v>5671</v>
      </c>
      <c r="G1237" s="2" t="s">
        <v>5683</v>
      </c>
      <c r="H1237" s="6" t="s">
        <v>5878</v>
      </c>
      <c r="I1237" s="2" t="str" cm="1">
        <f t="array" ref="I1237">H1237&amp;_xlfn.REGEXEXTRACT(G1237,"^(.*?)(?=-page1)")&amp;".pdf"</f>
        <v>https://www.ocf.berkeley.edu/~pkmendez/envsci/projects/1998final/PhanH_1998.pdf</v>
      </c>
      <c r="J1237" s="1" t="str">
        <f t="shared" si="21"/>
        <v>https://www.ocf.berkeley.edu/~pkmendez/envsci/projects/1998final/PhanH_1998.pdf</v>
      </c>
      <c r="P1237" s="4" t="s">
        <v>9</v>
      </c>
      <c r="Q1237" s="4" t="s">
        <v>10</v>
      </c>
    </row>
    <row r="1238" spans="1:17" x14ac:dyDescent="0.35">
      <c r="A1238" s="2" t="s">
        <v>5884</v>
      </c>
      <c r="B1238" s="2" t="s">
        <v>5684</v>
      </c>
      <c r="C1238" s="2" t="s">
        <v>5673</v>
      </c>
      <c r="D1238" s="2">
        <v>1998</v>
      </c>
      <c r="E1238" s="2" t="s">
        <v>5674</v>
      </c>
      <c r="G1238" s="2" t="s">
        <v>5685</v>
      </c>
      <c r="H1238" s="6" t="s">
        <v>5878</v>
      </c>
      <c r="I1238" s="2" t="str" cm="1">
        <f t="array" ref="I1238">H1238&amp;_xlfn.REGEXEXTRACT(G1238,"^(.*?)(?=-page1)")&amp;".pdf"</f>
        <v>https://www.ocf.berkeley.edu/~pkmendez/envsci/projects/1998final/QuanC_1998.pdf</v>
      </c>
      <c r="J1238" s="1" t="str">
        <f t="shared" si="21"/>
        <v>https://www.ocf.berkeley.edu/~pkmendez/envsci/projects/1998final/QuanC_1998.pdf</v>
      </c>
      <c r="P1238" s="4" t="s">
        <v>9</v>
      </c>
      <c r="Q1238" s="4" t="s">
        <v>10</v>
      </c>
    </row>
    <row r="1239" spans="1:17" x14ac:dyDescent="0.35">
      <c r="A1239" s="2" t="s">
        <v>5884</v>
      </c>
      <c r="B1239" s="2" t="s">
        <v>5686</v>
      </c>
      <c r="C1239" s="2" t="s">
        <v>5687</v>
      </c>
      <c r="D1239" s="2">
        <v>1998</v>
      </c>
      <c r="E1239" s="2" t="s">
        <v>5688</v>
      </c>
      <c r="G1239" s="2" t="s">
        <v>5689</v>
      </c>
      <c r="H1239" s="6" t="s">
        <v>5878</v>
      </c>
      <c r="I1239" s="2" t="str" cm="1">
        <f t="array" ref="I1239">H1239&amp;_xlfn.REGEXEXTRACT(G1239,"^(.*?)(?=-page1)")&amp;".pdf"</f>
        <v>https://www.ocf.berkeley.edu/~pkmendez/envsci/projects/1998final/RangelM_1998.pdf</v>
      </c>
      <c r="J1239" s="1" t="str">
        <f t="shared" si="21"/>
        <v>https://www.ocf.berkeley.edu/~pkmendez/envsci/projects/1998final/RangelM_1998.pdf</v>
      </c>
      <c r="P1239" s="4" t="s">
        <v>9</v>
      </c>
      <c r="Q1239" s="4" t="s">
        <v>10</v>
      </c>
    </row>
    <row r="1240" spans="1:17" x14ac:dyDescent="0.35">
      <c r="A1240" s="2" t="s">
        <v>5884</v>
      </c>
      <c r="B1240" s="2" t="s">
        <v>5690</v>
      </c>
      <c r="C1240" s="2" t="s">
        <v>5840</v>
      </c>
      <c r="D1240" s="2">
        <v>1998</v>
      </c>
      <c r="E1240" s="2" t="s">
        <v>5691</v>
      </c>
      <c r="G1240" s="2" t="s">
        <v>5692</v>
      </c>
      <c r="H1240" s="6" t="s">
        <v>5878</v>
      </c>
      <c r="I1240" s="2" t="str" cm="1">
        <f t="array" ref="I1240">H1240&amp;_xlfn.REGEXEXTRACT(G1240,"^(.*?)(?=-page1)")&amp;".pdf"</f>
        <v>https://www.ocf.berkeley.edu/~pkmendez/envsci/projects/1998final/SuttorpK_1998.pdf</v>
      </c>
      <c r="J1240" s="1" t="str">
        <f t="shared" si="21"/>
        <v>https://www.ocf.berkeley.edu/~pkmendez/envsci/projects/1998final/SuttorpK_1998.pdf</v>
      </c>
      <c r="P1240" s="4" t="s">
        <v>9</v>
      </c>
      <c r="Q1240" s="4" t="s">
        <v>10</v>
      </c>
    </row>
    <row r="1241" spans="1:17" x14ac:dyDescent="0.35">
      <c r="A1241" s="2" t="s">
        <v>5884</v>
      </c>
      <c r="B1241" s="2" t="s">
        <v>5869</v>
      </c>
      <c r="C1241" s="2" t="s">
        <v>5693</v>
      </c>
      <c r="D1241" s="2">
        <v>1998</v>
      </c>
      <c r="E1241" s="2" t="s">
        <v>5694</v>
      </c>
      <c r="G1241" s="2" t="s">
        <v>5695</v>
      </c>
      <c r="H1241" s="6" t="s">
        <v>5878</v>
      </c>
      <c r="I1241" s="2" t="str" cm="1">
        <f t="array" ref="I1241">H1241&amp;_xlfn.REGEXEXTRACT(G1241,"^(.*?)(?=-page1)")&amp;".pdf"</f>
        <v>https://www.ocf.berkeley.edu/~pkmendez/envsci/projects/1998final/TaA_1998.pdf</v>
      </c>
      <c r="J1241" s="1" t="str">
        <f t="shared" si="21"/>
        <v>https://www.ocf.berkeley.edu/~pkmendez/envsci/projects/1998final/TaA_1998.pdf</v>
      </c>
      <c r="P1241" s="4" t="s">
        <v>9</v>
      </c>
      <c r="Q1241" s="4" t="s">
        <v>10</v>
      </c>
    </row>
    <row r="1242" spans="1:17" x14ac:dyDescent="0.35">
      <c r="A1242" s="2" t="s">
        <v>5884</v>
      </c>
      <c r="B1242" s="2" t="s">
        <v>5696</v>
      </c>
      <c r="C1242" s="2" t="s">
        <v>5697</v>
      </c>
      <c r="D1242" s="2">
        <v>1998</v>
      </c>
      <c r="E1242" s="2" t="s">
        <v>5841</v>
      </c>
      <c r="G1242" s="2" t="s">
        <v>5698</v>
      </c>
      <c r="H1242" s="6" t="s">
        <v>5878</v>
      </c>
      <c r="I1242" s="2" t="str" cm="1">
        <f t="array" ref="I1242">H1242&amp;_xlfn.REGEXEXTRACT(G1242,"^(.*?)(?=-page1)")&amp;".pdf"</f>
        <v>https://www.ocf.berkeley.edu/~pkmendez/envsci/projects/1998final/WahbehH_1998.pdf</v>
      </c>
      <c r="J1242" s="1" t="str">
        <f t="shared" si="21"/>
        <v>https://www.ocf.berkeley.edu/~pkmendez/envsci/projects/1998final/WahbehH_1998.pdf</v>
      </c>
      <c r="P1242" s="4" t="s">
        <v>9</v>
      </c>
      <c r="Q1242" s="4" t="s">
        <v>10</v>
      </c>
    </row>
    <row r="1243" spans="1:17" x14ac:dyDescent="0.35">
      <c r="A1243" s="2" t="s">
        <v>5884</v>
      </c>
      <c r="B1243" s="2" t="s">
        <v>5699</v>
      </c>
      <c r="C1243" s="2" t="s">
        <v>5700</v>
      </c>
      <c r="D1243" s="2">
        <v>1998</v>
      </c>
      <c r="E1243" s="2" t="s">
        <v>5842</v>
      </c>
      <c r="G1243" s="2" t="s">
        <v>5701</v>
      </c>
      <c r="H1243" s="6" t="s">
        <v>5878</v>
      </c>
      <c r="I1243" s="2" t="str" cm="1">
        <f t="array" ref="I1243">H1243&amp;_xlfn.REGEXEXTRACT(G1243,"^(.*?)(?=-page1)")&amp;".pdf"</f>
        <v>https://www.ocf.berkeley.edu/~pkmendez/envsci/projects/1998final/WangA_1998.pdf</v>
      </c>
      <c r="J1243" s="1" t="str">
        <f t="shared" si="21"/>
        <v>https://www.ocf.berkeley.edu/~pkmendez/envsci/projects/1998final/WangA_1998.pdf</v>
      </c>
      <c r="P1243" s="4" t="s">
        <v>9</v>
      </c>
      <c r="Q1243" s="4" t="s">
        <v>10</v>
      </c>
    </row>
    <row r="1244" spans="1:17" x14ac:dyDescent="0.35">
      <c r="A1244" s="2" t="s">
        <v>5884</v>
      </c>
      <c r="B1244" s="2" t="s">
        <v>5702</v>
      </c>
      <c r="C1244" s="2" t="s">
        <v>5703</v>
      </c>
      <c r="D1244" s="2">
        <v>1998</v>
      </c>
      <c r="E1244" s="2" t="s">
        <v>5843</v>
      </c>
      <c r="G1244" s="2" t="s">
        <v>5704</v>
      </c>
      <c r="H1244" s="6" t="s">
        <v>5878</v>
      </c>
      <c r="I1244" s="2" t="str" cm="1">
        <f t="array" ref="I1244">H1244&amp;_xlfn.REGEXEXTRACT(G1244,"^(.*?)(?=-page1)")&amp;".pdf"</f>
        <v>https://www.ocf.berkeley.edu/~pkmendez/envsci/projects/1998final/WeekesSW_1998.pdf</v>
      </c>
      <c r="J1244" s="1" t="str">
        <f t="shared" si="21"/>
        <v>https://www.ocf.berkeley.edu/~pkmendez/envsci/projects/1998final/WeekesSW_1998.pdf</v>
      </c>
      <c r="P1244" s="4" t="s">
        <v>9</v>
      </c>
      <c r="Q1244" s="4" t="s">
        <v>10</v>
      </c>
    </row>
    <row r="1245" spans="1:17" x14ac:dyDescent="0.35">
      <c r="A1245" s="2" t="s">
        <v>5884</v>
      </c>
      <c r="B1245" s="2" t="s">
        <v>5705</v>
      </c>
      <c r="C1245" s="2" t="s">
        <v>5706</v>
      </c>
      <c r="D1245" s="2">
        <v>1998</v>
      </c>
      <c r="E1245" s="2" t="s">
        <v>5707</v>
      </c>
      <c r="G1245" s="2" t="s">
        <v>5708</v>
      </c>
      <c r="H1245" s="6" t="s">
        <v>5878</v>
      </c>
      <c r="I1245" s="2" t="str" cm="1">
        <f t="array" ref="I1245">H1245&amp;_xlfn.REGEXEXTRACT(G1245,"^(.*?)(?=-page1)")&amp;".pdf"</f>
        <v>https://www.ocf.berkeley.edu/~pkmendez/envsci/projects/1998final/WongH_1998.pdf</v>
      </c>
      <c r="J1245" s="1" t="str">
        <f t="shared" si="21"/>
        <v>https://www.ocf.berkeley.edu/~pkmendez/envsci/projects/1998final/WongH_1998.pdf</v>
      </c>
      <c r="P1245" s="4" t="s">
        <v>9</v>
      </c>
      <c r="Q1245" s="4" t="s">
        <v>10</v>
      </c>
    </row>
    <row r="1246" spans="1:17" x14ac:dyDescent="0.35">
      <c r="A1246" s="2" t="s">
        <v>5884</v>
      </c>
      <c r="B1246" s="2" t="s">
        <v>5709</v>
      </c>
      <c r="C1246" s="2" t="s">
        <v>5710</v>
      </c>
      <c r="D1246" s="2">
        <v>1998</v>
      </c>
      <c r="E1246" s="2" t="s">
        <v>5711</v>
      </c>
      <c r="G1246" s="2" t="s">
        <v>5712</v>
      </c>
      <c r="H1246" s="6" t="s">
        <v>5878</v>
      </c>
      <c r="I1246" s="2" t="str" cm="1">
        <f t="array" ref="I1246">H1246&amp;_xlfn.REGEXEXTRACT(G1246,"^(.*?)(?=-page1)")&amp;".pdf"</f>
        <v>https://www.ocf.berkeley.edu/~pkmendez/envsci/projects/1998final/YooFT_1998.pdf</v>
      </c>
      <c r="J1246" s="1" t="str">
        <f t="shared" si="21"/>
        <v>https://www.ocf.berkeley.edu/~pkmendez/envsci/projects/1998final/YooFT_1998.pdf</v>
      </c>
      <c r="P1246" s="4" t="s">
        <v>9</v>
      </c>
      <c r="Q1246" s="4" t="s">
        <v>10</v>
      </c>
    </row>
    <row r="1247" spans="1:17" x14ac:dyDescent="0.35">
      <c r="A1247" s="2" t="s">
        <v>5884</v>
      </c>
      <c r="B1247" s="2" t="s">
        <v>5713</v>
      </c>
      <c r="C1247" s="2" t="s">
        <v>5714</v>
      </c>
      <c r="D1247" s="2">
        <v>1997</v>
      </c>
      <c r="E1247" s="2" t="s">
        <v>5715</v>
      </c>
      <c r="G1247" s="2" t="s">
        <v>5716</v>
      </c>
      <c r="H1247" s="6" t="s">
        <v>5879</v>
      </c>
      <c r="I1247" s="2" t="str" cm="1">
        <f t="array" ref="I1247">H1247&amp;_xlfn.REGEXEXTRACT(G1247,"^(.*?)(?=-page1)")&amp;".pdf"</f>
        <v>https://www.ocf.berkeley.edu/~pkmendez/envsci/projects/1997final/AhlstenND_1997.pdf</v>
      </c>
      <c r="J1247" s="1" t="str">
        <f t="shared" si="21"/>
        <v>https://www.ocf.berkeley.edu/~pkmendez/envsci/projects/1997final/AhlstenND_1997.pdf</v>
      </c>
      <c r="P1247" s="4" t="s">
        <v>9</v>
      </c>
      <c r="Q1247" s="4" t="s">
        <v>10</v>
      </c>
    </row>
    <row r="1248" spans="1:17" x14ac:dyDescent="0.35">
      <c r="A1248" s="2" t="s">
        <v>5884</v>
      </c>
      <c r="B1248" s="2" t="s">
        <v>5717</v>
      </c>
      <c r="C1248" s="2" t="s">
        <v>5718</v>
      </c>
      <c r="D1248" s="2">
        <v>1997</v>
      </c>
      <c r="E1248" s="2" t="s">
        <v>5719</v>
      </c>
      <c r="G1248" s="2" t="s">
        <v>5720</v>
      </c>
      <c r="H1248" s="6" t="s">
        <v>5879</v>
      </c>
      <c r="I1248" s="2" t="str" cm="1">
        <f t="array" ref="I1248">H1248&amp;_xlfn.REGEXEXTRACT(G1248,"^(.*?)(?=-page1)")&amp;".pdf"</f>
        <v>https://www.ocf.berkeley.edu/~pkmendez/envsci/projects/1997final/AlexanderJ_1997.pdf</v>
      </c>
      <c r="J1248" s="1" t="str">
        <f t="shared" si="21"/>
        <v>https://www.ocf.berkeley.edu/~pkmendez/envsci/projects/1997final/AlexanderJ_1997.pdf</v>
      </c>
      <c r="P1248" s="4" t="s">
        <v>9</v>
      </c>
      <c r="Q1248" s="4" t="s">
        <v>10</v>
      </c>
    </row>
    <row r="1249" spans="1:17" x14ac:dyDescent="0.35">
      <c r="A1249" s="2" t="s">
        <v>5884</v>
      </c>
      <c r="B1249" s="2" t="s">
        <v>5721</v>
      </c>
      <c r="C1249" s="2" t="s">
        <v>5722</v>
      </c>
      <c r="D1249" s="2">
        <v>1997</v>
      </c>
      <c r="E1249" s="2" t="s">
        <v>5723</v>
      </c>
      <c r="G1249" s="2" t="s">
        <v>5724</v>
      </c>
      <c r="H1249" s="6" t="s">
        <v>5879</v>
      </c>
      <c r="I1249" s="2" t="str" cm="1">
        <f t="array" ref="I1249">H1249&amp;_xlfn.REGEXEXTRACT(G1249,"^(.*?)(?=-page1)")&amp;".pdf"</f>
        <v>https://www.ocf.berkeley.edu/~pkmendez/envsci/projects/1997final/AllenJ_1997.pdf</v>
      </c>
      <c r="J1249" s="1" t="str">
        <f t="shared" si="21"/>
        <v>https://www.ocf.berkeley.edu/~pkmendez/envsci/projects/1997final/AllenJ_1997.pdf</v>
      </c>
      <c r="P1249" s="4" t="s">
        <v>9</v>
      </c>
      <c r="Q1249" s="4" t="s">
        <v>10</v>
      </c>
    </row>
    <row r="1250" spans="1:17" x14ac:dyDescent="0.35">
      <c r="A1250" s="2" t="s">
        <v>5884</v>
      </c>
      <c r="B1250" s="2" t="s">
        <v>5725</v>
      </c>
      <c r="C1250" s="2" t="s">
        <v>5726</v>
      </c>
      <c r="D1250" s="2">
        <v>1997</v>
      </c>
      <c r="E1250" s="2" t="s">
        <v>5727</v>
      </c>
      <c r="G1250" s="2" t="s">
        <v>5728</v>
      </c>
      <c r="H1250" s="6" t="s">
        <v>5879</v>
      </c>
      <c r="I1250" s="2" t="str" cm="1">
        <f t="array" ref="I1250">H1250&amp;_xlfn.REGEXEXTRACT(G1250,"^(.*?)(?=-page1)")&amp;".pdf"</f>
        <v>https://www.ocf.berkeley.edu/~pkmendez/envsci/projects/1997final/AndersonK_1997.pdf</v>
      </c>
      <c r="J1250" s="1" t="str">
        <f t="shared" si="21"/>
        <v>https://www.ocf.berkeley.edu/~pkmendez/envsci/projects/1997final/AndersonK_1997.pdf</v>
      </c>
      <c r="P1250" s="4" t="s">
        <v>9</v>
      </c>
      <c r="Q1250" s="4" t="s">
        <v>10</v>
      </c>
    </row>
    <row r="1251" spans="1:17" x14ac:dyDescent="0.35">
      <c r="A1251" s="2" t="s">
        <v>5884</v>
      </c>
      <c r="B1251" s="2" t="s">
        <v>5729</v>
      </c>
      <c r="C1251" s="2" t="s">
        <v>5730</v>
      </c>
      <c r="D1251" s="2">
        <v>1997</v>
      </c>
      <c r="E1251" s="2" t="s">
        <v>5731</v>
      </c>
      <c r="G1251" s="2" t="s">
        <v>5732</v>
      </c>
      <c r="H1251" s="6" t="s">
        <v>5879</v>
      </c>
      <c r="I1251" s="2" t="str" cm="1">
        <f t="array" ref="I1251">H1251&amp;_xlfn.REGEXEXTRACT(G1251,"^(.*?)(?=-page1)")&amp;".pdf"</f>
        <v>https://www.ocf.berkeley.edu/~pkmendez/envsci/projects/1997final/BrittonAQ_1997.pdf</v>
      </c>
      <c r="J1251" s="1" t="str">
        <f t="shared" si="21"/>
        <v>https://www.ocf.berkeley.edu/~pkmendez/envsci/projects/1997final/BrittonAQ_1997.pdf</v>
      </c>
      <c r="P1251" s="4" t="s">
        <v>9</v>
      </c>
      <c r="Q1251" s="4" t="s">
        <v>10</v>
      </c>
    </row>
    <row r="1252" spans="1:17" x14ac:dyDescent="0.35">
      <c r="A1252" s="2" t="s">
        <v>5884</v>
      </c>
      <c r="B1252" s="2" t="s">
        <v>5733</v>
      </c>
      <c r="C1252" s="2" t="s">
        <v>5734</v>
      </c>
      <c r="D1252" s="2">
        <v>1997</v>
      </c>
      <c r="E1252" s="2" t="s">
        <v>5735</v>
      </c>
      <c r="G1252" s="2" t="s">
        <v>5736</v>
      </c>
      <c r="H1252" s="6" t="s">
        <v>5879</v>
      </c>
      <c r="I1252" s="2" t="str" cm="1">
        <f t="array" ref="I1252">H1252&amp;_xlfn.REGEXEXTRACT(G1252,"^(.*?)(?=-page1)")&amp;".pdf"</f>
        <v>https://www.ocf.berkeley.edu/~pkmendez/envsci/projects/1997final/CecilM_1997.pdf</v>
      </c>
      <c r="J1252" s="1" t="str">
        <f t="shared" si="21"/>
        <v>https://www.ocf.berkeley.edu/~pkmendez/envsci/projects/1997final/CecilM_1997.pdf</v>
      </c>
      <c r="P1252" s="4" t="s">
        <v>9</v>
      </c>
      <c r="Q1252" s="4" t="s">
        <v>10</v>
      </c>
    </row>
    <row r="1253" spans="1:17" x14ac:dyDescent="0.35">
      <c r="A1253" s="2" t="s">
        <v>5884</v>
      </c>
      <c r="B1253" s="2" t="s">
        <v>5737</v>
      </c>
      <c r="C1253" s="2" t="s">
        <v>5738</v>
      </c>
      <c r="D1253" s="2">
        <v>1997</v>
      </c>
      <c r="E1253" s="2" t="s">
        <v>5739</v>
      </c>
      <c r="G1253" s="2" t="s">
        <v>5740</v>
      </c>
      <c r="H1253" s="6" t="s">
        <v>5879</v>
      </c>
      <c r="I1253" s="2" t="str" cm="1">
        <f t="array" ref="I1253">H1253&amp;_xlfn.REGEXEXTRACT(G1253,"^(.*?)(?=-page1)")&amp;".pdf"</f>
        <v>https://www.ocf.berkeley.edu/~pkmendez/envsci/projects/1997final/ChalemBR_1997.pdf</v>
      </c>
      <c r="J1253" s="1" t="str">
        <f t="shared" si="21"/>
        <v>https://www.ocf.berkeley.edu/~pkmendez/envsci/projects/1997final/ChalemBR_1997.pdf</v>
      </c>
      <c r="P1253" s="4" t="s">
        <v>9</v>
      </c>
      <c r="Q1253" s="4" t="s">
        <v>10</v>
      </c>
    </row>
    <row r="1254" spans="1:17" x14ac:dyDescent="0.35">
      <c r="A1254" s="2" t="s">
        <v>5884</v>
      </c>
      <c r="B1254" s="2" t="s">
        <v>5741</v>
      </c>
      <c r="C1254" s="2" t="s">
        <v>5742</v>
      </c>
      <c r="D1254" s="2">
        <v>1997</v>
      </c>
      <c r="E1254" s="2" t="s">
        <v>5743</v>
      </c>
      <c r="G1254" s="2" t="s">
        <v>5744</v>
      </c>
      <c r="H1254" s="6" t="s">
        <v>5879</v>
      </c>
      <c r="I1254" s="2" t="str" cm="1">
        <f t="array" ref="I1254">H1254&amp;_xlfn.REGEXEXTRACT(G1254,"^(.*?)(?=-page1)")&amp;".pdf"</f>
        <v>https://www.ocf.berkeley.edu/~pkmendez/envsci/projects/1997final/ChinC_1997.pdf</v>
      </c>
      <c r="J1254" s="1" t="str">
        <f t="shared" si="21"/>
        <v>https://www.ocf.berkeley.edu/~pkmendez/envsci/projects/1997final/ChinC_1997.pdf</v>
      </c>
      <c r="P1254" s="4" t="s">
        <v>9</v>
      </c>
      <c r="Q1254" s="4" t="s">
        <v>10</v>
      </c>
    </row>
    <row r="1255" spans="1:17" x14ac:dyDescent="0.35">
      <c r="A1255" s="2" t="s">
        <v>5884</v>
      </c>
      <c r="B1255" s="2" t="s">
        <v>5745</v>
      </c>
      <c r="C1255" s="2" t="s">
        <v>5746</v>
      </c>
      <c r="D1255" s="2">
        <v>1997</v>
      </c>
      <c r="E1255" s="2" t="s">
        <v>5747</v>
      </c>
      <c r="G1255" s="2" t="s">
        <v>5748</v>
      </c>
      <c r="H1255" s="6" t="s">
        <v>5879</v>
      </c>
      <c r="I1255" s="2" t="str" cm="1">
        <f t="array" ref="I1255">H1255&amp;_xlfn.REGEXEXTRACT(G1255,"^(.*?)(?=-page1)")&amp;".pdf"</f>
        <v>https://www.ocf.berkeley.edu/~pkmendez/envsci/projects/1997final/CuocoL_1997.pdf</v>
      </c>
      <c r="J1255" s="1" t="str">
        <f t="shared" si="21"/>
        <v>https://www.ocf.berkeley.edu/~pkmendez/envsci/projects/1997final/CuocoL_1997.pdf</v>
      </c>
      <c r="P1255" s="4" t="s">
        <v>9</v>
      </c>
      <c r="Q1255" s="4" t="s">
        <v>10</v>
      </c>
    </row>
    <row r="1256" spans="1:17" x14ac:dyDescent="0.35">
      <c r="A1256" s="2" t="s">
        <v>5884</v>
      </c>
      <c r="B1256" s="2" t="s">
        <v>5749</v>
      </c>
      <c r="C1256" s="2" t="s">
        <v>5750</v>
      </c>
      <c r="D1256" s="2">
        <v>1997</v>
      </c>
      <c r="E1256" s="2" t="s">
        <v>5751</v>
      </c>
      <c r="G1256" s="2" t="s">
        <v>5752</v>
      </c>
      <c r="H1256" s="6" t="s">
        <v>5879</v>
      </c>
      <c r="I1256" s="2" t="str" cm="1">
        <f t="array" ref="I1256">H1256&amp;_xlfn.REGEXEXTRACT(G1256,"^(.*?)(?=-page1)")&amp;".pdf"</f>
        <v>https://www.ocf.berkeley.edu/~pkmendez/envsci/projects/1997final/FoxworthyA_1997.pdf</v>
      </c>
      <c r="J1256" s="1" t="str">
        <f t="shared" si="21"/>
        <v>https://www.ocf.berkeley.edu/~pkmendez/envsci/projects/1997final/FoxworthyA_1997.pdf</v>
      </c>
      <c r="P1256" s="4" t="s">
        <v>9</v>
      </c>
      <c r="Q1256" s="4" t="s">
        <v>10</v>
      </c>
    </row>
    <row r="1257" spans="1:17" x14ac:dyDescent="0.35">
      <c r="A1257" s="2" t="s">
        <v>5884</v>
      </c>
      <c r="B1257" s="2" t="s">
        <v>5753</v>
      </c>
      <c r="C1257" s="2" t="s">
        <v>5754</v>
      </c>
      <c r="D1257" s="2">
        <v>1997</v>
      </c>
      <c r="E1257" s="2" t="s">
        <v>5755</v>
      </c>
      <c r="G1257" s="2" t="s">
        <v>5756</v>
      </c>
      <c r="H1257" s="6" t="s">
        <v>5879</v>
      </c>
      <c r="I1257" s="2" t="str" cm="1">
        <f t="array" ref="I1257">H1257&amp;_xlfn.REGEXEXTRACT(G1257,"^(.*?)(?=-page1)")&amp;".pdf"</f>
        <v>https://www.ocf.berkeley.edu/~pkmendez/envsci/projects/1997final/HassanaliS_1997.pdf</v>
      </c>
      <c r="J1257" s="1" t="str">
        <f t="shared" si="21"/>
        <v>https://www.ocf.berkeley.edu/~pkmendez/envsci/projects/1997final/HassanaliS_1997.pdf</v>
      </c>
      <c r="P1257" s="4" t="s">
        <v>9</v>
      </c>
      <c r="Q1257" s="4" t="s">
        <v>10</v>
      </c>
    </row>
    <row r="1258" spans="1:17" x14ac:dyDescent="0.35">
      <c r="A1258" s="2" t="s">
        <v>5884</v>
      </c>
      <c r="B1258" s="2" t="s">
        <v>5757</v>
      </c>
      <c r="C1258" s="2" t="s">
        <v>5758</v>
      </c>
      <c r="D1258" s="2">
        <v>1997</v>
      </c>
      <c r="E1258" s="2" t="s">
        <v>5759</v>
      </c>
      <c r="G1258" s="2" t="s">
        <v>5760</v>
      </c>
      <c r="H1258" s="6" t="s">
        <v>5879</v>
      </c>
      <c r="I1258" s="2" t="str" cm="1">
        <f t="array" ref="I1258">H1258&amp;_xlfn.REGEXEXTRACT(G1258,"^(.*?)(?=-page1)")&amp;".pdf"</f>
        <v>https://www.ocf.berkeley.edu/~pkmendez/envsci/projects/1997final/HerreraAM_1997.pdf</v>
      </c>
      <c r="J1258" s="1" t="str">
        <f t="shared" si="21"/>
        <v>https://www.ocf.berkeley.edu/~pkmendez/envsci/projects/1997final/HerreraAM_1997.pdf</v>
      </c>
      <c r="P1258" s="4" t="s">
        <v>9</v>
      </c>
      <c r="Q1258" s="4" t="s">
        <v>10</v>
      </c>
    </row>
    <row r="1259" spans="1:17" x14ac:dyDescent="0.35">
      <c r="A1259" s="2" t="s">
        <v>5884</v>
      </c>
      <c r="B1259" s="2" t="s">
        <v>5761</v>
      </c>
      <c r="C1259" s="2" t="s">
        <v>5762</v>
      </c>
      <c r="D1259" s="2">
        <v>1997</v>
      </c>
      <c r="E1259" s="2" t="s">
        <v>5763</v>
      </c>
      <c r="G1259" s="2" t="s">
        <v>5764</v>
      </c>
      <c r="H1259" s="6" t="s">
        <v>5879</v>
      </c>
      <c r="I1259" s="2" t="str" cm="1">
        <f t="array" ref="I1259">H1259&amp;_xlfn.REGEXEXTRACT(G1259,"^(.*?)(?=-page1)")&amp;".pdf"</f>
        <v>https://www.ocf.berkeley.edu/~pkmendez/envsci/projects/1997final/JaniA_1997.pdf</v>
      </c>
      <c r="J1259" s="1" t="str">
        <f t="shared" si="21"/>
        <v>https://www.ocf.berkeley.edu/~pkmendez/envsci/projects/1997final/JaniA_1997.pdf</v>
      </c>
      <c r="P1259" s="4" t="s">
        <v>9</v>
      </c>
      <c r="Q1259" s="4" t="s">
        <v>10</v>
      </c>
    </row>
    <row r="1260" spans="1:17" x14ac:dyDescent="0.35">
      <c r="A1260" s="2" t="s">
        <v>5884</v>
      </c>
      <c r="B1260" s="2" t="s">
        <v>5765</v>
      </c>
      <c r="C1260" s="2" t="s">
        <v>5766</v>
      </c>
      <c r="D1260" s="2">
        <v>1997</v>
      </c>
      <c r="E1260" s="2" t="s">
        <v>5767</v>
      </c>
      <c r="G1260" s="2" t="s">
        <v>5768</v>
      </c>
      <c r="H1260" s="6" t="s">
        <v>5879</v>
      </c>
      <c r="I1260" s="2" t="str" cm="1">
        <f t="array" ref="I1260">H1260&amp;_xlfn.REGEXEXTRACT(G1260,"^(.*?)(?=-page1)")&amp;".pdf"</f>
        <v>https://www.ocf.berkeley.edu/~pkmendez/envsci/projects/1997final/KincaidM_1997.pdf</v>
      </c>
      <c r="J1260" s="1" t="str">
        <f t="shared" si="21"/>
        <v>https://www.ocf.berkeley.edu/~pkmendez/envsci/projects/1997final/KincaidM_1997.pdf</v>
      </c>
      <c r="P1260" s="4" t="s">
        <v>9</v>
      </c>
      <c r="Q1260" s="4" t="s">
        <v>10</v>
      </c>
    </row>
    <row r="1261" spans="1:17" x14ac:dyDescent="0.35">
      <c r="A1261" s="2" t="s">
        <v>5884</v>
      </c>
      <c r="B1261" s="2" t="s">
        <v>5769</v>
      </c>
      <c r="C1261" s="2" t="s">
        <v>5770</v>
      </c>
      <c r="D1261" s="2">
        <v>1997</v>
      </c>
      <c r="E1261" s="2" t="s">
        <v>5771</v>
      </c>
      <c r="G1261" s="2" t="s">
        <v>5772</v>
      </c>
      <c r="H1261" s="6" t="s">
        <v>5879</v>
      </c>
      <c r="I1261" s="2" t="str" cm="1">
        <f t="array" ref="I1261">H1261&amp;_xlfn.REGEXEXTRACT(G1261,"^(.*?)(?=-page1)")&amp;".pdf"</f>
        <v>https://www.ocf.berkeley.edu/~pkmendez/envsci/projects/1997final/KinhalSJ_1997.pdf</v>
      </c>
      <c r="J1261" s="1" t="str">
        <f t="shared" si="21"/>
        <v>https://www.ocf.berkeley.edu/~pkmendez/envsci/projects/1997final/KinhalSJ_1997.pdf</v>
      </c>
      <c r="P1261" s="4" t="s">
        <v>9</v>
      </c>
      <c r="Q1261" s="4" t="s">
        <v>10</v>
      </c>
    </row>
    <row r="1262" spans="1:17" x14ac:dyDescent="0.35">
      <c r="A1262" s="2" t="s">
        <v>5884</v>
      </c>
      <c r="B1262" s="2" t="s">
        <v>5773</v>
      </c>
      <c r="C1262" s="2" t="s">
        <v>5774</v>
      </c>
      <c r="D1262" s="2">
        <v>1997</v>
      </c>
      <c r="E1262" s="2" t="s">
        <v>5775</v>
      </c>
      <c r="G1262" s="2" t="s">
        <v>5776</v>
      </c>
      <c r="H1262" s="6" t="s">
        <v>5879</v>
      </c>
      <c r="I1262" s="2" t="str" cm="1">
        <f t="array" ref="I1262">H1262&amp;_xlfn.REGEXEXTRACT(G1262,"^(.*?)(?=-page1)")&amp;".pdf"</f>
        <v>https://www.ocf.berkeley.edu/~pkmendez/envsci/projects/1997final/KuAY_1997.pdf</v>
      </c>
      <c r="J1262" s="1" t="str">
        <f t="shared" si="21"/>
        <v>https://www.ocf.berkeley.edu/~pkmendez/envsci/projects/1997final/KuAY_1997.pdf</v>
      </c>
      <c r="P1262" s="4" t="s">
        <v>9</v>
      </c>
      <c r="Q1262" s="4" t="s">
        <v>10</v>
      </c>
    </row>
    <row r="1263" spans="1:17" x14ac:dyDescent="0.35">
      <c r="A1263" s="2" t="s">
        <v>5884</v>
      </c>
      <c r="B1263" s="2" t="s">
        <v>5777</v>
      </c>
      <c r="C1263" s="2" t="s">
        <v>5778</v>
      </c>
      <c r="D1263" s="2">
        <v>1997</v>
      </c>
      <c r="E1263" s="2" t="s">
        <v>5779</v>
      </c>
      <c r="G1263" s="2" t="s">
        <v>5780</v>
      </c>
      <c r="H1263" s="6" t="s">
        <v>5879</v>
      </c>
      <c r="I1263" s="2" t="str" cm="1">
        <f t="array" ref="I1263">H1263&amp;_xlfn.REGEXEXTRACT(G1263,"^(.*?)(?=-page1)")&amp;".pdf"</f>
        <v>https://www.ocf.berkeley.edu/~pkmendez/envsci/projects/1997final/NusrattyT_1997.pdf</v>
      </c>
      <c r="J1263" s="1" t="str">
        <f t="shared" si="21"/>
        <v>https://www.ocf.berkeley.edu/~pkmendez/envsci/projects/1997final/NusrattyT_1997.pdf</v>
      </c>
      <c r="P1263" s="4" t="s">
        <v>9</v>
      </c>
      <c r="Q1263" s="4" t="s">
        <v>10</v>
      </c>
    </row>
    <row r="1264" spans="1:17" x14ac:dyDescent="0.35">
      <c r="A1264" s="2" t="s">
        <v>5884</v>
      </c>
      <c r="B1264" s="2" t="s">
        <v>5781</v>
      </c>
      <c r="C1264" s="2" t="s">
        <v>5782</v>
      </c>
      <c r="D1264" s="2">
        <v>1997</v>
      </c>
      <c r="E1264" s="2" t="s">
        <v>5783</v>
      </c>
      <c r="G1264" s="2" t="s">
        <v>5784</v>
      </c>
      <c r="H1264" s="6" t="s">
        <v>5879</v>
      </c>
      <c r="I1264" s="2" t="str" cm="1">
        <f t="array" ref="I1264">H1264&amp;_xlfn.REGEXEXTRACT(G1264,"^(.*?)(?=-page1)")&amp;".pdf"</f>
        <v>https://www.ocf.berkeley.edu/~pkmendez/envsci/projects/1997final/O'ConnorAP_1997.pdf</v>
      </c>
      <c r="J1264" s="1" t="str">
        <f t="shared" si="21"/>
        <v>https://www.ocf.berkeley.edu/~pkmendez/envsci/projects/1997final/O'ConnorAP_1997.pdf</v>
      </c>
      <c r="P1264" s="4" t="s">
        <v>9</v>
      </c>
      <c r="Q1264" s="4" t="s">
        <v>10</v>
      </c>
    </row>
    <row r="1265" spans="1:17" x14ac:dyDescent="0.35">
      <c r="A1265" s="2" t="s">
        <v>5884</v>
      </c>
      <c r="B1265" s="2" t="s">
        <v>5785</v>
      </c>
      <c r="C1265" s="2" t="s">
        <v>5786</v>
      </c>
      <c r="D1265" s="2">
        <v>1997</v>
      </c>
      <c r="E1265" s="2" t="s">
        <v>5787</v>
      </c>
      <c r="G1265" s="2" t="s">
        <v>5788</v>
      </c>
      <c r="H1265" s="6" t="s">
        <v>5879</v>
      </c>
      <c r="I1265" s="2" t="str" cm="1">
        <f t="array" ref="I1265">H1265&amp;_xlfn.REGEXEXTRACT(G1265,"^(.*?)(?=-page1)")&amp;".pdf"</f>
        <v>https://www.ocf.berkeley.edu/~pkmendez/envsci/projects/1997final/PhunADQ_1997.pdf</v>
      </c>
      <c r="J1265" s="1" t="str">
        <f t="shared" si="21"/>
        <v>https://www.ocf.berkeley.edu/~pkmendez/envsci/projects/1997final/PhunADQ_1997.pdf</v>
      </c>
      <c r="P1265" s="4" t="s">
        <v>9</v>
      </c>
      <c r="Q1265" s="4" t="s">
        <v>10</v>
      </c>
    </row>
    <row r="1266" spans="1:17" x14ac:dyDescent="0.35">
      <c r="A1266" s="2" t="s">
        <v>5884</v>
      </c>
      <c r="B1266" s="2" t="s">
        <v>5789</v>
      </c>
      <c r="C1266" s="2" t="s">
        <v>5790</v>
      </c>
      <c r="D1266" s="2">
        <v>1997</v>
      </c>
      <c r="E1266" s="2" t="s">
        <v>5791</v>
      </c>
      <c r="G1266" s="2" t="s">
        <v>5792</v>
      </c>
      <c r="H1266" s="6" t="s">
        <v>5879</v>
      </c>
      <c r="I1266" s="2" t="str" cm="1">
        <f t="array" ref="I1266">H1266&amp;_xlfn.REGEXEXTRACT(G1266,"^(.*?)(?=-page1)")&amp;".pdf"</f>
        <v>https://www.ocf.berkeley.edu/~pkmendez/envsci/projects/1997final/PyatiA_1997.pdf</v>
      </c>
      <c r="J1266" s="1" t="str">
        <f t="shared" si="21"/>
        <v>https://www.ocf.berkeley.edu/~pkmendez/envsci/projects/1997final/PyatiA_1997.pdf</v>
      </c>
      <c r="P1266" s="4" t="s">
        <v>9</v>
      </c>
      <c r="Q1266" s="4" t="s">
        <v>10</v>
      </c>
    </row>
    <row r="1267" spans="1:17" x14ac:dyDescent="0.35">
      <c r="A1267" s="2" t="s">
        <v>5884</v>
      </c>
      <c r="B1267" s="2" t="s">
        <v>5881</v>
      </c>
      <c r="C1267" s="2" t="s">
        <v>5793</v>
      </c>
      <c r="D1267" s="2">
        <v>1997</v>
      </c>
      <c r="E1267" s="2" t="s">
        <v>5880</v>
      </c>
      <c r="G1267" s="2" t="s">
        <v>5794</v>
      </c>
      <c r="H1267" s="6" t="s">
        <v>5879</v>
      </c>
      <c r="I1267" s="2" t="str" cm="1">
        <f t="array" ref="I1267">H1267&amp;_xlfn.REGEXEXTRACT(G1267,"^(.*?)(?=-page1)")&amp;".pdf"</f>
        <v>https://www.ocf.berkeley.edu/~pkmendez/envsci/projects/1997final/RabinovichA_1997.pdf</v>
      </c>
      <c r="J1267" s="1" t="str">
        <f t="shared" si="21"/>
        <v>https://www.ocf.berkeley.edu/~pkmendez/envsci/projects/1997final/RabinovichA_1997.pdf</v>
      </c>
      <c r="P1267" s="4" t="s">
        <v>9</v>
      </c>
      <c r="Q1267" s="4" t="s">
        <v>10</v>
      </c>
    </row>
    <row r="1268" spans="1:17" x14ac:dyDescent="0.35">
      <c r="A1268" s="2" t="s">
        <v>5884</v>
      </c>
      <c r="B1268" s="2" t="s">
        <v>5795</v>
      </c>
      <c r="C1268" s="2" t="s">
        <v>5796</v>
      </c>
      <c r="D1268" s="2">
        <v>1997</v>
      </c>
      <c r="E1268" s="2" t="s">
        <v>5797</v>
      </c>
      <c r="G1268" s="2" t="s">
        <v>5798</v>
      </c>
      <c r="H1268" s="6" t="s">
        <v>5879</v>
      </c>
      <c r="I1268" s="2" t="str" cm="1">
        <f t="array" ref="I1268">H1268&amp;_xlfn.REGEXEXTRACT(G1268,"^(.*?)(?=-page1)")&amp;".pdf"</f>
        <v>https://www.ocf.berkeley.edu/~pkmendez/envsci/projects/1997final/RemaisJV_1997.pdf</v>
      </c>
      <c r="J1268" s="1" t="str">
        <f t="shared" si="21"/>
        <v>https://www.ocf.berkeley.edu/~pkmendez/envsci/projects/1997final/RemaisJV_1997.pdf</v>
      </c>
      <c r="P1268" s="4" t="s">
        <v>9</v>
      </c>
      <c r="Q1268" s="4" t="s">
        <v>10</v>
      </c>
    </row>
    <row r="1269" spans="1:17" x14ac:dyDescent="0.35">
      <c r="A1269" s="2" t="s">
        <v>5884</v>
      </c>
      <c r="B1269" s="2" t="s">
        <v>5799</v>
      </c>
      <c r="C1269" s="2" t="s">
        <v>5800</v>
      </c>
      <c r="D1269" s="2">
        <v>1997</v>
      </c>
      <c r="E1269" s="2" t="s">
        <v>5801</v>
      </c>
      <c r="G1269" s="2" t="s">
        <v>5802</v>
      </c>
      <c r="H1269" s="6" t="s">
        <v>5879</v>
      </c>
      <c r="I1269" s="2" t="str" cm="1">
        <f t="array" ref="I1269">H1269&amp;_xlfn.REGEXEXTRACT(G1269,"^(.*?)(?=-page1)")&amp;".pdf"</f>
        <v>https://www.ocf.berkeley.edu/~pkmendez/envsci/projects/1997final/SchneiderH_1997.pdf</v>
      </c>
      <c r="J1269" s="1" t="str">
        <f t="shared" si="21"/>
        <v>https://www.ocf.berkeley.edu/~pkmendez/envsci/projects/1997final/SchneiderH_1997.pdf</v>
      </c>
      <c r="P1269" s="4" t="s">
        <v>9</v>
      </c>
      <c r="Q1269" s="4" t="s">
        <v>10</v>
      </c>
    </row>
    <row r="1270" spans="1:17" x14ac:dyDescent="0.35">
      <c r="A1270" s="2" t="s">
        <v>5884</v>
      </c>
      <c r="B1270" s="2" t="s">
        <v>5803</v>
      </c>
      <c r="C1270" s="2" t="s">
        <v>5804</v>
      </c>
      <c r="D1270" s="2">
        <v>1997</v>
      </c>
      <c r="E1270" s="2" t="s">
        <v>5805</v>
      </c>
      <c r="G1270" s="2" t="s">
        <v>5806</v>
      </c>
      <c r="H1270" s="6" t="s">
        <v>5879</v>
      </c>
      <c r="I1270" s="2" t="str" cm="1">
        <f t="array" ref="I1270">H1270&amp;_xlfn.REGEXEXTRACT(G1270,"^(.*?)(?=-page1)")&amp;".pdf"</f>
        <v>https://www.ocf.berkeley.edu/~pkmendez/envsci/projects/1997final/WangW_1997.pdf</v>
      </c>
      <c r="J1270" s="1" t="str">
        <f t="shared" si="21"/>
        <v>https://www.ocf.berkeley.edu/~pkmendez/envsci/projects/1997final/WangW_1997.pdf</v>
      </c>
      <c r="P1270" s="4" t="s">
        <v>9</v>
      </c>
      <c r="Q1270" s="4" t="s">
        <v>10</v>
      </c>
    </row>
  </sheetData>
  <hyperlinks>
    <hyperlink ref="H2" r:id="rId1" xr:uid="{D6DE3201-1C5B-2A4C-96FB-AE2A0B6970DE}"/>
    <hyperlink ref="H3:H87" r:id="rId2" display="https://www.ocf.berkeley.edu/~pkmendez/envsci/projects/2024final/" xr:uid="{4414353A-7690-5D47-A3A5-A8266CF3F863}"/>
    <hyperlink ref="H88" r:id="rId3" xr:uid="{FF8B8141-B317-864C-BAE2-A6B82A7D210A}"/>
    <hyperlink ref="H89:H146" r:id="rId4" display="https://www.ocf.berkeley.edu/~pkmendez/envsci/projects/2023final/" xr:uid="{CABA35E3-E412-4D41-A0F7-02D0668899D0}"/>
    <hyperlink ref="H148" r:id="rId5" xr:uid="{94E44E30-AECC-634B-B14F-753347663A7D}"/>
    <hyperlink ref="H149:H219" r:id="rId6" display="https://www.ocf.berkeley.edu/~pkmendez/envsci/projects/2022final/" xr:uid="{01569CCB-3BAB-384B-9870-5F8C88DD231F}"/>
    <hyperlink ref="H220" r:id="rId7" xr:uid="{36FD6DB5-FDC4-FE44-9DD7-6F300FD2B552}"/>
    <hyperlink ref="H221" r:id="rId8" xr:uid="{62326186-80FF-9C41-8563-34DEFFB12F57}"/>
    <hyperlink ref="H222" r:id="rId9" xr:uid="{5F08708C-B1E2-8A44-9A31-8E2091BB9D03}"/>
    <hyperlink ref="H223" r:id="rId10" xr:uid="{2A8C0418-D3EF-8447-BF84-BEC0AA6BC8DC}"/>
    <hyperlink ref="H224" r:id="rId11" xr:uid="{71ECDE2A-A0B7-E848-A86B-5E6E49E358E0}"/>
    <hyperlink ref="H225" r:id="rId12" xr:uid="{F74A8E4B-9C6B-574F-A3F1-91B025944D79}"/>
    <hyperlink ref="H226" r:id="rId13" xr:uid="{EC7AFE77-8285-894F-98F4-B76C8247E7FA}"/>
    <hyperlink ref="H227" r:id="rId14" xr:uid="{8D731C8B-5D04-A14F-8182-6D854FB8A69E}"/>
    <hyperlink ref="H228" r:id="rId15" xr:uid="{84E0F645-5D01-B249-9525-D83A228D945F}"/>
    <hyperlink ref="H229" r:id="rId16" xr:uid="{09870FD9-D7EE-D84A-8D8E-4CC49812C684}"/>
    <hyperlink ref="H230" r:id="rId17" xr:uid="{82947E17-A7E1-3C48-89CD-7A2D809150A6}"/>
    <hyperlink ref="H231" r:id="rId18" xr:uid="{92BF7770-4E46-BE4B-9D71-77F0843D205B}"/>
    <hyperlink ref="H232" r:id="rId19" xr:uid="{1DF386FB-960F-6D47-8932-D48113A20C6E}"/>
    <hyperlink ref="H233" r:id="rId20" xr:uid="{99539368-2949-CF4F-985D-F0703D032409}"/>
    <hyperlink ref="H234" r:id="rId21" xr:uid="{8926217A-5F2F-5E42-B8ED-AC9AE435D77E}"/>
    <hyperlink ref="H235" r:id="rId22" xr:uid="{6FABE730-EE2C-B04D-9A5F-72F3C9383B87}"/>
    <hyperlink ref="H236" r:id="rId23" xr:uid="{66F2B522-888C-084A-98C8-5718288AD344}"/>
    <hyperlink ref="H237" r:id="rId24" xr:uid="{42FDADAD-1965-4746-9386-4995246D10BB}"/>
    <hyperlink ref="H238" r:id="rId25" xr:uid="{68E656CA-F620-1549-B26B-933BC3315E98}"/>
    <hyperlink ref="H239" r:id="rId26" xr:uid="{88AFA74B-DEA1-9941-A1A4-1D672A4C62AB}"/>
    <hyperlink ref="H240" r:id="rId27" xr:uid="{BC918A10-0CE7-FB44-B8A2-58F1C7440E98}"/>
    <hyperlink ref="H241" r:id="rId28" xr:uid="{759F4F34-DE57-024D-9759-C87A92BCFAD0}"/>
    <hyperlink ref="H242" r:id="rId29" xr:uid="{0C362BAA-4AA9-B648-94E1-125347906567}"/>
    <hyperlink ref="H243" r:id="rId30" xr:uid="{6292B3BA-6381-5D4D-ADE9-03B0D970E0DA}"/>
    <hyperlink ref="H244" r:id="rId31" xr:uid="{285D3E9B-9FEE-404F-9C29-E614FD76D4E6}"/>
    <hyperlink ref="H245" r:id="rId32" xr:uid="{A2F6ECA4-9FC6-694B-9A56-83100988B4B6}"/>
    <hyperlink ref="H246" r:id="rId33" xr:uid="{13B04934-0964-B348-AA6E-BB33F5903E72}"/>
    <hyperlink ref="H247" r:id="rId34" xr:uid="{BADE35F3-8085-5444-B5A7-12E83D917682}"/>
    <hyperlink ref="H248" r:id="rId35" xr:uid="{D142637C-8C8F-CF45-A6D9-66A0CD39B3C9}"/>
    <hyperlink ref="H249" r:id="rId36" xr:uid="{F0A9B7F9-9156-4C47-B5FC-BB03A1739E24}"/>
    <hyperlink ref="H250" r:id="rId37" xr:uid="{2B1A78D2-41E4-B44E-9F4D-D97E3ABF5BB3}"/>
    <hyperlink ref="H251" r:id="rId38" xr:uid="{805388D6-6563-0842-B50B-756F98B80A76}"/>
    <hyperlink ref="H252" r:id="rId39" xr:uid="{1C81D482-F63F-AF4E-A8D0-29640F6203E3}"/>
    <hyperlink ref="H253" r:id="rId40" xr:uid="{994D4CD8-774B-5045-AD53-9022A58A36E3}"/>
    <hyperlink ref="H254" r:id="rId41" xr:uid="{46DEDCE1-E55F-DF4C-A7A5-F0E89D902C94}"/>
    <hyperlink ref="H255" r:id="rId42" xr:uid="{63451FC9-7FDF-9748-B9EA-9E7DD3134B2A}"/>
    <hyperlink ref="H256" r:id="rId43" xr:uid="{2C61A4AE-833A-DF46-B144-2F5331EDC984}"/>
    <hyperlink ref="H257" r:id="rId44" xr:uid="{D67B8B3C-73CB-2B41-9907-7D724F8392EE}"/>
    <hyperlink ref="H258" r:id="rId45" xr:uid="{2C238771-601D-424D-A49F-101AA25FBE7D}"/>
    <hyperlink ref="H259" r:id="rId46" xr:uid="{D0492B3D-C7FB-D348-AE60-85F034A9068F}"/>
    <hyperlink ref="H260" r:id="rId47" xr:uid="{EE32EC2C-A8E9-2C46-AA90-4633575E42AA}"/>
    <hyperlink ref="H261" r:id="rId48" xr:uid="{7EB2D116-DFF2-B049-AFBB-06BCE9274B00}"/>
    <hyperlink ref="H262" r:id="rId49" xr:uid="{81636637-6C59-574D-B887-D39B02DFC61A}"/>
    <hyperlink ref="H263" r:id="rId50" xr:uid="{5AB1835F-A3AC-C741-BF30-8F11F2C358B2}"/>
    <hyperlink ref="H264" r:id="rId51" xr:uid="{7911C1DE-C654-5E4F-9402-E93FDD47EBCB}"/>
    <hyperlink ref="H265" r:id="rId52" xr:uid="{71B872A7-940C-0242-A320-6958FD927AD4}"/>
    <hyperlink ref="H266" r:id="rId53" xr:uid="{7890042B-669C-B844-B313-DB569B88A1D4}"/>
    <hyperlink ref="H267" r:id="rId54" xr:uid="{D299491E-E2CD-FF42-904C-82AAFE37BD0E}"/>
    <hyperlink ref="H268" r:id="rId55" xr:uid="{404B6E00-44CA-8140-90A2-E45D302CC753}"/>
    <hyperlink ref="H269" r:id="rId56" xr:uid="{2FD81BD4-DD49-0246-9EB7-BB7C3296A877}"/>
    <hyperlink ref="H270" r:id="rId57" xr:uid="{4619B462-CBD3-E64B-B4E2-716D187A2392}"/>
    <hyperlink ref="H271" r:id="rId58" xr:uid="{1749F96F-B4B9-324B-B702-3582D4F38942}"/>
    <hyperlink ref="H272:H315" r:id="rId59" display="https://www.ocf.berkeley.edu/~pkmendez/envsci/projects/2020final/" xr:uid="{B5096643-19E4-A844-827A-9414503BEBE5}"/>
    <hyperlink ref="H316" r:id="rId60" xr:uid="{CFD42B2D-11AA-7745-B4F2-C39687B711C5}"/>
    <hyperlink ref="H317:H370" r:id="rId61" display="https://www.ocf.berkeley.edu/~pkmendez/envsci/projects/2019final/" xr:uid="{09714E82-17EC-0D4E-8F4B-CEDFED4010BF}"/>
    <hyperlink ref="H371" r:id="rId62" xr:uid="{9A503007-421B-9A46-97A5-85D7F4ABAB15}"/>
    <hyperlink ref="H372:H419" r:id="rId63" display="https://www.ocf.berkeley.edu/~pkmendez/envsci/projects/2018final/" xr:uid="{893838D6-5D33-094F-990C-85615EDFF441}"/>
    <hyperlink ref="H420" r:id="rId64" xr:uid="{72FEEFA3-437A-1041-ADC1-EAF87E3112E7}"/>
    <hyperlink ref="H421:H470" r:id="rId65" display="https://www.ocf.berkeley.edu/~pkmendez/envsci/projects/2017final/" xr:uid="{88A192ED-DD13-E942-8046-83F9543BFE52}"/>
    <hyperlink ref="H471" r:id="rId66" xr:uid="{7BF308E3-0978-2742-B126-E3ABA6019897}"/>
    <hyperlink ref="H472:H511" r:id="rId67" display="https://www.ocf.berkeley.edu/~pkmendez/envsci/projects/2016final/" xr:uid="{C39D4420-0631-9E48-A0B4-3DA702B7606B}"/>
    <hyperlink ref="H512" r:id="rId68" xr:uid="{F5152204-11D2-0F48-B009-0254A19F7EE7}"/>
    <hyperlink ref="H513:H551" r:id="rId69" display="https://www.ocf.berkeley.edu/~pkmendez/envsci/projects/2015final/" xr:uid="{0745AC22-862D-A648-8740-0479380B5A5C}"/>
    <hyperlink ref="H552" r:id="rId70" xr:uid="{EE127564-2B1B-A547-8276-65CD7423D63A}"/>
    <hyperlink ref="H553:H597" r:id="rId71" display="https://www.ocf.berkeley.edu/~pkmendez/envsci/projects/2014final/" xr:uid="{1794D032-0915-B54D-9E9D-A317319B252C}"/>
    <hyperlink ref="H598" r:id="rId72" xr:uid="{75CFA3EB-786A-C14D-B475-E3383948C2B9}"/>
    <hyperlink ref="H599:H661" r:id="rId73" display="https://www.ocf.berkeley.edu/~pkmendez/envsci/projects/2013final/" xr:uid="{24ABDD24-B88D-054A-A43D-3CCA475D91A0}"/>
    <hyperlink ref="H662" r:id="rId74" xr:uid="{6241CC62-73E6-364C-9330-5AE0D15C6A4E}"/>
    <hyperlink ref="H663:H713" r:id="rId75" display="https://www.ocf.berkeley.edu/~pkmendez/envsci/projects/2012final/" xr:uid="{44A264C4-8DCD-7641-AF8F-FBC9E6EE8AD0}"/>
    <hyperlink ref="H714" r:id="rId76" xr:uid="{BBE408A4-A519-6D46-969F-EB2D7D246653}"/>
    <hyperlink ref="H715:H759" r:id="rId77" display="https://www.ocf.berkeley.edu/~pkmendez/envsci/projects/2011final/" xr:uid="{D262541F-5B5D-394A-8496-5BE6D7A082CF}"/>
    <hyperlink ref="H760" r:id="rId78" xr:uid="{52BA7F40-3CD7-CC41-B899-08032307A319}"/>
    <hyperlink ref="H761:H803" r:id="rId79" display="https://www.ocf.berkeley.edu/~pkmendez/envsci/projects/2010final/" xr:uid="{CBEAC25E-B5C9-EB4D-A3CD-4ED8A2B40DD8}"/>
    <hyperlink ref="H804" r:id="rId80" xr:uid="{DB9F4C75-3086-A040-9410-A8C438135D7B}"/>
    <hyperlink ref="H805:H841" r:id="rId81" display="https://www.ocf.berkeley.edu/~pkmendez/envsci/projects/2009final/" xr:uid="{E82EE39A-3406-C443-A3C8-77E46A0D9D26}"/>
    <hyperlink ref="H842" r:id="rId82" xr:uid="{C7C587F5-D8B4-E34B-B8C0-8E7E997A410B}"/>
    <hyperlink ref="H843:H881" r:id="rId83" display="https://www.ocf.berkeley.edu/~pkmendez/envsci/projects/2008final/" xr:uid="{095F407B-9EF2-2242-B8DD-B652BA7F4D66}"/>
    <hyperlink ref="H882" r:id="rId84" xr:uid="{526A7823-4F9A-D448-9381-DD3F95A254B5}"/>
    <hyperlink ref="H881" r:id="rId85" xr:uid="{7003317D-07BB-7147-B511-3CC72FA43614}"/>
    <hyperlink ref="H883:H915" r:id="rId86" display="https://www.ocf.berkeley.edu/~pkmendez/envsci/projects/2007final/" xr:uid="{0C1E9780-9863-1846-ADA2-5B0703863278}"/>
    <hyperlink ref="H916" r:id="rId87" xr:uid="{9B4E901F-2FF6-5245-ADC4-360D89AB9C18}"/>
    <hyperlink ref="H915" r:id="rId88" xr:uid="{052A04B6-BDD9-BE4B-90CC-798C3F2CABAC}"/>
    <hyperlink ref="H917:H950" r:id="rId89" display="https://www.ocf.berkeley.edu/~pkmendez/envsci/projects/2006final/" xr:uid="{F6EA97BD-DABF-BE4B-B9A0-7DFB62C760D7}"/>
    <hyperlink ref="H951" r:id="rId90" xr:uid="{C82EC1A8-759B-3A40-B91F-1E42A82DCBC2}"/>
    <hyperlink ref="H952:H992" r:id="rId91" display="https://www.ocf.berkeley.edu/~pkmendez/envsci/projects/2005final/" xr:uid="{5B5DB3ED-A00F-0249-9111-126592FCB69C}"/>
    <hyperlink ref="H993" r:id="rId92" xr:uid="{E459FCFF-BE09-FF4B-A913-346EE147D95C}"/>
    <hyperlink ref="H994:H1039" r:id="rId93" display="https://www.ocf.berkeley.edu/~pkmendez/envsci/projects/2004final/" xr:uid="{F1738BD2-24A4-9646-BF78-83B027D1F374}"/>
    <hyperlink ref="H1040" r:id="rId94" xr:uid="{FA3FF50A-8AC1-E74D-AA2C-EB903498FC40}"/>
    <hyperlink ref="H1041:H1074" r:id="rId95" display="https://www.ocf.berkeley.edu/~pkmendez/envsci/projects/2003final/" xr:uid="{428CD4AD-948D-2B48-9E32-FBA8DBBE5922}"/>
    <hyperlink ref="H1075" r:id="rId96" xr:uid="{09700C51-F42E-E147-A4C1-18B0FABDCE01}"/>
    <hyperlink ref="H1076:H1107" r:id="rId97" display="https://www.ocf.berkeley.edu/~pkmendez/envsci/projects/2002final/" xr:uid="{85A8AAF7-D95D-9846-9ED6-4A935A296A7A}"/>
    <hyperlink ref="H1108" r:id="rId98" xr:uid="{11C7AF0E-360F-F04C-9DCB-2204FDA9ECBE}"/>
    <hyperlink ref="H1109:H1143" r:id="rId99" display="https://www.ocf.berkeley.edu/~pkmendez/envsci/projects/2001final/" xr:uid="{420203FC-D4D4-BD47-91E6-1FD43F4B5055}"/>
    <hyperlink ref="H1144" r:id="rId100" xr:uid="{123A60FD-CC63-2B49-8F1E-6BED1C7CC646}"/>
    <hyperlink ref="H1145:H1169" r:id="rId101" display="https://www.ocf.berkeley.edu/~pkmendez/envsci/projects/2000final/" xr:uid="{CC6A10F3-6EC4-104A-8CEC-D56200CCEA4F}"/>
    <hyperlink ref="H1170" r:id="rId102" xr:uid="{EA51DECD-A77C-5D47-8E2F-31068625AFF7}"/>
    <hyperlink ref="H1171:H1200" r:id="rId103" display="https://www.ocf.berkeley.edu/~pkmendez/envsci/projects/1999final/" xr:uid="{3EC38871-4810-174A-9ECF-6BB03B727BA7}"/>
    <hyperlink ref="H1201" r:id="rId104" xr:uid="{9B12E3D6-E6AC-4246-BE37-065787A734E5}"/>
    <hyperlink ref="H1202:H1246" r:id="rId105" display="https://www.ocf.berkeley.edu/~pkmendez/envsci/projects/1998final/" xr:uid="{2EDB01BE-E668-6F4D-AD4A-697928139737}"/>
    <hyperlink ref="H1247" r:id="rId106" xr:uid="{C15AC3C9-AA76-AC4B-91ED-5B2597F0FDE3}"/>
    <hyperlink ref="H1248:H1270" r:id="rId107" display="https://www.ocf.berkeley.edu/~pkmendez/envsci/projects/1997final/" xr:uid="{DC4FB326-0092-B641-86DC-F14A1F819E74}"/>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Kortleven</dc:creator>
  <cp:lastModifiedBy>Charlie Kortleven</cp:lastModifiedBy>
  <dcterms:created xsi:type="dcterms:W3CDTF">2026-06-06T03:18:06Z</dcterms:created>
  <dcterms:modified xsi:type="dcterms:W3CDTF">2026-06-23T00:52:54Z</dcterms:modified>
</cp:coreProperties>
</file>